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\Publicaciones 2024\Estructura Empresarial 2022\"/>
    </mc:Choice>
  </mc:AlternateContent>
  <xr:revisionPtr revIDLastSave="0" documentId="13_ncr:1_{632C1A5D-6891-412C-83CD-60F80C019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1" sheetId="1" r:id="rId1"/>
    <sheet name="C2" sheetId="3" r:id="rId2"/>
    <sheet name="C3" sheetId="4" r:id="rId3"/>
    <sheet name="C4" sheetId="5" r:id="rId4"/>
    <sheet name="C5" sheetId="6" r:id="rId5"/>
    <sheet name="C6" sheetId="7" r:id="rId6"/>
    <sheet name="C7" sheetId="8" r:id="rId7"/>
    <sheet name="C8" sheetId="9" r:id="rId8"/>
    <sheet name="C9" sheetId="12" r:id="rId9"/>
    <sheet name="C10" sheetId="13" r:id="rId10"/>
    <sheet name="C11" sheetId="14" r:id="rId11"/>
    <sheet name="C12" sheetId="15" r:id="rId12"/>
    <sheet name="C13" sheetId="16" r:id="rId13"/>
  </sheets>
  <definedNames>
    <definedName name="_xlnm._FilterDatabase" localSheetId="8" hidden="1">'C9'!$A$8:$M$266</definedName>
    <definedName name="_xlnm.Print_Area" localSheetId="0">'C1'!$A$1:$M$39</definedName>
    <definedName name="_xlnm.Print_Area" localSheetId="9">'C10'!$A$1:$M$39</definedName>
    <definedName name="_xlnm.Print_Area" localSheetId="10">'C11'!$A$1:$M$291</definedName>
    <definedName name="_xlnm.Print_Area" localSheetId="11">'C12'!$A$1:$M$39</definedName>
    <definedName name="_xlnm.Print_Area" localSheetId="12">'C13'!$A$1:$M$287</definedName>
    <definedName name="_xlnm.Print_Area" localSheetId="1">'C2'!$A$1:$M$401</definedName>
    <definedName name="_xlnm.Print_Area" localSheetId="2">'C3'!$A$1:$M$290</definedName>
    <definedName name="_xlnm.Print_Area" localSheetId="3">'C4'!$A$1:$L$38</definedName>
    <definedName name="_xlnm.Print_Area" localSheetId="5">'C6'!$A$1:$L$39</definedName>
    <definedName name="_xlnm.Print_Area" localSheetId="6">'C7'!$A$1:$L$399</definedName>
    <definedName name="_xlnm.Print_Area" localSheetId="7">'C8'!$A$1:$M$39</definedName>
    <definedName name="_xlnm.Print_Area" localSheetId="8">'C9'!$A$1:$M$288</definedName>
    <definedName name="_xlnm.Print_Titles" localSheetId="0">'C1'!$2:$2</definedName>
    <definedName name="_xlnm.Print_Titles" localSheetId="10">'C11'!$1:$7</definedName>
    <definedName name="_xlnm.Print_Titles" localSheetId="12">'C13'!$1:$7</definedName>
    <definedName name="_xlnm.Print_Titles" localSheetId="1">'C2'!$2:$6</definedName>
    <definedName name="_xlnm.Print_Titles" localSheetId="2">'C3'!$1:$7</definedName>
    <definedName name="_xlnm.Print_Titles" localSheetId="4">'C5'!$1:$7</definedName>
    <definedName name="_xlnm.Print_Titles" localSheetId="6">'C7'!$1:$7</definedName>
    <definedName name="_xlnm.Print_Titles" localSheetId="8">'C9'!$1:$7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7" l="1"/>
  <c r="O36" i="1" l="1"/>
  <c r="N36" i="1"/>
  <c r="O35" i="1"/>
  <c r="N35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Q346" i="8" l="1"/>
  <c r="P280" i="8"/>
  <c r="P284" i="8"/>
  <c r="Q266" i="8"/>
  <c r="Q270" i="8"/>
  <c r="Q255" i="8"/>
  <c r="Q212" i="8"/>
  <c r="Q160" i="8"/>
  <c r="Q159" i="8"/>
  <c r="Q145" i="8"/>
  <c r="Q90" i="8"/>
  <c r="Q60" i="8"/>
  <c r="Q27" i="8"/>
  <c r="Q29" i="8"/>
  <c r="Q33" i="8"/>
  <c r="Q223" i="6"/>
  <c r="Q391" i="6"/>
  <c r="Q226" i="6"/>
  <c r="Q227" i="6"/>
  <c r="Q395" i="6"/>
  <c r="Q321" i="6"/>
  <c r="Q325" i="6"/>
  <c r="Q250" i="6"/>
  <c r="Q251" i="6"/>
  <c r="Q254" i="6"/>
  <c r="Q258" i="6"/>
  <c r="P236" i="6"/>
  <c r="Q214" i="6"/>
  <c r="Q152" i="6"/>
  <c r="Q79" i="6"/>
  <c r="S163" i="4"/>
  <c r="S274" i="4"/>
  <c r="R186" i="4"/>
  <c r="S174" i="4"/>
  <c r="S161" i="4"/>
  <c r="S162" i="4"/>
  <c r="S164" i="4"/>
  <c r="S143" i="4"/>
  <c r="S144" i="4"/>
  <c r="S104" i="4"/>
  <c r="S84" i="4"/>
  <c r="S74" i="4"/>
  <c r="S64" i="4"/>
  <c r="S54" i="4"/>
  <c r="S33" i="4"/>
  <c r="S34" i="4"/>
  <c r="R26" i="4"/>
  <c r="Q378" i="8"/>
  <c r="P383" i="8"/>
  <c r="O364" i="8"/>
  <c r="P350" i="8"/>
  <c r="O349" i="8"/>
  <c r="N350" i="8"/>
  <c r="Q336" i="8"/>
  <c r="O336" i="8"/>
  <c r="Q308" i="8"/>
  <c r="P308" i="8"/>
  <c r="O299" i="8"/>
  <c r="N279" i="8"/>
  <c r="Q252" i="8"/>
  <c r="N238" i="8"/>
  <c r="N210" i="8"/>
  <c r="O216" i="8"/>
  <c r="P196" i="8"/>
  <c r="N196" i="8"/>
  <c r="O168" i="8"/>
  <c r="N139" i="8"/>
  <c r="Q98" i="8"/>
  <c r="P98" i="8"/>
  <c r="Q84" i="8"/>
  <c r="P84" i="8"/>
  <c r="O89" i="8"/>
  <c r="P70" i="8"/>
  <c r="O70" i="8"/>
  <c r="N70" i="8"/>
  <c r="Q56" i="8"/>
  <c r="P42" i="8"/>
  <c r="O33" i="8"/>
  <c r="P24" i="8"/>
  <c r="Q24" i="8"/>
  <c r="Q25" i="8"/>
  <c r="Q26" i="8"/>
  <c r="Q28" i="8"/>
  <c r="Q30" i="8"/>
  <c r="Q31" i="8"/>
  <c r="Q32" i="8"/>
  <c r="N33" i="8"/>
  <c r="P33" i="8"/>
  <c r="N34" i="8"/>
  <c r="Q34" i="8"/>
  <c r="N35" i="8"/>
  <c r="O35" i="8"/>
  <c r="P35" i="8"/>
  <c r="Q35" i="8"/>
  <c r="Q38" i="8"/>
  <c r="Q44" i="8"/>
  <c r="Q45" i="8"/>
  <c r="N49" i="8"/>
  <c r="O49" i="8"/>
  <c r="P49" i="8"/>
  <c r="Q49" i="8"/>
  <c r="Q51" i="8"/>
  <c r="Q52" i="8"/>
  <c r="P54" i="8"/>
  <c r="Q54" i="8"/>
  <c r="Q55" i="8"/>
  <c r="Q57" i="8"/>
  <c r="Q58" i="8"/>
  <c r="Q59" i="8"/>
  <c r="Q61" i="8"/>
  <c r="N63" i="8"/>
  <c r="O63" i="8"/>
  <c r="P63" i="8"/>
  <c r="Q63" i="8"/>
  <c r="Q72" i="8"/>
  <c r="N77" i="8"/>
  <c r="O77" i="8"/>
  <c r="P77" i="8"/>
  <c r="Q77" i="8"/>
  <c r="Q80" i="8"/>
  <c r="P82" i="8"/>
  <c r="Q86" i="8"/>
  <c r="Q87" i="8"/>
  <c r="Q88" i="8"/>
  <c r="N89" i="8"/>
  <c r="Q89" i="8"/>
  <c r="N91" i="8"/>
  <c r="O91" i="8"/>
  <c r="P91" i="8"/>
  <c r="Q91" i="8"/>
  <c r="Q94" i="8"/>
  <c r="Q100" i="8"/>
  <c r="N105" i="8"/>
  <c r="O105" i="8"/>
  <c r="P105" i="8"/>
  <c r="Q105" i="8"/>
  <c r="Q112" i="8"/>
  <c r="Q114" i="8"/>
  <c r="N119" i="8"/>
  <c r="O119" i="8"/>
  <c r="P119" i="8"/>
  <c r="Q119" i="8"/>
  <c r="O131" i="8"/>
  <c r="N133" i="8"/>
  <c r="O133" i="8"/>
  <c r="P133" i="8"/>
  <c r="Q133" i="8"/>
  <c r="Q136" i="8"/>
  <c r="Q137" i="8"/>
  <c r="Q138" i="8"/>
  <c r="O139" i="8"/>
  <c r="Q139" i="8"/>
  <c r="Q140" i="8"/>
  <c r="Q141" i="8"/>
  <c r="P142" i="8"/>
  <c r="Q142" i="8"/>
  <c r="Q143" i="8"/>
  <c r="Q144" i="8"/>
  <c r="Q146" i="8"/>
  <c r="N147" i="8"/>
  <c r="O147" i="8"/>
  <c r="P147" i="8"/>
  <c r="Q147" i="8"/>
  <c r="Q149" i="8"/>
  <c r="Q150" i="8"/>
  <c r="Q151" i="8"/>
  <c r="Q152" i="8"/>
  <c r="O153" i="8"/>
  <c r="Q153" i="8"/>
  <c r="Q154" i="8"/>
  <c r="Q155" i="8"/>
  <c r="Q156" i="8"/>
  <c r="Q157" i="8"/>
  <c r="Q158" i="8"/>
  <c r="N161" i="8"/>
  <c r="O161" i="8"/>
  <c r="P161" i="8"/>
  <c r="Q161" i="8"/>
  <c r="P168" i="8"/>
  <c r="Q168" i="8"/>
  <c r="Q170" i="8"/>
  <c r="Q171" i="8"/>
  <c r="Q172" i="8"/>
  <c r="N175" i="8"/>
  <c r="O175" i="8"/>
  <c r="P175" i="8"/>
  <c r="Q175" i="8"/>
  <c r="Q182" i="8"/>
  <c r="Q185" i="8"/>
  <c r="Q186" i="8"/>
  <c r="N187" i="8"/>
  <c r="O187" i="8"/>
  <c r="N189" i="8"/>
  <c r="O189" i="8"/>
  <c r="P189" i="8"/>
  <c r="Q189" i="8"/>
  <c r="Q196" i="8"/>
  <c r="Q198" i="8"/>
  <c r="N203" i="8"/>
  <c r="O203" i="8"/>
  <c r="P203" i="8"/>
  <c r="Q203" i="8"/>
  <c r="Q206" i="8"/>
  <c r="Q207" i="8"/>
  <c r="Q208" i="8"/>
  <c r="Q209" i="8"/>
  <c r="Q210" i="8"/>
  <c r="Q211" i="8"/>
  <c r="Q213" i="8"/>
  <c r="Q214" i="8"/>
  <c r="N217" i="8"/>
  <c r="O217" i="8"/>
  <c r="P217" i="8"/>
  <c r="Q217" i="8"/>
  <c r="N231" i="8"/>
  <c r="O231" i="8"/>
  <c r="P231" i="8"/>
  <c r="Q231" i="8"/>
  <c r="Q234" i="8"/>
  <c r="N245" i="8"/>
  <c r="O245" i="8"/>
  <c r="P245" i="8"/>
  <c r="Q245" i="8"/>
  <c r="P250" i="8"/>
  <c r="Q251" i="8"/>
  <c r="N252" i="8"/>
  <c r="O252" i="8"/>
  <c r="P252" i="8"/>
  <c r="Q253" i="8"/>
  <c r="Q254" i="8"/>
  <c r="Q256" i="8"/>
  <c r="Q257" i="8"/>
  <c r="Q258" i="8"/>
  <c r="N259" i="8"/>
  <c r="O259" i="8"/>
  <c r="P259" i="8"/>
  <c r="Q259" i="8"/>
  <c r="Q262" i="8"/>
  <c r="Q263" i="8"/>
  <c r="Q264" i="8"/>
  <c r="Q265" i="8"/>
  <c r="P266" i="8"/>
  <c r="Q267" i="8"/>
  <c r="Q268" i="8"/>
  <c r="Q269" i="8"/>
  <c r="O271" i="8"/>
  <c r="Q271" i="8"/>
  <c r="Q272" i="8"/>
  <c r="N273" i="8"/>
  <c r="O273" i="8"/>
  <c r="P273" i="8"/>
  <c r="Q273" i="8"/>
  <c r="P276" i="8"/>
  <c r="P277" i="8"/>
  <c r="P278" i="8"/>
  <c r="Q278" i="8"/>
  <c r="P279" i="8"/>
  <c r="Q279" i="8"/>
  <c r="Q280" i="8"/>
  <c r="P281" i="8"/>
  <c r="Q281" i="8"/>
  <c r="P282" i="8"/>
  <c r="Q282" i="8"/>
  <c r="P283" i="8"/>
  <c r="Q283" i="8"/>
  <c r="Q284" i="8"/>
  <c r="Q285" i="8"/>
  <c r="Q286" i="8"/>
  <c r="N287" i="8"/>
  <c r="O287" i="8"/>
  <c r="P287" i="8"/>
  <c r="Q287" i="8"/>
  <c r="Q291" i="8"/>
  <c r="N294" i="8"/>
  <c r="P294" i="8"/>
  <c r="N301" i="8"/>
  <c r="O301" i="8"/>
  <c r="P301" i="8"/>
  <c r="Q301" i="8"/>
  <c r="N308" i="8"/>
  <c r="O308" i="8"/>
  <c r="Q310" i="8"/>
  <c r="Q311" i="8"/>
  <c r="Q312" i="8"/>
  <c r="N315" i="8"/>
  <c r="O315" i="8"/>
  <c r="P315" i="8"/>
  <c r="Q315" i="8"/>
  <c r="Q318" i="8"/>
  <c r="Q319" i="8"/>
  <c r="Q320" i="8"/>
  <c r="Q321" i="8"/>
  <c r="O322" i="8"/>
  <c r="P322" i="8"/>
  <c r="Q322" i="8"/>
  <c r="Q323" i="8"/>
  <c r="Q324" i="8"/>
  <c r="Q325" i="8"/>
  <c r="Q326" i="8"/>
  <c r="N329" i="8"/>
  <c r="O329" i="8"/>
  <c r="P329" i="8"/>
  <c r="Q329" i="8"/>
  <c r="P332" i="8"/>
  <c r="Q332" i="8"/>
  <c r="Q333" i="8"/>
  <c r="Q334" i="8"/>
  <c r="Q335" i="8"/>
  <c r="P336" i="8"/>
  <c r="Q337" i="8"/>
  <c r="Q338" i="8"/>
  <c r="Q339" i="8"/>
  <c r="Q340" i="8"/>
  <c r="Q341" i="8"/>
  <c r="N343" i="8"/>
  <c r="O343" i="8"/>
  <c r="P343" i="8"/>
  <c r="Q343" i="8"/>
  <c r="P346" i="8"/>
  <c r="Q347" i="8"/>
  <c r="O348" i="8"/>
  <c r="Q348" i="8"/>
  <c r="Q349" i="8"/>
  <c r="Q350" i="8"/>
  <c r="Q351" i="8"/>
  <c r="Q352" i="8"/>
  <c r="Q353" i="8"/>
  <c r="Q354" i="8"/>
  <c r="Q355" i="8"/>
  <c r="Q356" i="8"/>
  <c r="N357" i="8"/>
  <c r="O357" i="8"/>
  <c r="P357" i="8"/>
  <c r="Q357" i="8"/>
  <c r="P360" i="8"/>
  <c r="Q360" i="8"/>
  <c r="Q361" i="8"/>
  <c r="Q362" i="8"/>
  <c r="Q363" i="8"/>
  <c r="P364" i="8"/>
  <c r="Q364" i="8"/>
  <c r="Q365" i="8"/>
  <c r="Q366" i="8"/>
  <c r="Q367" i="8"/>
  <c r="Q368" i="8"/>
  <c r="N371" i="8"/>
  <c r="O371" i="8"/>
  <c r="P371" i="8"/>
  <c r="Q371" i="8"/>
  <c r="N378" i="8"/>
  <c r="N385" i="8"/>
  <c r="O385" i="8"/>
  <c r="P385" i="8"/>
  <c r="Q385" i="8"/>
  <c r="P388" i="8"/>
  <c r="Q388" i="8"/>
  <c r="Q389" i="8"/>
  <c r="Q390" i="8"/>
  <c r="Q391" i="8"/>
  <c r="N392" i="8"/>
  <c r="P392" i="8"/>
  <c r="Q392" i="8"/>
  <c r="Q393" i="8"/>
  <c r="Q394" i="8"/>
  <c r="Q395" i="8"/>
  <c r="Q396" i="8"/>
  <c r="N350" i="6"/>
  <c r="P252" i="6"/>
  <c r="P182" i="6"/>
  <c r="O154" i="6"/>
  <c r="N140" i="6"/>
  <c r="O126" i="6"/>
  <c r="P112" i="6"/>
  <c r="P70" i="6"/>
  <c r="N70" i="6"/>
  <c r="P56" i="6"/>
  <c r="O56" i="6"/>
  <c r="O42" i="6"/>
  <c r="P28" i="6"/>
  <c r="N28" i="6"/>
  <c r="P24" i="6"/>
  <c r="Q24" i="6"/>
  <c r="P25" i="6"/>
  <c r="Q25" i="6"/>
  <c r="P26" i="6"/>
  <c r="Q26" i="6"/>
  <c r="Q27" i="6"/>
  <c r="Q28" i="6"/>
  <c r="Q29" i="6"/>
  <c r="Q30" i="6"/>
  <c r="Q31" i="6"/>
  <c r="P32" i="6"/>
  <c r="Q32" i="6"/>
  <c r="Q33" i="6"/>
  <c r="Q34" i="6"/>
  <c r="N35" i="6"/>
  <c r="O35" i="6"/>
  <c r="P35" i="6"/>
  <c r="Q35" i="6"/>
  <c r="Q37" i="6"/>
  <c r="Q38" i="6"/>
  <c r="Q39" i="6"/>
  <c r="Q40" i="6"/>
  <c r="Q41" i="6"/>
  <c r="Q42" i="6"/>
  <c r="Q43" i="6"/>
  <c r="Q44" i="6"/>
  <c r="Q45" i="6"/>
  <c r="Q46" i="6"/>
  <c r="Q47" i="6"/>
  <c r="Q48" i="6"/>
  <c r="N49" i="6"/>
  <c r="O49" i="6"/>
  <c r="P49" i="6"/>
  <c r="Q49" i="6"/>
  <c r="Q51" i="6"/>
  <c r="Q52" i="6"/>
  <c r="Q53" i="6"/>
  <c r="P54" i="6"/>
  <c r="Q54" i="6"/>
  <c r="Q55" i="6"/>
  <c r="Q56" i="6"/>
  <c r="Q57" i="6"/>
  <c r="Q58" i="6"/>
  <c r="Q59" i="6"/>
  <c r="Q60" i="6"/>
  <c r="Q61" i="6"/>
  <c r="Q62" i="6"/>
  <c r="N63" i="6"/>
  <c r="O63" i="6"/>
  <c r="P63" i="6"/>
  <c r="Q63" i="6"/>
  <c r="Q65" i="6"/>
  <c r="Q66" i="6"/>
  <c r="Q67" i="6"/>
  <c r="Q68" i="6"/>
  <c r="Q69" i="6"/>
  <c r="Q70" i="6"/>
  <c r="Q71" i="6"/>
  <c r="Q72" i="6"/>
  <c r="Q73" i="6"/>
  <c r="Q74" i="6"/>
  <c r="Q75" i="6"/>
  <c r="Q76" i="6"/>
  <c r="N77" i="6"/>
  <c r="O77" i="6"/>
  <c r="P77" i="6"/>
  <c r="Q77" i="6"/>
  <c r="Q80" i="6"/>
  <c r="Q81" i="6"/>
  <c r="P82" i="6"/>
  <c r="Q82" i="6"/>
  <c r="Q83" i="6"/>
  <c r="N84" i="6"/>
  <c r="Q84" i="6"/>
  <c r="Q85" i="6"/>
  <c r="P86" i="6"/>
  <c r="Q86" i="6"/>
  <c r="P87" i="6"/>
  <c r="Q87" i="6"/>
  <c r="P88" i="6"/>
  <c r="Q88" i="6"/>
  <c r="Q89" i="6"/>
  <c r="Q90" i="6"/>
  <c r="N91" i="6"/>
  <c r="O91" i="6"/>
  <c r="P91" i="6"/>
  <c r="Q91" i="6"/>
  <c r="Q93" i="6"/>
  <c r="Q94" i="6"/>
  <c r="Q95" i="6"/>
  <c r="Q96" i="6"/>
  <c r="Q97" i="6"/>
  <c r="O98" i="6"/>
  <c r="Q98" i="6"/>
  <c r="Q99" i="6"/>
  <c r="Q100" i="6"/>
  <c r="Q101" i="6"/>
  <c r="Q102" i="6"/>
  <c r="Q103" i="6"/>
  <c r="Q104" i="6"/>
  <c r="N105" i="6"/>
  <c r="O105" i="6"/>
  <c r="P105" i="6"/>
  <c r="Q105" i="6"/>
  <c r="Q107" i="6"/>
  <c r="Q108" i="6"/>
  <c r="Q109" i="6"/>
  <c r="Q110" i="6"/>
  <c r="Q111" i="6"/>
  <c r="N112" i="6"/>
  <c r="O112" i="6"/>
  <c r="Q112" i="6"/>
  <c r="Q113" i="6"/>
  <c r="P114" i="6"/>
  <c r="Q114" i="6"/>
  <c r="Q115" i="6"/>
  <c r="Q116" i="6"/>
  <c r="Q117" i="6"/>
  <c r="Q118" i="6"/>
  <c r="N119" i="6"/>
  <c r="O119" i="6"/>
  <c r="P119" i="6"/>
  <c r="Q119" i="6"/>
  <c r="Q121" i="6"/>
  <c r="Q122" i="6"/>
  <c r="Q123" i="6"/>
  <c r="Q124" i="6"/>
  <c r="Q125" i="6"/>
  <c r="N126" i="6"/>
  <c r="P126" i="6"/>
  <c r="Q126" i="6"/>
  <c r="Q127" i="6"/>
  <c r="Q128" i="6"/>
  <c r="Q129" i="6"/>
  <c r="Q130" i="6"/>
  <c r="Q131" i="6"/>
  <c r="Q132" i="6"/>
  <c r="N133" i="6"/>
  <c r="O133" i="6"/>
  <c r="P133" i="6"/>
  <c r="Q133" i="6"/>
  <c r="P135" i="6"/>
  <c r="Q135" i="6"/>
  <c r="P136" i="6"/>
  <c r="Q136" i="6"/>
  <c r="P137" i="6"/>
  <c r="Q137" i="6"/>
  <c r="P138" i="6"/>
  <c r="Q138" i="6"/>
  <c r="P139" i="6"/>
  <c r="Q139" i="6"/>
  <c r="Q140" i="6"/>
  <c r="Q141" i="6"/>
  <c r="Q142" i="6"/>
  <c r="P143" i="6"/>
  <c r="Q143" i="6"/>
  <c r="Q144" i="6"/>
  <c r="Q145" i="6"/>
  <c r="Q146" i="6"/>
  <c r="N147" i="6"/>
  <c r="O147" i="6"/>
  <c r="P147" i="6"/>
  <c r="Q147" i="6"/>
  <c r="Q149" i="6"/>
  <c r="Q150" i="6"/>
  <c r="Q151" i="6"/>
  <c r="P152" i="6"/>
  <c r="Q153" i="6"/>
  <c r="N154" i="6"/>
  <c r="Q154" i="6"/>
  <c r="Q155" i="6"/>
  <c r="P156" i="6"/>
  <c r="Q156" i="6"/>
  <c r="Q157" i="6"/>
  <c r="Q158" i="6"/>
  <c r="Q159" i="6"/>
  <c r="Q160" i="6"/>
  <c r="N161" i="6"/>
  <c r="O161" i="6"/>
  <c r="P161" i="6"/>
  <c r="Q161" i="6"/>
  <c r="Q165" i="6"/>
  <c r="Q166" i="6"/>
  <c r="Q167" i="6"/>
  <c r="N168" i="6"/>
  <c r="O168" i="6"/>
  <c r="P168" i="6"/>
  <c r="Q168" i="6"/>
  <c r="Q169" i="6"/>
  <c r="Q170" i="6"/>
  <c r="Q171" i="6"/>
  <c r="Q172" i="6"/>
  <c r="Q173" i="6"/>
  <c r="Q174" i="6"/>
  <c r="N175" i="6"/>
  <c r="O175" i="6"/>
  <c r="P175" i="6"/>
  <c r="Q175" i="6"/>
  <c r="Q177" i="6"/>
  <c r="Q178" i="6"/>
  <c r="Q179" i="6"/>
  <c r="P180" i="6"/>
  <c r="Q180" i="6"/>
  <c r="Q181" i="6"/>
  <c r="O182" i="6"/>
  <c r="Q182" i="6"/>
  <c r="Q183" i="6"/>
  <c r="Q184" i="6"/>
  <c r="Q185" i="6"/>
  <c r="Q186" i="6"/>
  <c r="Q187" i="6"/>
  <c r="Q188" i="6"/>
  <c r="N189" i="6"/>
  <c r="O189" i="6"/>
  <c r="P189" i="6"/>
  <c r="Q189" i="6"/>
  <c r="Q191" i="6"/>
  <c r="Q192" i="6"/>
  <c r="Q193" i="6"/>
  <c r="P194" i="6"/>
  <c r="Q194" i="6"/>
  <c r="Q195" i="6"/>
  <c r="P196" i="6"/>
  <c r="Q196" i="6"/>
  <c r="Q197" i="6"/>
  <c r="Q198" i="6"/>
  <c r="Q199" i="6"/>
  <c r="Q200" i="6"/>
  <c r="Q201" i="6"/>
  <c r="N203" i="6"/>
  <c r="O203" i="6"/>
  <c r="P203" i="6"/>
  <c r="Q203" i="6"/>
  <c r="Q206" i="6"/>
  <c r="Q207" i="6"/>
  <c r="Q208" i="6"/>
  <c r="Q209" i="6"/>
  <c r="N210" i="6"/>
  <c r="Q210" i="6"/>
  <c r="Q211" i="6"/>
  <c r="Q212" i="6"/>
  <c r="Q213" i="6"/>
  <c r="Q215" i="6"/>
  <c r="Q216" i="6"/>
  <c r="N217" i="6"/>
  <c r="O217" i="6"/>
  <c r="P217" i="6"/>
  <c r="Q217" i="6"/>
  <c r="N231" i="6"/>
  <c r="O231" i="6"/>
  <c r="P231" i="6"/>
  <c r="Q231" i="6"/>
  <c r="Q233" i="6"/>
  <c r="Q234" i="6"/>
  <c r="Q235" i="6"/>
  <c r="Q236" i="6"/>
  <c r="Q237" i="6"/>
  <c r="N238" i="6"/>
  <c r="O238" i="6"/>
  <c r="Q238" i="6"/>
  <c r="Q239" i="6"/>
  <c r="Q240" i="6"/>
  <c r="Q241" i="6"/>
  <c r="Q242" i="6"/>
  <c r="Q243" i="6"/>
  <c r="Q244" i="6"/>
  <c r="N245" i="6"/>
  <c r="O245" i="6"/>
  <c r="P245" i="6"/>
  <c r="Q245" i="6"/>
  <c r="Q247" i="6"/>
  <c r="Q248" i="6"/>
  <c r="Q249" i="6"/>
  <c r="P250" i="6"/>
  <c r="N252" i="6"/>
  <c r="Q252" i="6"/>
  <c r="Q253" i="6"/>
  <c r="Q255" i="6"/>
  <c r="P256" i="6"/>
  <c r="Q256" i="6"/>
  <c r="Q257" i="6"/>
  <c r="N259" i="6"/>
  <c r="O259" i="6"/>
  <c r="P259" i="6"/>
  <c r="Q259" i="6"/>
  <c r="Q261" i="6"/>
  <c r="P262" i="6"/>
  <c r="Q262" i="6"/>
  <c r="Q263" i="6"/>
  <c r="Q264" i="6"/>
  <c r="P265" i="6"/>
  <c r="Q265" i="6"/>
  <c r="N266" i="6"/>
  <c r="O266" i="6"/>
  <c r="P266" i="6"/>
  <c r="Q266" i="6"/>
  <c r="Q267" i="6"/>
  <c r="Q268" i="6"/>
  <c r="Q269" i="6"/>
  <c r="Q270" i="6"/>
  <c r="Q271" i="6"/>
  <c r="Q272" i="6"/>
  <c r="N273" i="6"/>
  <c r="O273" i="6"/>
  <c r="P273" i="6"/>
  <c r="Q273" i="6"/>
  <c r="Q275" i="6"/>
  <c r="P276" i="6"/>
  <c r="Q276" i="6"/>
  <c r="Q277" i="6"/>
  <c r="Q278" i="6"/>
  <c r="Q279" i="6"/>
  <c r="P280" i="6"/>
  <c r="Q280" i="6"/>
  <c r="Q281" i="6"/>
  <c r="Q282" i="6"/>
  <c r="Q283" i="6"/>
  <c r="P284" i="6"/>
  <c r="Q284" i="6"/>
  <c r="Q285" i="6"/>
  <c r="Q286" i="6"/>
  <c r="N287" i="6"/>
  <c r="O287" i="6"/>
  <c r="P287" i="6"/>
  <c r="Q287" i="6"/>
  <c r="Q290" i="6"/>
  <c r="Q291" i="6"/>
  <c r="Q292" i="6"/>
  <c r="Q293" i="6"/>
  <c r="N294" i="6"/>
  <c r="P294" i="6"/>
  <c r="Q294" i="6"/>
  <c r="Q295" i="6"/>
  <c r="Q296" i="6"/>
  <c r="Q297" i="6"/>
  <c r="Q298" i="6"/>
  <c r="Q299" i="6"/>
  <c r="Q300" i="6"/>
  <c r="N301" i="6"/>
  <c r="O301" i="6"/>
  <c r="P301" i="6"/>
  <c r="Q301" i="6"/>
  <c r="Q303" i="6"/>
  <c r="Q304" i="6"/>
  <c r="Q305" i="6"/>
  <c r="Q306" i="6"/>
  <c r="Q307" i="6"/>
  <c r="P308" i="6"/>
  <c r="Q308" i="6"/>
  <c r="Q309" i="6"/>
  <c r="Q310" i="6"/>
  <c r="Q311" i="6"/>
  <c r="Q312" i="6"/>
  <c r="Q313" i="6"/>
  <c r="Q314" i="6"/>
  <c r="N315" i="6"/>
  <c r="O315" i="6"/>
  <c r="P315" i="6"/>
  <c r="Q315" i="6"/>
  <c r="Q317" i="6"/>
  <c r="Q318" i="6"/>
  <c r="Q319" i="6"/>
  <c r="Q320" i="6"/>
  <c r="N322" i="6"/>
  <c r="O322" i="6"/>
  <c r="P322" i="6"/>
  <c r="Q322" i="6"/>
  <c r="Q323" i="6"/>
  <c r="Q324" i="6"/>
  <c r="Q326" i="6"/>
  <c r="Q327" i="6"/>
  <c r="N329" i="6"/>
  <c r="O329" i="6"/>
  <c r="P329" i="6"/>
  <c r="Q329" i="6"/>
  <c r="Q331" i="6"/>
  <c r="Q332" i="6"/>
  <c r="Q333" i="6"/>
  <c r="P334" i="6"/>
  <c r="Q334" i="6"/>
  <c r="P335" i="6"/>
  <c r="Q335" i="6"/>
  <c r="N336" i="6"/>
  <c r="P336" i="6"/>
  <c r="Q336" i="6"/>
  <c r="Q337" i="6"/>
  <c r="Q338" i="6"/>
  <c r="Q339" i="6"/>
  <c r="Q340" i="6"/>
  <c r="Q341" i="6"/>
  <c r="Q342" i="6"/>
  <c r="N343" i="6"/>
  <c r="O343" i="6"/>
  <c r="P343" i="6"/>
  <c r="Q343" i="6"/>
  <c r="Q345" i="6"/>
  <c r="P346" i="6"/>
  <c r="Q346" i="6"/>
  <c r="P347" i="6"/>
  <c r="Q347" i="6"/>
  <c r="P348" i="6"/>
  <c r="Q348" i="6"/>
  <c r="Q349" i="6"/>
  <c r="O350" i="6"/>
  <c r="Q350" i="6"/>
  <c r="Q351" i="6"/>
  <c r="Q352" i="6"/>
  <c r="Q353" i="6"/>
  <c r="P354" i="6"/>
  <c r="Q354" i="6"/>
  <c r="Q355" i="6"/>
  <c r="Q356" i="6"/>
  <c r="N357" i="6"/>
  <c r="O357" i="6"/>
  <c r="P357" i="6"/>
  <c r="Q357" i="6"/>
  <c r="Q359" i="6"/>
  <c r="P360" i="6"/>
  <c r="Q360" i="6"/>
  <c r="Q361" i="6"/>
  <c r="P362" i="6"/>
  <c r="Q362" i="6"/>
  <c r="Q363" i="6"/>
  <c r="Q364" i="6"/>
  <c r="Q365" i="6"/>
  <c r="Q366" i="6"/>
  <c r="Q367" i="6"/>
  <c r="Q368" i="6"/>
  <c r="Q369" i="6"/>
  <c r="Q370" i="6"/>
  <c r="N371" i="6"/>
  <c r="O371" i="6"/>
  <c r="P371" i="6"/>
  <c r="Q371" i="6"/>
  <c r="Q376" i="6"/>
  <c r="Q377" i="6"/>
  <c r="N378" i="6"/>
  <c r="O378" i="6"/>
  <c r="P378" i="6"/>
  <c r="Q378" i="6"/>
  <c r="Q379" i="6"/>
  <c r="Q380" i="6"/>
  <c r="Q381" i="6"/>
  <c r="Q382" i="6"/>
  <c r="N385" i="6"/>
  <c r="O385" i="6"/>
  <c r="P385" i="6"/>
  <c r="Q385" i="6"/>
  <c r="Q387" i="6"/>
  <c r="Q388" i="6"/>
  <c r="Q389" i="6"/>
  <c r="P390" i="6"/>
  <c r="Q390" i="6"/>
  <c r="P392" i="6"/>
  <c r="Q392" i="6"/>
  <c r="Q393" i="6"/>
  <c r="Q394" i="6"/>
  <c r="Q396" i="6"/>
  <c r="Q397" i="6"/>
  <c r="Q398" i="6"/>
  <c r="Q23" i="6"/>
  <c r="P200" i="4"/>
  <c r="S147" i="4"/>
  <c r="O130" i="4"/>
  <c r="R121" i="4"/>
  <c r="O110" i="4"/>
  <c r="P100" i="4"/>
  <c r="P90" i="4"/>
  <c r="P61" i="4"/>
  <c r="Q64" i="4"/>
  <c r="P44" i="4"/>
  <c r="Q34" i="4"/>
  <c r="S21" i="4"/>
  <c r="R22" i="4"/>
  <c r="S22" i="4"/>
  <c r="R23" i="4"/>
  <c r="S23" i="4"/>
  <c r="Q24" i="4"/>
  <c r="R24" i="4"/>
  <c r="S24" i="4"/>
  <c r="R25" i="4"/>
  <c r="S25" i="4"/>
  <c r="S26" i="4"/>
  <c r="S27" i="4"/>
  <c r="O28" i="4"/>
  <c r="P28" i="4"/>
  <c r="Q28" i="4"/>
  <c r="R28" i="4"/>
  <c r="S28" i="4"/>
  <c r="S30" i="4"/>
  <c r="S31" i="4"/>
  <c r="R32" i="4"/>
  <c r="S32" i="4"/>
  <c r="R33" i="4"/>
  <c r="R34" i="4"/>
  <c r="R35" i="4"/>
  <c r="S35" i="4"/>
  <c r="S36" i="4"/>
  <c r="S37" i="4"/>
  <c r="O38" i="4"/>
  <c r="P38" i="4"/>
  <c r="Q38" i="4"/>
  <c r="R38" i="4"/>
  <c r="S38" i="4"/>
  <c r="S40" i="4"/>
  <c r="S41" i="4"/>
  <c r="R42" i="4"/>
  <c r="S42" i="4"/>
  <c r="S43" i="4"/>
  <c r="Q44" i="4"/>
  <c r="S44" i="4"/>
  <c r="S45" i="4"/>
  <c r="S46" i="4"/>
  <c r="S47" i="4"/>
  <c r="O48" i="4"/>
  <c r="P48" i="4"/>
  <c r="Q48" i="4"/>
  <c r="R48" i="4"/>
  <c r="S48" i="4"/>
  <c r="S50" i="4"/>
  <c r="S51" i="4"/>
  <c r="S52" i="4"/>
  <c r="R53" i="4"/>
  <c r="S53" i="4"/>
  <c r="Q54" i="4"/>
  <c r="S55" i="4"/>
  <c r="S56" i="4"/>
  <c r="S57" i="4"/>
  <c r="O58" i="4"/>
  <c r="P58" i="4"/>
  <c r="Q58" i="4"/>
  <c r="R58" i="4"/>
  <c r="S58" i="4"/>
  <c r="O60" i="4"/>
  <c r="S60" i="4"/>
  <c r="S61" i="4"/>
  <c r="R62" i="4"/>
  <c r="S62" i="4"/>
  <c r="R63" i="4"/>
  <c r="S63" i="4"/>
  <c r="R64" i="4"/>
  <c r="R65" i="4"/>
  <c r="S65" i="4"/>
  <c r="S66" i="4"/>
  <c r="S67" i="4"/>
  <c r="O68" i="4"/>
  <c r="P68" i="4"/>
  <c r="Q68" i="4"/>
  <c r="R68" i="4"/>
  <c r="S68" i="4"/>
  <c r="P70" i="4"/>
  <c r="S70" i="4"/>
  <c r="S71" i="4"/>
  <c r="Q72" i="4"/>
  <c r="R72" i="4"/>
  <c r="S72" i="4"/>
  <c r="S73" i="4"/>
  <c r="S75" i="4"/>
  <c r="S76" i="4"/>
  <c r="S77" i="4"/>
  <c r="O78" i="4"/>
  <c r="P78" i="4"/>
  <c r="Q78" i="4"/>
  <c r="R78" i="4"/>
  <c r="S78" i="4"/>
  <c r="S80" i="4"/>
  <c r="R81" i="4"/>
  <c r="S81" i="4"/>
  <c r="S82" i="4"/>
  <c r="S83" i="4"/>
  <c r="S85" i="4"/>
  <c r="S86" i="4"/>
  <c r="S87" i="4"/>
  <c r="O88" i="4"/>
  <c r="P88" i="4"/>
  <c r="Q88" i="4"/>
  <c r="R88" i="4"/>
  <c r="S88" i="4"/>
  <c r="O90" i="4"/>
  <c r="S90" i="4"/>
  <c r="R91" i="4"/>
  <c r="S91" i="4"/>
  <c r="S92" i="4"/>
  <c r="S93" i="4"/>
  <c r="S94" i="4"/>
  <c r="S95" i="4"/>
  <c r="S96" i="4"/>
  <c r="S97" i="4"/>
  <c r="O98" i="4"/>
  <c r="P98" i="4"/>
  <c r="Q98" i="4"/>
  <c r="R98" i="4"/>
  <c r="S98" i="4"/>
  <c r="O100" i="4"/>
  <c r="S100" i="4"/>
  <c r="R101" i="4"/>
  <c r="S101" i="4"/>
  <c r="R102" i="4"/>
  <c r="S102" i="4"/>
  <c r="R103" i="4"/>
  <c r="S103" i="4"/>
  <c r="R104" i="4"/>
  <c r="R105" i="4"/>
  <c r="S105" i="4"/>
  <c r="R106" i="4"/>
  <c r="S106" i="4"/>
  <c r="R107" i="4"/>
  <c r="S107" i="4"/>
  <c r="O108" i="4"/>
  <c r="P108" i="4"/>
  <c r="Q108" i="4"/>
  <c r="R108" i="4"/>
  <c r="S108" i="4"/>
  <c r="S110" i="4"/>
  <c r="S111" i="4"/>
  <c r="S112" i="4"/>
  <c r="S113" i="4"/>
  <c r="Q114" i="4"/>
  <c r="S114" i="4"/>
  <c r="S115" i="4"/>
  <c r="S116" i="4"/>
  <c r="S117" i="4"/>
  <c r="O118" i="4"/>
  <c r="P118" i="4"/>
  <c r="Q118" i="4"/>
  <c r="R118" i="4"/>
  <c r="S118" i="4"/>
  <c r="S120" i="4"/>
  <c r="S121" i="4"/>
  <c r="R122" i="4"/>
  <c r="S122" i="4"/>
  <c r="S123" i="4"/>
  <c r="S124" i="4"/>
  <c r="S125" i="4"/>
  <c r="S126" i="4"/>
  <c r="S127" i="4"/>
  <c r="O128" i="4"/>
  <c r="P128" i="4"/>
  <c r="Q128" i="4"/>
  <c r="R128" i="4"/>
  <c r="S128" i="4"/>
  <c r="P130" i="4"/>
  <c r="S130" i="4"/>
  <c r="R131" i="4"/>
  <c r="S131" i="4"/>
  <c r="S132" i="4"/>
  <c r="S133" i="4"/>
  <c r="Q134" i="4"/>
  <c r="S134" i="4"/>
  <c r="S135" i="4"/>
  <c r="S136" i="4"/>
  <c r="S137" i="4"/>
  <c r="O138" i="4"/>
  <c r="P138" i="4"/>
  <c r="Q138" i="4"/>
  <c r="R138" i="4"/>
  <c r="S138" i="4"/>
  <c r="S140" i="4"/>
  <c r="S141" i="4"/>
  <c r="R142" i="4"/>
  <c r="S142" i="4"/>
  <c r="S145" i="4"/>
  <c r="S146" i="4"/>
  <c r="O148" i="4"/>
  <c r="P148" i="4"/>
  <c r="Q148" i="4"/>
  <c r="R148" i="4"/>
  <c r="S148" i="4"/>
  <c r="O150" i="4"/>
  <c r="S150" i="4"/>
  <c r="S151" i="4"/>
  <c r="R152" i="4"/>
  <c r="S152" i="4"/>
  <c r="S153" i="4"/>
  <c r="S154" i="4"/>
  <c r="S155" i="4"/>
  <c r="S156" i="4"/>
  <c r="S157" i="4"/>
  <c r="O158" i="4"/>
  <c r="P158" i="4"/>
  <c r="Q158" i="4"/>
  <c r="R158" i="4"/>
  <c r="S158" i="4"/>
  <c r="S165" i="4"/>
  <c r="S167" i="4"/>
  <c r="O168" i="4"/>
  <c r="P168" i="4"/>
  <c r="Q168" i="4"/>
  <c r="R168" i="4"/>
  <c r="S168" i="4"/>
  <c r="P170" i="4"/>
  <c r="S170" i="4"/>
  <c r="S171" i="4"/>
  <c r="R172" i="4"/>
  <c r="S172" i="4"/>
  <c r="S173" i="4"/>
  <c r="S175" i="4"/>
  <c r="S176" i="4"/>
  <c r="S177" i="4"/>
  <c r="O178" i="4"/>
  <c r="P178" i="4"/>
  <c r="Q178" i="4"/>
  <c r="R178" i="4"/>
  <c r="S178" i="4"/>
  <c r="R180" i="4"/>
  <c r="S180" i="4"/>
  <c r="S181" i="4"/>
  <c r="Q182" i="4"/>
  <c r="R182" i="4"/>
  <c r="S182" i="4"/>
  <c r="R183" i="4"/>
  <c r="S183" i="4"/>
  <c r="R184" i="4"/>
  <c r="S184" i="4"/>
  <c r="R185" i="4"/>
  <c r="S185" i="4"/>
  <c r="S186" i="4"/>
  <c r="R187" i="4"/>
  <c r="S187" i="4"/>
  <c r="O188" i="4"/>
  <c r="P188" i="4"/>
  <c r="Q188" i="4"/>
  <c r="R188" i="4"/>
  <c r="S188" i="4"/>
  <c r="O190" i="4"/>
  <c r="P190" i="4"/>
  <c r="S190" i="4"/>
  <c r="R191" i="4"/>
  <c r="S191" i="4"/>
  <c r="R192" i="4"/>
  <c r="S192" i="4"/>
  <c r="S193" i="4"/>
  <c r="S194" i="4"/>
  <c r="S195" i="4"/>
  <c r="S196" i="4"/>
  <c r="S197" i="4"/>
  <c r="O198" i="4"/>
  <c r="P198" i="4"/>
  <c r="Q198" i="4"/>
  <c r="R198" i="4"/>
  <c r="S198" i="4"/>
  <c r="O200" i="4"/>
  <c r="S200" i="4"/>
  <c r="Q201" i="4"/>
  <c r="S201" i="4"/>
  <c r="Q202" i="4"/>
  <c r="R202" i="4"/>
  <c r="S202" i="4"/>
  <c r="R203" i="4"/>
  <c r="S203" i="4"/>
  <c r="R204" i="4"/>
  <c r="S204" i="4"/>
  <c r="R205" i="4"/>
  <c r="S205" i="4"/>
  <c r="S206" i="4"/>
  <c r="S207" i="4"/>
  <c r="O208" i="4"/>
  <c r="P208" i="4"/>
  <c r="Q208" i="4"/>
  <c r="R208" i="4"/>
  <c r="S208" i="4"/>
  <c r="P210" i="4"/>
  <c r="S210" i="4"/>
  <c r="S209" i="4" s="1"/>
  <c r="S211" i="4"/>
  <c r="S212" i="4"/>
  <c r="S213" i="4"/>
  <c r="Q214" i="4"/>
  <c r="S214" i="4"/>
  <c r="S215" i="4"/>
  <c r="S216" i="4"/>
  <c r="S217" i="4"/>
  <c r="O218" i="4"/>
  <c r="P218" i="4"/>
  <c r="Q218" i="4"/>
  <c r="R218" i="4"/>
  <c r="S218" i="4"/>
  <c r="O220" i="4"/>
  <c r="P220" i="4"/>
  <c r="S220" i="4"/>
  <c r="S221" i="4"/>
  <c r="R222" i="4"/>
  <c r="S222" i="4"/>
  <c r="S223" i="4"/>
  <c r="S224" i="4"/>
  <c r="S225" i="4"/>
  <c r="S226" i="4"/>
  <c r="S227" i="4"/>
  <c r="O228" i="4"/>
  <c r="P228" i="4"/>
  <c r="Q228" i="4"/>
  <c r="R228" i="4"/>
  <c r="S228" i="4"/>
  <c r="S230" i="4"/>
  <c r="S231" i="4"/>
  <c r="R232" i="4"/>
  <c r="S232" i="4"/>
  <c r="S233" i="4"/>
  <c r="S234" i="4"/>
  <c r="S235" i="4"/>
  <c r="S236" i="4"/>
  <c r="S237" i="4"/>
  <c r="O238" i="4"/>
  <c r="P238" i="4"/>
  <c r="Q238" i="4"/>
  <c r="R238" i="4"/>
  <c r="S238" i="4"/>
  <c r="O240" i="4"/>
  <c r="S240" i="4"/>
  <c r="S241" i="4"/>
  <c r="R242" i="4"/>
  <c r="S242" i="4"/>
  <c r="S243" i="4"/>
  <c r="Q244" i="4"/>
  <c r="S244" i="4"/>
  <c r="S245" i="4"/>
  <c r="S246" i="4"/>
  <c r="S247" i="4"/>
  <c r="O248" i="4"/>
  <c r="P248" i="4"/>
  <c r="Q248" i="4"/>
  <c r="R248" i="4"/>
  <c r="S248" i="4"/>
  <c r="P250" i="4"/>
  <c r="S250" i="4"/>
  <c r="S251" i="4"/>
  <c r="S252" i="4"/>
  <c r="S253" i="4"/>
  <c r="Q254" i="4"/>
  <c r="S254" i="4"/>
  <c r="S255" i="4"/>
  <c r="S256" i="4"/>
  <c r="S257" i="4"/>
  <c r="O258" i="4"/>
  <c r="P258" i="4"/>
  <c r="Q258" i="4"/>
  <c r="R258" i="4"/>
  <c r="S258" i="4"/>
  <c r="O260" i="4"/>
  <c r="P260" i="4"/>
  <c r="S260" i="4"/>
  <c r="S261" i="4"/>
  <c r="S262" i="4"/>
  <c r="S263" i="4"/>
  <c r="S264" i="4"/>
  <c r="S265" i="4"/>
  <c r="S266" i="4"/>
  <c r="S267" i="4"/>
  <c r="O268" i="4"/>
  <c r="P268" i="4"/>
  <c r="Q268" i="4"/>
  <c r="R268" i="4"/>
  <c r="S268" i="4"/>
  <c r="P270" i="4"/>
  <c r="S270" i="4"/>
  <c r="S271" i="4"/>
  <c r="S272" i="4"/>
  <c r="S273" i="4"/>
  <c r="S275" i="4"/>
  <c r="S276" i="4"/>
  <c r="S277" i="4"/>
  <c r="O278" i="4"/>
  <c r="P278" i="4"/>
  <c r="Q278" i="4"/>
  <c r="R278" i="4"/>
  <c r="S278" i="4"/>
  <c r="P280" i="4"/>
  <c r="S280" i="4"/>
  <c r="S281" i="4"/>
  <c r="S282" i="4"/>
  <c r="S283" i="4"/>
  <c r="S284" i="4"/>
  <c r="S285" i="4"/>
  <c r="S286" i="4"/>
  <c r="S287" i="4"/>
  <c r="S20" i="4"/>
  <c r="Q148" i="8" l="1"/>
  <c r="Q260" i="6"/>
  <c r="Q358" i="6"/>
  <c r="Q344" i="6"/>
  <c r="Q330" i="6"/>
  <c r="Q302" i="6"/>
  <c r="Q274" i="6"/>
  <c r="Q246" i="6"/>
  <c r="Q232" i="6"/>
  <c r="Q386" i="6"/>
  <c r="Q176" i="6"/>
  <c r="Q148" i="6"/>
  <c r="Q134" i="6"/>
  <c r="Q120" i="6"/>
  <c r="Q106" i="6"/>
  <c r="Q92" i="6"/>
  <c r="Q78" i="6"/>
  <c r="Q64" i="6"/>
  <c r="Q50" i="6"/>
  <c r="Q36" i="6"/>
  <c r="Q22" i="6"/>
  <c r="Q228" i="6"/>
  <c r="S279" i="4"/>
  <c r="S269" i="4"/>
  <c r="S259" i="4"/>
  <c r="S249" i="4"/>
  <c r="S239" i="4"/>
  <c r="S229" i="4"/>
  <c r="S219" i="4"/>
  <c r="S199" i="4"/>
  <c r="S189" i="4"/>
  <c r="S179" i="4"/>
  <c r="S169" i="4"/>
  <c r="S149" i="4"/>
  <c r="S129" i="4"/>
  <c r="S119" i="4"/>
  <c r="S109" i="4"/>
  <c r="S99" i="4"/>
  <c r="S89" i="4"/>
  <c r="S79" i="4"/>
  <c r="S69" i="4"/>
  <c r="S59" i="4"/>
  <c r="S49" i="4"/>
  <c r="S39" i="4"/>
  <c r="S29" i="4"/>
  <c r="S19" i="4"/>
  <c r="S139" i="4"/>
  <c r="N373" i="6" l="1"/>
  <c r="O373" i="6"/>
  <c r="P373" i="6"/>
  <c r="Q373" i="6"/>
  <c r="N374" i="6"/>
  <c r="O374" i="6"/>
  <c r="P374" i="6"/>
  <c r="Q374" i="6"/>
  <c r="N375" i="6"/>
  <c r="O375" i="6"/>
  <c r="P375" i="6"/>
  <c r="Q375" i="6"/>
  <c r="N376" i="6"/>
  <c r="O376" i="6"/>
  <c r="P376" i="6"/>
  <c r="N377" i="6"/>
  <c r="O377" i="6"/>
  <c r="P377" i="6"/>
  <c r="N379" i="6"/>
  <c r="O379" i="6"/>
  <c r="P379" i="6"/>
  <c r="N380" i="6"/>
  <c r="O380" i="6"/>
  <c r="P380" i="6"/>
  <c r="N381" i="6"/>
  <c r="O381" i="6"/>
  <c r="P381" i="6"/>
  <c r="N382" i="6"/>
  <c r="O382" i="6"/>
  <c r="P382" i="6"/>
  <c r="N383" i="6"/>
  <c r="O383" i="6"/>
  <c r="P383" i="6"/>
  <c r="Q383" i="6"/>
  <c r="N384" i="6"/>
  <c r="O384" i="6"/>
  <c r="P384" i="6"/>
  <c r="Q384" i="6"/>
  <c r="N387" i="6"/>
  <c r="O387" i="6"/>
  <c r="P387" i="6"/>
  <c r="N388" i="6"/>
  <c r="O388" i="6"/>
  <c r="P388" i="6"/>
  <c r="N389" i="6"/>
  <c r="O389" i="6"/>
  <c r="P389" i="6"/>
  <c r="N390" i="6"/>
  <c r="O390" i="6"/>
  <c r="N391" i="6"/>
  <c r="O391" i="6"/>
  <c r="P391" i="6"/>
  <c r="N392" i="6"/>
  <c r="O392" i="6"/>
  <c r="N393" i="6"/>
  <c r="O393" i="6"/>
  <c r="P393" i="6"/>
  <c r="N394" i="6"/>
  <c r="O394" i="6"/>
  <c r="P394" i="6"/>
  <c r="N395" i="6"/>
  <c r="O395" i="6"/>
  <c r="P395" i="6"/>
  <c r="N396" i="6"/>
  <c r="O396" i="6"/>
  <c r="P396" i="6"/>
  <c r="N397" i="6"/>
  <c r="O397" i="6"/>
  <c r="P397" i="6"/>
  <c r="N398" i="6"/>
  <c r="O398" i="6"/>
  <c r="P398" i="6"/>
  <c r="N359" i="6"/>
  <c r="O359" i="6"/>
  <c r="P359" i="6"/>
  <c r="N360" i="6"/>
  <c r="O360" i="6"/>
  <c r="N361" i="6"/>
  <c r="O361" i="6"/>
  <c r="P361" i="6"/>
  <c r="N362" i="6"/>
  <c r="O362" i="6"/>
  <c r="N363" i="6"/>
  <c r="O363" i="6"/>
  <c r="P363" i="6"/>
  <c r="N364" i="6"/>
  <c r="O364" i="6"/>
  <c r="P364" i="6"/>
  <c r="N365" i="6"/>
  <c r="O365" i="6"/>
  <c r="P365" i="6"/>
  <c r="N366" i="6"/>
  <c r="O366" i="6"/>
  <c r="P366" i="6"/>
  <c r="N367" i="6"/>
  <c r="O367" i="6"/>
  <c r="P367" i="6"/>
  <c r="N368" i="6"/>
  <c r="O368" i="6"/>
  <c r="P368" i="6"/>
  <c r="N369" i="6"/>
  <c r="O369" i="6"/>
  <c r="P369" i="6"/>
  <c r="N370" i="6"/>
  <c r="O370" i="6"/>
  <c r="P370" i="6"/>
  <c r="N331" i="6"/>
  <c r="O331" i="6"/>
  <c r="P331" i="6"/>
  <c r="N332" i="6"/>
  <c r="O332" i="6"/>
  <c r="P332" i="6"/>
  <c r="N333" i="6"/>
  <c r="O333" i="6"/>
  <c r="P333" i="6"/>
  <c r="N334" i="6"/>
  <c r="O334" i="6"/>
  <c r="N335" i="6"/>
  <c r="O335" i="6"/>
  <c r="O336" i="6"/>
  <c r="N337" i="6"/>
  <c r="O337" i="6"/>
  <c r="P337" i="6"/>
  <c r="N338" i="6"/>
  <c r="O338" i="6"/>
  <c r="P338" i="6"/>
  <c r="N339" i="6"/>
  <c r="O339" i="6"/>
  <c r="P339" i="6"/>
  <c r="N340" i="6"/>
  <c r="O340" i="6"/>
  <c r="P340" i="6"/>
  <c r="N341" i="6"/>
  <c r="O341" i="6"/>
  <c r="P341" i="6"/>
  <c r="N342" i="6"/>
  <c r="O342" i="6"/>
  <c r="P342" i="6"/>
  <c r="N345" i="6"/>
  <c r="O345" i="6"/>
  <c r="P345" i="6"/>
  <c r="N346" i="6"/>
  <c r="O346" i="6"/>
  <c r="N347" i="6"/>
  <c r="O347" i="6"/>
  <c r="N348" i="6"/>
  <c r="O348" i="6"/>
  <c r="N349" i="6"/>
  <c r="O349" i="6"/>
  <c r="P349" i="6"/>
  <c r="P350" i="6"/>
  <c r="N351" i="6"/>
  <c r="O351" i="6"/>
  <c r="P351" i="6"/>
  <c r="N352" i="6"/>
  <c r="O352" i="6"/>
  <c r="P352" i="6"/>
  <c r="N353" i="6"/>
  <c r="O353" i="6"/>
  <c r="P353" i="6"/>
  <c r="N354" i="6"/>
  <c r="O354" i="6"/>
  <c r="N355" i="6"/>
  <c r="O355" i="6"/>
  <c r="P355" i="6"/>
  <c r="N356" i="6"/>
  <c r="O356" i="6"/>
  <c r="P356" i="6"/>
  <c r="N317" i="6"/>
  <c r="O317" i="6"/>
  <c r="P317" i="6"/>
  <c r="N318" i="6"/>
  <c r="O318" i="6"/>
  <c r="P318" i="6"/>
  <c r="N319" i="6"/>
  <c r="O319" i="6"/>
  <c r="P319" i="6"/>
  <c r="N320" i="6"/>
  <c r="O320" i="6"/>
  <c r="P320" i="6"/>
  <c r="N321" i="6"/>
  <c r="O321" i="6"/>
  <c r="P321" i="6"/>
  <c r="N323" i="6"/>
  <c r="O323" i="6"/>
  <c r="P323" i="6"/>
  <c r="N324" i="6"/>
  <c r="O324" i="6"/>
  <c r="P324" i="6"/>
  <c r="N325" i="6"/>
  <c r="O325" i="6"/>
  <c r="P325" i="6"/>
  <c r="N326" i="6"/>
  <c r="O326" i="6"/>
  <c r="P326" i="6"/>
  <c r="N327" i="6"/>
  <c r="O327" i="6"/>
  <c r="P327" i="6"/>
  <c r="N328" i="6"/>
  <c r="O328" i="6"/>
  <c r="P328" i="6"/>
  <c r="Q328" i="6"/>
  <c r="Q316" i="6" s="1"/>
  <c r="N303" i="6"/>
  <c r="O303" i="6"/>
  <c r="P303" i="6"/>
  <c r="N304" i="6"/>
  <c r="O304" i="6"/>
  <c r="P304" i="6"/>
  <c r="N305" i="6"/>
  <c r="O305" i="6"/>
  <c r="P305" i="6"/>
  <c r="N306" i="6"/>
  <c r="O306" i="6"/>
  <c r="P306" i="6"/>
  <c r="N307" i="6"/>
  <c r="O307" i="6"/>
  <c r="P307" i="6"/>
  <c r="N308" i="6"/>
  <c r="O308" i="6"/>
  <c r="N309" i="6"/>
  <c r="O309" i="6"/>
  <c r="P309" i="6"/>
  <c r="N310" i="6"/>
  <c r="O310" i="6"/>
  <c r="P310" i="6"/>
  <c r="N311" i="6"/>
  <c r="O311" i="6"/>
  <c r="P311" i="6"/>
  <c r="N312" i="6"/>
  <c r="O312" i="6"/>
  <c r="P312" i="6"/>
  <c r="N313" i="6"/>
  <c r="O313" i="6"/>
  <c r="P313" i="6"/>
  <c r="N314" i="6"/>
  <c r="O314" i="6"/>
  <c r="P314" i="6"/>
  <c r="N289" i="6"/>
  <c r="O289" i="6"/>
  <c r="P289" i="6"/>
  <c r="Q289" i="6"/>
  <c r="Q288" i="6" s="1"/>
  <c r="N290" i="6"/>
  <c r="O290" i="6"/>
  <c r="P290" i="6"/>
  <c r="N291" i="6"/>
  <c r="O291" i="6"/>
  <c r="P291" i="6"/>
  <c r="N292" i="6"/>
  <c r="O292" i="6"/>
  <c r="P292" i="6"/>
  <c r="N293" i="6"/>
  <c r="O293" i="6"/>
  <c r="P293" i="6"/>
  <c r="O294" i="6"/>
  <c r="N295" i="6"/>
  <c r="O295" i="6"/>
  <c r="P295" i="6"/>
  <c r="N296" i="6"/>
  <c r="O296" i="6"/>
  <c r="P296" i="6"/>
  <c r="N297" i="6"/>
  <c r="O297" i="6"/>
  <c r="P297" i="6"/>
  <c r="N298" i="6"/>
  <c r="O298" i="6"/>
  <c r="P298" i="6"/>
  <c r="N299" i="6"/>
  <c r="O299" i="6"/>
  <c r="P299" i="6"/>
  <c r="N300" i="6"/>
  <c r="O300" i="6"/>
  <c r="P300" i="6"/>
  <c r="N275" i="6"/>
  <c r="O275" i="6"/>
  <c r="P275" i="6"/>
  <c r="N276" i="6"/>
  <c r="O276" i="6"/>
  <c r="N277" i="6"/>
  <c r="O277" i="6"/>
  <c r="P277" i="6"/>
  <c r="N278" i="6"/>
  <c r="O278" i="6"/>
  <c r="P278" i="6"/>
  <c r="N279" i="6"/>
  <c r="O279" i="6"/>
  <c r="P279" i="6"/>
  <c r="N280" i="6"/>
  <c r="O280" i="6"/>
  <c r="N281" i="6"/>
  <c r="O281" i="6"/>
  <c r="P281" i="6"/>
  <c r="N282" i="6"/>
  <c r="O282" i="6"/>
  <c r="P282" i="6"/>
  <c r="N283" i="6"/>
  <c r="O283" i="6"/>
  <c r="P283" i="6"/>
  <c r="N284" i="6"/>
  <c r="O284" i="6"/>
  <c r="N285" i="6"/>
  <c r="O285" i="6"/>
  <c r="P285" i="6"/>
  <c r="N286" i="6"/>
  <c r="O286" i="6"/>
  <c r="P286" i="6"/>
  <c r="N261" i="6"/>
  <c r="O261" i="6"/>
  <c r="P261" i="6"/>
  <c r="N262" i="6"/>
  <c r="O262" i="6"/>
  <c r="N263" i="6"/>
  <c r="O263" i="6"/>
  <c r="P263" i="6"/>
  <c r="N264" i="6"/>
  <c r="O264" i="6"/>
  <c r="P264" i="6"/>
  <c r="N265" i="6"/>
  <c r="O265" i="6"/>
  <c r="N267" i="6"/>
  <c r="O267" i="6"/>
  <c r="P267" i="6"/>
  <c r="N268" i="6"/>
  <c r="O268" i="6"/>
  <c r="P268" i="6"/>
  <c r="N269" i="6"/>
  <c r="O269" i="6"/>
  <c r="P269" i="6"/>
  <c r="N270" i="6"/>
  <c r="O270" i="6"/>
  <c r="P270" i="6"/>
  <c r="N271" i="6"/>
  <c r="O271" i="6"/>
  <c r="P271" i="6"/>
  <c r="N272" i="6"/>
  <c r="O272" i="6"/>
  <c r="P272" i="6"/>
  <c r="N247" i="6"/>
  <c r="O247" i="6"/>
  <c r="P247" i="6"/>
  <c r="N248" i="6"/>
  <c r="O248" i="6"/>
  <c r="P248" i="6"/>
  <c r="N249" i="6"/>
  <c r="O249" i="6"/>
  <c r="P249" i="6"/>
  <c r="N250" i="6"/>
  <c r="O250" i="6"/>
  <c r="N251" i="6"/>
  <c r="O251" i="6"/>
  <c r="P251" i="6"/>
  <c r="O252" i="6"/>
  <c r="N253" i="6"/>
  <c r="O253" i="6"/>
  <c r="P253" i="6"/>
  <c r="N254" i="6"/>
  <c r="O254" i="6"/>
  <c r="P254" i="6"/>
  <c r="N255" i="6"/>
  <c r="O255" i="6"/>
  <c r="P255" i="6"/>
  <c r="N256" i="6"/>
  <c r="O256" i="6"/>
  <c r="N257" i="6"/>
  <c r="O257" i="6"/>
  <c r="P257" i="6"/>
  <c r="N258" i="6"/>
  <c r="O258" i="6"/>
  <c r="P258" i="6"/>
  <c r="N233" i="6"/>
  <c r="O233" i="6"/>
  <c r="P233" i="6"/>
  <c r="N234" i="6"/>
  <c r="O234" i="6"/>
  <c r="P234" i="6"/>
  <c r="N235" i="6"/>
  <c r="O235" i="6"/>
  <c r="P235" i="6"/>
  <c r="N236" i="6"/>
  <c r="O236" i="6"/>
  <c r="N237" i="6"/>
  <c r="O237" i="6"/>
  <c r="P237" i="6"/>
  <c r="P238" i="6"/>
  <c r="N239" i="6"/>
  <c r="O239" i="6"/>
  <c r="P239" i="6"/>
  <c r="N240" i="6"/>
  <c r="O240" i="6"/>
  <c r="P240" i="6"/>
  <c r="N241" i="6"/>
  <c r="O241" i="6"/>
  <c r="P241" i="6"/>
  <c r="N242" i="6"/>
  <c r="O242" i="6"/>
  <c r="P242" i="6"/>
  <c r="N243" i="6"/>
  <c r="O243" i="6"/>
  <c r="P243" i="6"/>
  <c r="N244" i="6"/>
  <c r="O244" i="6"/>
  <c r="P244" i="6"/>
  <c r="N205" i="6"/>
  <c r="O205" i="6"/>
  <c r="P205" i="6"/>
  <c r="Q205" i="6"/>
  <c r="Q204" i="6" s="1"/>
  <c r="N206" i="6"/>
  <c r="O206" i="6"/>
  <c r="P206" i="6"/>
  <c r="N207" i="6"/>
  <c r="O207" i="6"/>
  <c r="P207" i="6"/>
  <c r="N208" i="6"/>
  <c r="O208" i="6"/>
  <c r="P208" i="6"/>
  <c r="N209" i="6"/>
  <c r="O209" i="6"/>
  <c r="P209" i="6"/>
  <c r="O210" i="6"/>
  <c r="P210" i="6"/>
  <c r="N211" i="6"/>
  <c r="O211" i="6"/>
  <c r="P211" i="6"/>
  <c r="N212" i="6"/>
  <c r="O212" i="6"/>
  <c r="P212" i="6"/>
  <c r="N213" i="6"/>
  <c r="O213" i="6"/>
  <c r="P213" i="6"/>
  <c r="N214" i="6"/>
  <c r="O214" i="6"/>
  <c r="P214" i="6"/>
  <c r="N215" i="6"/>
  <c r="O215" i="6"/>
  <c r="P215" i="6"/>
  <c r="N216" i="6"/>
  <c r="O216" i="6"/>
  <c r="P216" i="6"/>
  <c r="N191" i="6"/>
  <c r="O191" i="6"/>
  <c r="P191" i="6"/>
  <c r="N192" i="6"/>
  <c r="O192" i="6"/>
  <c r="P192" i="6"/>
  <c r="N193" i="6"/>
  <c r="O193" i="6"/>
  <c r="P193" i="6"/>
  <c r="N194" i="6"/>
  <c r="O194" i="6"/>
  <c r="N195" i="6"/>
  <c r="O195" i="6"/>
  <c r="P195" i="6"/>
  <c r="N196" i="6"/>
  <c r="O196" i="6"/>
  <c r="N197" i="6"/>
  <c r="O197" i="6"/>
  <c r="P197" i="6"/>
  <c r="N198" i="6"/>
  <c r="O198" i="6"/>
  <c r="P198" i="6"/>
  <c r="N199" i="6"/>
  <c r="O199" i="6"/>
  <c r="P199" i="6"/>
  <c r="N200" i="6"/>
  <c r="O200" i="6"/>
  <c r="P200" i="6"/>
  <c r="N201" i="6"/>
  <c r="O201" i="6"/>
  <c r="P201" i="6"/>
  <c r="N202" i="6"/>
  <c r="O202" i="6"/>
  <c r="P202" i="6"/>
  <c r="Q202" i="6"/>
  <c r="Q190" i="6" s="1"/>
  <c r="N177" i="6"/>
  <c r="O177" i="6"/>
  <c r="P177" i="6"/>
  <c r="N178" i="6"/>
  <c r="O178" i="6"/>
  <c r="P178" i="6"/>
  <c r="N179" i="6"/>
  <c r="O179" i="6"/>
  <c r="P179" i="6"/>
  <c r="N180" i="6"/>
  <c r="O180" i="6"/>
  <c r="N181" i="6"/>
  <c r="O181" i="6"/>
  <c r="P181" i="6"/>
  <c r="N182" i="6"/>
  <c r="N183" i="6"/>
  <c r="O183" i="6"/>
  <c r="P183" i="6"/>
  <c r="N184" i="6"/>
  <c r="O184" i="6"/>
  <c r="P184" i="6"/>
  <c r="N185" i="6"/>
  <c r="O185" i="6"/>
  <c r="P185" i="6"/>
  <c r="N186" i="6"/>
  <c r="O186" i="6"/>
  <c r="P186" i="6"/>
  <c r="N187" i="6"/>
  <c r="O187" i="6"/>
  <c r="P187" i="6"/>
  <c r="N188" i="6"/>
  <c r="O188" i="6"/>
  <c r="P188" i="6"/>
  <c r="N163" i="6"/>
  <c r="O163" i="6"/>
  <c r="P163" i="6"/>
  <c r="Q163" i="6"/>
  <c r="N164" i="6"/>
  <c r="O164" i="6"/>
  <c r="P164" i="6"/>
  <c r="Q164" i="6"/>
  <c r="N165" i="6"/>
  <c r="O165" i="6"/>
  <c r="P165" i="6"/>
  <c r="N166" i="6"/>
  <c r="O166" i="6"/>
  <c r="P166" i="6"/>
  <c r="N167" i="6"/>
  <c r="O167" i="6"/>
  <c r="P167" i="6"/>
  <c r="N169" i="6"/>
  <c r="O169" i="6"/>
  <c r="P169" i="6"/>
  <c r="N170" i="6"/>
  <c r="O170" i="6"/>
  <c r="P170" i="6"/>
  <c r="N171" i="6"/>
  <c r="O171" i="6"/>
  <c r="P171" i="6"/>
  <c r="N172" i="6"/>
  <c r="O172" i="6"/>
  <c r="P172" i="6"/>
  <c r="N173" i="6"/>
  <c r="O173" i="6"/>
  <c r="P173" i="6"/>
  <c r="N174" i="6"/>
  <c r="O174" i="6"/>
  <c r="P174" i="6"/>
  <c r="N149" i="6"/>
  <c r="O149" i="6"/>
  <c r="P149" i="6"/>
  <c r="N150" i="6"/>
  <c r="O150" i="6"/>
  <c r="P150" i="6"/>
  <c r="N151" i="6"/>
  <c r="O151" i="6"/>
  <c r="P151" i="6"/>
  <c r="N152" i="6"/>
  <c r="O152" i="6"/>
  <c r="N153" i="6"/>
  <c r="O153" i="6"/>
  <c r="P153" i="6"/>
  <c r="P154" i="6"/>
  <c r="N155" i="6"/>
  <c r="O155" i="6"/>
  <c r="P155" i="6"/>
  <c r="N156" i="6"/>
  <c r="O156" i="6"/>
  <c r="N157" i="6"/>
  <c r="O157" i="6"/>
  <c r="P157" i="6"/>
  <c r="N158" i="6"/>
  <c r="O158" i="6"/>
  <c r="P158" i="6"/>
  <c r="N159" i="6"/>
  <c r="O159" i="6"/>
  <c r="P159" i="6"/>
  <c r="N160" i="6"/>
  <c r="O160" i="6"/>
  <c r="P160" i="6"/>
  <c r="N135" i="6"/>
  <c r="O135" i="6"/>
  <c r="N136" i="6"/>
  <c r="O136" i="6"/>
  <c r="N137" i="6"/>
  <c r="O137" i="6"/>
  <c r="N138" i="6"/>
  <c r="O138" i="6"/>
  <c r="N139" i="6"/>
  <c r="O139" i="6"/>
  <c r="O140" i="6"/>
  <c r="P140" i="6"/>
  <c r="N141" i="6"/>
  <c r="O141" i="6"/>
  <c r="P141" i="6"/>
  <c r="N142" i="6"/>
  <c r="O142" i="6"/>
  <c r="P142" i="6"/>
  <c r="N143" i="6"/>
  <c r="O143" i="6"/>
  <c r="N144" i="6"/>
  <c r="O144" i="6"/>
  <c r="P144" i="6"/>
  <c r="N145" i="6"/>
  <c r="O145" i="6"/>
  <c r="P145" i="6"/>
  <c r="N146" i="6"/>
  <c r="O146" i="6"/>
  <c r="P146" i="6"/>
  <c r="N121" i="6"/>
  <c r="O121" i="6"/>
  <c r="P121" i="6"/>
  <c r="N122" i="6"/>
  <c r="O122" i="6"/>
  <c r="P122" i="6"/>
  <c r="N123" i="6"/>
  <c r="O123" i="6"/>
  <c r="P123" i="6"/>
  <c r="N124" i="6"/>
  <c r="O124" i="6"/>
  <c r="P124" i="6"/>
  <c r="N125" i="6"/>
  <c r="O125" i="6"/>
  <c r="P125" i="6"/>
  <c r="N127" i="6"/>
  <c r="O127" i="6"/>
  <c r="P127" i="6"/>
  <c r="N128" i="6"/>
  <c r="O128" i="6"/>
  <c r="P128" i="6"/>
  <c r="N129" i="6"/>
  <c r="O129" i="6"/>
  <c r="P129" i="6"/>
  <c r="N130" i="6"/>
  <c r="O130" i="6"/>
  <c r="P130" i="6"/>
  <c r="N131" i="6"/>
  <c r="O131" i="6"/>
  <c r="P131" i="6"/>
  <c r="N132" i="6"/>
  <c r="O132" i="6"/>
  <c r="P132" i="6"/>
  <c r="N107" i="6"/>
  <c r="O107" i="6"/>
  <c r="P107" i="6"/>
  <c r="N108" i="6"/>
  <c r="O108" i="6"/>
  <c r="P108" i="6"/>
  <c r="N109" i="6"/>
  <c r="O109" i="6"/>
  <c r="P109" i="6"/>
  <c r="N110" i="6"/>
  <c r="O110" i="6"/>
  <c r="P110" i="6"/>
  <c r="N111" i="6"/>
  <c r="O111" i="6"/>
  <c r="P111" i="6"/>
  <c r="N113" i="6"/>
  <c r="O113" i="6"/>
  <c r="P113" i="6"/>
  <c r="N114" i="6"/>
  <c r="O114" i="6"/>
  <c r="N115" i="6"/>
  <c r="O115" i="6"/>
  <c r="P115" i="6"/>
  <c r="N116" i="6"/>
  <c r="O116" i="6"/>
  <c r="P116" i="6"/>
  <c r="N117" i="6"/>
  <c r="O117" i="6"/>
  <c r="P117" i="6"/>
  <c r="N118" i="6"/>
  <c r="O118" i="6"/>
  <c r="P118" i="6"/>
  <c r="N93" i="6"/>
  <c r="O93" i="6"/>
  <c r="P93" i="6"/>
  <c r="N94" i="6"/>
  <c r="O94" i="6"/>
  <c r="P94" i="6"/>
  <c r="N95" i="6"/>
  <c r="O95" i="6"/>
  <c r="P95" i="6"/>
  <c r="N96" i="6"/>
  <c r="O96" i="6"/>
  <c r="P96" i="6"/>
  <c r="N97" i="6"/>
  <c r="O97" i="6"/>
  <c r="P97" i="6"/>
  <c r="N98" i="6"/>
  <c r="P98" i="6"/>
  <c r="N99" i="6"/>
  <c r="O99" i="6"/>
  <c r="P99" i="6"/>
  <c r="N100" i="6"/>
  <c r="O100" i="6"/>
  <c r="P100" i="6"/>
  <c r="N101" i="6"/>
  <c r="O101" i="6"/>
  <c r="P101" i="6"/>
  <c r="N102" i="6"/>
  <c r="O102" i="6"/>
  <c r="P102" i="6"/>
  <c r="N103" i="6"/>
  <c r="O103" i="6"/>
  <c r="P103" i="6"/>
  <c r="N104" i="6"/>
  <c r="O104" i="6"/>
  <c r="P104" i="6"/>
  <c r="N79" i="6"/>
  <c r="O79" i="6"/>
  <c r="P79" i="6"/>
  <c r="N80" i="6"/>
  <c r="O80" i="6"/>
  <c r="P80" i="6"/>
  <c r="N81" i="6"/>
  <c r="O81" i="6"/>
  <c r="P81" i="6"/>
  <c r="N82" i="6"/>
  <c r="O82" i="6"/>
  <c r="N83" i="6"/>
  <c r="O83" i="6"/>
  <c r="P83" i="6"/>
  <c r="O84" i="6"/>
  <c r="P84" i="6"/>
  <c r="N85" i="6"/>
  <c r="O85" i="6"/>
  <c r="P85" i="6"/>
  <c r="N86" i="6"/>
  <c r="O86" i="6"/>
  <c r="N87" i="6"/>
  <c r="O87" i="6"/>
  <c r="N88" i="6"/>
  <c r="O88" i="6"/>
  <c r="N89" i="6"/>
  <c r="O89" i="6"/>
  <c r="P89" i="6"/>
  <c r="N90" i="6"/>
  <c r="O90" i="6"/>
  <c r="P90" i="6"/>
  <c r="N65" i="6"/>
  <c r="O65" i="6"/>
  <c r="P65" i="6"/>
  <c r="N66" i="6"/>
  <c r="O66" i="6"/>
  <c r="P66" i="6"/>
  <c r="N67" i="6"/>
  <c r="O67" i="6"/>
  <c r="P67" i="6"/>
  <c r="N68" i="6"/>
  <c r="O68" i="6"/>
  <c r="P68" i="6"/>
  <c r="N69" i="6"/>
  <c r="O69" i="6"/>
  <c r="P69" i="6"/>
  <c r="O70" i="6"/>
  <c r="N71" i="6"/>
  <c r="O71" i="6"/>
  <c r="P71" i="6"/>
  <c r="N72" i="6"/>
  <c r="O72" i="6"/>
  <c r="P72" i="6"/>
  <c r="N73" i="6"/>
  <c r="O73" i="6"/>
  <c r="P73" i="6"/>
  <c r="N74" i="6"/>
  <c r="O74" i="6"/>
  <c r="P74" i="6"/>
  <c r="N75" i="6"/>
  <c r="O75" i="6"/>
  <c r="P75" i="6"/>
  <c r="N76" i="6"/>
  <c r="O76" i="6"/>
  <c r="P76" i="6"/>
  <c r="N51" i="6"/>
  <c r="O51" i="6"/>
  <c r="P51" i="6"/>
  <c r="N52" i="6"/>
  <c r="O52" i="6"/>
  <c r="P52" i="6"/>
  <c r="N53" i="6"/>
  <c r="O53" i="6"/>
  <c r="P53" i="6"/>
  <c r="N54" i="6"/>
  <c r="O54" i="6"/>
  <c r="N55" i="6"/>
  <c r="O55" i="6"/>
  <c r="P55" i="6"/>
  <c r="N56" i="6"/>
  <c r="N57" i="6"/>
  <c r="O57" i="6"/>
  <c r="P57" i="6"/>
  <c r="N58" i="6"/>
  <c r="O58" i="6"/>
  <c r="P58" i="6"/>
  <c r="N59" i="6"/>
  <c r="O59" i="6"/>
  <c r="P59" i="6"/>
  <c r="N60" i="6"/>
  <c r="O60" i="6"/>
  <c r="P60" i="6"/>
  <c r="N61" i="6"/>
  <c r="O61" i="6"/>
  <c r="P61" i="6"/>
  <c r="N62" i="6"/>
  <c r="O62" i="6"/>
  <c r="P62" i="6"/>
  <c r="N48" i="6"/>
  <c r="O48" i="6"/>
  <c r="P48" i="6"/>
  <c r="N37" i="6"/>
  <c r="O37" i="6"/>
  <c r="P37" i="6"/>
  <c r="N38" i="6"/>
  <c r="O38" i="6"/>
  <c r="P38" i="6"/>
  <c r="N39" i="6"/>
  <c r="O39" i="6"/>
  <c r="P39" i="6"/>
  <c r="N40" i="6"/>
  <c r="O40" i="6"/>
  <c r="P40" i="6"/>
  <c r="N41" i="6"/>
  <c r="O41" i="6"/>
  <c r="P41" i="6"/>
  <c r="N42" i="6"/>
  <c r="P42" i="6"/>
  <c r="N43" i="6"/>
  <c r="O43" i="6"/>
  <c r="P43" i="6"/>
  <c r="N44" i="6"/>
  <c r="O44" i="6"/>
  <c r="P44" i="6"/>
  <c r="N45" i="6"/>
  <c r="O45" i="6"/>
  <c r="P45" i="6"/>
  <c r="N46" i="6"/>
  <c r="O46" i="6"/>
  <c r="P46" i="6"/>
  <c r="N47" i="6"/>
  <c r="O47" i="6"/>
  <c r="P47" i="6"/>
  <c r="N23" i="6"/>
  <c r="O23" i="6"/>
  <c r="P23" i="6"/>
  <c r="N24" i="6"/>
  <c r="O24" i="6"/>
  <c r="N25" i="6"/>
  <c r="O25" i="6"/>
  <c r="N26" i="6"/>
  <c r="O26" i="6"/>
  <c r="N27" i="6"/>
  <c r="O27" i="6"/>
  <c r="P27" i="6"/>
  <c r="O28" i="6"/>
  <c r="N29" i="6"/>
  <c r="O29" i="6"/>
  <c r="P29" i="6"/>
  <c r="N30" i="6"/>
  <c r="O30" i="6"/>
  <c r="P30" i="6"/>
  <c r="N31" i="6"/>
  <c r="O31" i="6"/>
  <c r="P31" i="6"/>
  <c r="N32" i="6"/>
  <c r="O32" i="6"/>
  <c r="N33" i="6"/>
  <c r="O33" i="6"/>
  <c r="P33" i="6"/>
  <c r="N34" i="6"/>
  <c r="O34" i="6"/>
  <c r="P34" i="6"/>
  <c r="Q162" i="6" l="1"/>
  <c r="P344" i="6"/>
  <c r="O162" i="6"/>
  <c r="P358" i="6"/>
  <c r="P274" i="6"/>
  <c r="P260" i="6"/>
  <c r="N232" i="6"/>
  <c r="Q372" i="6"/>
  <c r="P204" i="6"/>
  <c r="P190" i="6"/>
  <c r="P176" i="6"/>
  <c r="P148" i="6"/>
  <c r="P134" i="6"/>
  <c r="N120" i="6"/>
  <c r="P50" i="6"/>
  <c r="N50" i="6"/>
  <c r="P22" i="6"/>
  <c r="P36" i="6"/>
  <c r="P64" i="6"/>
  <c r="O274" i="6"/>
  <c r="O288" i="6"/>
  <c r="N316" i="6"/>
  <c r="N358" i="6"/>
  <c r="O190" i="6"/>
  <c r="O204" i="6"/>
  <c r="N302" i="6"/>
  <c r="P372" i="6"/>
  <c r="O36" i="6"/>
  <c r="O64" i="6"/>
  <c r="P120" i="6"/>
  <c r="O176" i="6"/>
  <c r="N274" i="6"/>
  <c r="N288" i="6"/>
  <c r="N190" i="6"/>
  <c r="N204" i="6"/>
  <c r="O372" i="6"/>
  <c r="O302" i="6"/>
  <c r="N36" i="6"/>
  <c r="O50" i="6"/>
  <c r="N64" i="6"/>
  <c r="O120" i="6"/>
  <c r="P162" i="6"/>
  <c r="N176" i="6"/>
  <c r="P106" i="6"/>
  <c r="O148" i="6"/>
  <c r="O260" i="6"/>
  <c r="N372" i="6"/>
  <c r="N162" i="6"/>
  <c r="P330" i="6"/>
  <c r="O22" i="6"/>
  <c r="N106" i="6"/>
  <c r="P92" i="6"/>
  <c r="P246" i="6"/>
  <c r="O330" i="6"/>
  <c r="N22" i="6"/>
  <c r="P78" i="6"/>
  <c r="O134" i="6"/>
  <c r="O92" i="6"/>
  <c r="O246" i="6"/>
  <c r="N330" i="6"/>
  <c r="O78" i="6"/>
  <c r="N134" i="6"/>
  <c r="N92" i="6"/>
  <c r="N246" i="6"/>
  <c r="P386" i="6"/>
  <c r="O106" i="6"/>
  <c r="N260" i="6"/>
  <c r="N78" i="6"/>
  <c r="P232" i="6"/>
  <c r="P316" i="6"/>
  <c r="O344" i="6"/>
  <c r="O386" i="6"/>
  <c r="N148" i="6"/>
  <c r="P302" i="6"/>
  <c r="O232" i="6"/>
  <c r="P288" i="6"/>
  <c r="O316" i="6"/>
  <c r="N344" i="6"/>
  <c r="O358" i="6"/>
  <c r="N386" i="6"/>
  <c r="N374" i="8" l="1"/>
  <c r="O374" i="8"/>
  <c r="P374" i="8"/>
  <c r="Q374" i="8"/>
  <c r="N375" i="8"/>
  <c r="O375" i="8"/>
  <c r="P375" i="8"/>
  <c r="Q375" i="8"/>
  <c r="N376" i="8"/>
  <c r="O376" i="8"/>
  <c r="P376" i="8"/>
  <c r="Q376" i="8"/>
  <c r="N377" i="8"/>
  <c r="O377" i="8"/>
  <c r="P377" i="8"/>
  <c r="Q377" i="8"/>
  <c r="O378" i="8"/>
  <c r="P378" i="8"/>
  <c r="N379" i="8"/>
  <c r="O379" i="8"/>
  <c r="P379" i="8"/>
  <c r="Q379" i="8"/>
  <c r="N380" i="8"/>
  <c r="O380" i="8"/>
  <c r="P380" i="8"/>
  <c r="Q380" i="8"/>
  <c r="N381" i="8"/>
  <c r="O381" i="8"/>
  <c r="P381" i="8"/>
  <c r="Q381" i="8"/>
  <c r="N382" i="8"/>
  <c r="O382" i="8"/>
  <c r="P382" i="8"/>
  <c r="Q382" i="8"/>
  <c r="N383" i="8"/>
  <c r="O383" i="8"/>
  <c r="Q383" i="8"/>
  <c r="N384" i="8"/>
  <c r="O384" i="8"/>
  <c r="P384" i="8"/>
  <c r="Q384" i="8"/>
  <c r="Q373" i="8"/>
  <c r="P373" i="8"/>
  <c r="O373" i="8"/>
  <c r="N373" i="8"/>
  <c r="N388" i="8"/>
  <c r="O388" i="8"/>
  <c r="N389" i="8"/>
  <c r="O389" i="8"/>
  <c r="P389" i="8"/>
  <c r="N390" i="8"/>
  <c r="O390" i="8"/>
  <c r="P390" i="8"/>
  <c r="N391" i="8"/>
  <c r="O391" i="8"/>
  <c r="P391" i="8"/>
  <c r="O392" i="8"/>
  <c r="N393" i="8"/>
  <c r="O393" i="8"/>
  <c r="P393" i="8"/>
  <c r="N394" i="8"/>
  <c r="O394" i="8"/>
  <c r="P394" i="8"/>
  <c r="N395" i="8"/>
  <c r="O395" i="8"/>
  <c r="P395" i="8"/>
  <c r="N396" i="8"/>
  <c r="O396" i="8"/>
  <c r="P396" i="8"/>
  <c r="N397" i="8"/>
  <c r="O397" i="8"/>
  <c r="P397" i="8"/>
  <c r="Q397" i="8"/>
  <c r="N398" i="8"/>
  <c r="O398" i="8"/>
  <c r="P398" i="8"/>
  <c r="Q398" i="8"/>
  <c r="Q387" i="8"/>
  <c r="P387" i="8"/>
  <c r="O387" i="8"/>
  <c r="N387" i="8"/>
  <c r="N360" i="8"/>
  <c r="O360" i="8"/>
  <c r="N361" i="8"/>
  <c r="O361" i="8"/>
  <c r="P361" i="8"/>
  <c r="N362" i="8"/>
  <c r="O362" i="8"/>
  <c r="P362" i="8"/>
  <c r="N363" i="8"/>
  <c r="O363" i="8"/>
  <c r="P363" i="8"/>
  <c r="N364" i="8"/>
  <c r="N365" i="8"/>
  <c r="O365" i="8"/>
  <c r="P365" i="8"/>
  <c r="N366" i="8"/>
  <c r="O366" i="8"/>
  <c r="P366" i="8"/>
  <c r="N367" i="8"/>
  <c r="O367" i="8"/>
  <c r="P367" i="8"/>
  <c r="N368" i="8"/>
  <c r="O368" i="8"/>
  <c r="P368" i="8"/>
  <c r="N369" i="8"/>
  <c r="O369" i="8"/>
  <c r="P369" i="8"/>
  <c r="Q369" i="8"/>
  <c r="N370" i="8"/>
  <c r="O370" i="8"/>
  <c r="P370" i="8"/>
  <c r="Q370" i="8"/>
  <c r="Q359" i="8"/>
  <c r="P359" i="8"/>
  <c r="O359" i="8"/>
  <c r="N359" i="8"/>
  <c r="N346" i="8"/>
  <c r="O346" i="8"/>
  <c r="N347" i="8"/>
  <c r="O347" i="8"/>
  <c r="P347" i="8"/>
  <c r="N348" i="8"/>
  <c r="P348" i="8"/>
  <c r="N349" i="8"/>
  <c r="P349" i="8"/>
  <c r="O350" i="8"/>
  <c r="N351" i="8"/>
  <c r="O351" i="8"/>
  <c r="P351" i="8"/>
  <c r="N352" i="8"/>
  <c r="O352" i="8"/>
  <c r="P352" i="8"/>
  <c r="N353" i="8"/>
  <c r="O353" i="8"/>
  <c r="P353" i="8"/>
  <c r="N354" i="8"/>
  <c r="O354" i="8"/>
  <c r="P354" i="8"/>
  <c r="N355" i="8"/>
  <c r="O355" i="8"/>
  <c r="P355" i="8"/>
  <c r="N356" i="8"/>
  <c r="O356" i="8"/>
  <c r="P356" i="8"/>
  <c r="Q345" i="8"/>
  <c r="Q344" i="8" s="1"/>
  <c r="P345" i="8"/>
  <c r="O345" i="8"/>
  <c r="N345" i="8"/>
  <c r="N332" i="8"/>
  <c r="O332" i="8"/>
  <c r="N333" i="8"/>
  <c r="O333" i="8"/>
  <c r="P333" i="8"/>
  <c r="N334" i="8"/>
  <c r="O334" i="8"/>
  <c r="P334" i="8"/>
  <c r="N335" i="8"/>
  <c r="O335" i="8"/>
  <c r="P335" i="8"/>
  <c r="N336" i="8"/>
  <c r="N337" i="8"/>
  <c r="O337" i="8"/>
  <c r="P337" i="8"/>
  <c r="N338" i="8"/>
  <c r="O338" i="8"/>
  <c r="P338" i="8"/>
  <c r="N339" i="8"/>
  <c r="O339" i="8"/>
  <c r="P339" i="8"/>
  <c r="N340" i="8"/>
  <c r="O340" i="8"/>
  <c r="P340" i="8"/>
  <c r="N341" i="8"/>
  <c r="O341" i="8"/>
  <c r="P341" i="8"/>
  <c r="N342" i="8"/>
  <c r="O342" i="8"/>
  <c r="P342" i="8"/>
  <c r="Q342" i="8"/>
  <c r="Q331" i="8"/>
  <c r="P331" i="8"/>
  <c r="O331" i="8"/>
  <c r="N331" i="8"/>
  <c r="N318" i="8"/>
  <c r="O318" i="8"/>
  <c r="P318" i="8"/>
  <c r="N319" i="8"/>
  <c r="O319" i="8"/>
  <c r="P319" i="8"/>
  <c r="N320" i="8"/>
  <c r="O320" i="8"/>
  <c r="P320" i="8"/>
  <c r="N321" i="8"/>
  <c r="O321" i="8"/>
  <c r="P321" i="8"/>
  <c r="N322" i="8"/>
  <c r="N323" i="8"/>
  <c r="O323" i="8"/>
  <c r="P323" i="8"/>
  <c r="N324" i="8"/>
  <c r="O324" i="8"/>
  <c r="P324" i="8"/>
  <c r="N325" i="8"/>
  <c r="O325" i="8"/>
  <c r="P325" i="8"/>
  <c r="N326" i="8"/>
  <c r="O326" i="8"/>
  <c r="P326" i="8"/>
  <c r="N327" i="8"/>
  <c r="O327" i="8"/>
  <c r="P327" i="8"/>
  <c r="Q327" i="8"/>
  <c r="N328" i="8"/>
  <c r="O328" i="8"/>
  <c r="P328" i="8"/>
  <c r="Q328" i="8"/>
  <c r="Q317" i="8"/>
  <c r="P317" i="8"/>
  <c r="O317" i="8"/>
  <c r="N317" i="8"/>
  <c r="N304" i="8"/>
  <c r="O304" i="8"/>
  <c r="P304" i="8"/>
  <c r="Q304" i="8"/>
  <c r="N305" i="8"/>
  <c r="O305" i="8"/>
  <c r="P305" i="8"/>
  <c r="Q305" i="8"/>
  <c r="N306" i="8"/>
  <c r="O306" i="8"/>
  <c r="P306" i="8"/>
  <c r="Q306" i="8"/>
  <c r="N307" i="8"/>
  <c r="O307" i="8"/>
  <c r="P307" i="8"/>
  <c r="Q307" i="8"/>
  <c r="N309" i="8"/>
  <c r="O309" i="8"/>
  <c r="P309" i="8"/>
  <c r="Q309" i="8"/>
  <c r="N310" i="8"/>
  <c r="O310" i="8"/>
  <c r="P310" i="8"/>
  <c r="N311" i="8"/>
  <c r="O311" i="8"/>
  <c r="P311" i="8"/>
  <c r="N312" i="8"/>
  <c r="O312" i="8"/>
  <c r="P312" i="8"/>
  <c r="N313" i="8"/>
  <c r="O313" i="8"/>
  <c r="P313" i="8"/>
  <c r="Q313" i="8"/>
  <c r="N314" i="8"/>
  <c r="O314" i="8"/>
  <c r="P314" i="8"/>
  <c r="Q314" i="8"/>
  <c r="P303" i="8"/>
  <c r="O303" i="8"/>
  <c r="N303" i="8"/>
  <c r="N290" i="8"/>
  <c r="O290" i="8"/>
  <c r="P290" i="8"/>
  <c r="Q290" i="8"/>
  <c r="N291" i="8"/>
  <c r="O291" i="8"/>
  <c r="P291" i="8"/>
  <c r="N292" i="8"/>
  <c r="O292" i="8"/>
  <c r="P292" i="8"/>
  <c r="Q292" i="8"/>
  <c r="N293" i="8"/>
  <c r="O293" i="8"/>
  <c r="P293" i="8"/>
  <c r="Q293" i="8"/>
  <c r="O294" i="8"/>
  <c r="Q294" i="8"/>
  <c r="N295" i="8"/>
  <c r="O295" i="8"/>
  <c r="P295" i="8"/>
  <c r="Q295" i="8"/>
  <c r="N296" i="8"/>
  <c r="O296" i="8"/>
  <c r="P296" i="8"/>
  <c r="Q296" i="8"/>
  <c r="N297" i="8"/>
  <c r="O297" i="8"/>
  <c r="P297" i="8"/>
  <c r="Q297" i="8"/>
  <c r="N298" i="8"/>
  <c r="O298" i="8"/>
  <c r="P298" i="8"/>
  <c r="Q298" i="8"/>
  <c r="N299" i="8"/>
  <c r="P299" i="8"/>
  <c r="Q299" i="8"/>
  <c r="N300" i="8"/>
  <c r="O300" i="8"/>
  <c r="P300" i="8"/>
  <c r="Q300" i="8"/>
  <c r="Q289" i="8"/>
  <c r="P289" i="8"/>
  <c r="O289" i="8"/>
  <c r="N289" i="8"/>
  <c r="N276" i="8"/>
  <c r="O276" i="8"/>
  <c r="Q276" i="8"/>
  <c r="N277" i="8"/>
  <c r="O277" i="8"/>
  <c r="Q277" i="8"/>
  <c r="N278" i="8"/>
  <c r="O278" i="8"/>
  <c r="O279" i="8"/>
  <c r="N280" i="8"/>
  <c r="O280" i="8"/>
  <c r="N281" i="8"/>
  <c r="O281" i="8"/>
  <c r="N282" i="8"/>
  <c r="O282" i="8"/>
  <c r="N283" i="8"/>
  <c r="O283" i="8"/>
  <c r="N284" i="8"/>
  <c r="O284" i="8"/>
  <c r="N285" i="8"/>
  <c r="O285" i="8"/>
  <c r="P285" i="8"/>
  <c r="N286" i="8"/>
  <c r="O286" i="8"/>
  <c r="P286" i="8"/>
  <c r="Q275" i="8"/>
  <c r="P275" i="8"/>
  <c r="O275" i="8"/>
  <c r="N275" i="8"/>
  <c r="N262" i="8"/>
  <c r="O262" i="8"/>
  <c r="P262" i="8"/>
  <c r="N263" i="8"/>
  <c r="O263" i="8"/>
  <c r="P263" i="8"/>
  <c r="N264" i="8"/>
  <c r="O264" i="8"/>
  <c r="P264" i="8"/>
  <c r="N265" i="8"/>
  <c r="O265" i="8"/>
  <c r="P265" i="8"/>
  <c r="N266" i="8"/>
  <c r="O266" i="8"/>
  <c r="N267" i="8"/>
  <c r="O267" i="8"/>
  <c r="P267" i="8"/>
  <c r="N268" i="8"/>
  <c r="O268" i="8"/>
  <c r="P268" i="8"/>
  <c r="N269" i="8"/>
  <c r="O269" i="8"/>
  <c r="P269" i="8"/>
  <c r="N270" i="8"/>
  <c r="O270" i="8"/>
  <c r="P270" i="8"/>
  <c r="N271" i="8"/>
  <c r="P271" i="8"/>
  <c r="N272" i="8"/>
  <c r="O272" i="8"/>
  <c r="P272" i="8"/>
  <c r="Q261" i="8"/>
  <c r="Q260" i="8" s="1"/>
  <c r="P261" i="8"/>
  <c r="O261" i="8"/>
  <c r="N261" i="8"/>
  <c r="N248" i="8"/>
  <c r="O248" i="8"/>
  <c r="P248" i="8"/>
  <c r="Q248" i="8"/>
  <c r="N249" i="8"/>
  <c r="O249" i="8"/>
  <c r="P249" i="8"/>
  <c r="Q249" i="8"/>
  <c r="N250" i="8"/>
  <c r="O250" i="8"/>
  <c r="Q250" i="8"/>
  <c r="N251" i="8"/>
  <c r="O251" i="8"/>
  <c r="P251" i="8"/>
  <c r="N253" i="8"/>
  <c r="O253" i="8"/>
  <c r="P253" i="8"/>
  <c r="N254" i="8"/>
  <c r="O254" i="8"/>
  <c r="P254" i="8"/>
  <c r="N255" i="8"/>
  <c r="O255" i="8"/>
  <c r="P255" i="8"/>
  <c r="N256" i="8"/>
  <c r="O256" i="8"/>
  <c r="P256" i="8"/>
  <c r="N257" i="8"/>
  <c r="O257" i="8"/>
  <c r="P257" i="8"/>
  <c r="N258" i="8"/>
  <c r="O258" i="8"/>
  <c r="P258" i="8"/>
  <c r="Q247" i="8"/>
  <c r="P247" i="8"/>
  <c r="O247" i="8"/>
  <c r="N247" i="8"/>
  <c r="N234" i="8"/>
  <c r="O234" i="8"/>
  <c r="P234" i="8"/>
  <c r="N235" i="8"/>
  <c r="O235" i="8"/>
  <c r="P235" i="8"/>
  <c r="Q235" i="8"/>
  <c r="N236" i="8"/>
  <c r="O236" i="8"/>
  <c r="P236" i="8"/>
  <c r="Q236" i="8"/>
  <c r="N237" i="8"/>
  <c r="O237" i="8"/>
  <c r="P237" i="8"/>
  <c r="Q237" i="8"/>
  <c r="O238" i="8"/>
  <c r="P238" i="8"/>
  <c r="Q238" i="8"/>
  <c r="N239" i="8"/>
  <c r="O239" i="8"/>
  <c r="P239" i="8"/>
  <c r="Q239" i="8"/>
  <c r="N240" i="8"/>
  <c r="O240" i="8"/>
  <c r="P240" i="8"/>
  <c r="Q240" i="8"/>
  <c r="N241" i="8"/>
  <c r="O241" i="8"/>
  <c r="P241" i="8"/>
  <c r="Q241" i="8"/>
  <c r="N242" i="8"/>
  <c r="O242" i="8"/>
  <c r="P242" i="8"/>
  <c r="Q242" i="8"/>
  <c r="N243" i="8"/>
  <c r="O243" i="8"/>
  <c r="P243" i="8"/>
  <c r="Q243" i="8"/>
  <c r="N244" i="8"/>
  <c r="O244" i="8"/>
  <c r="P244" i="8"/>
  <c r="Q244" i="8"/>
  <c r="Q233" i="8"/>
  <c r="P233" i="8"/>
  <c r="O233" i="8"/>
  <c r="N233" i="8"/>
  <c r="N206" i="8"/>
  <c r="O206" i="8"/>
  <c r="P206" i="8"/>
  <c r="N207" i="8"/>
  <c r="O207" i="8"/>
  <c r="P207" i="8"/>
  <c r="N208" i="8"/>
  <c r="O208" i="8"/>
  <c r="P208" i="8"/>
  <c r="N209" i="8"/>
  <c r="O209" i="8"/>
  <c r="P209" i="8"/>
  <c r="O210" i="8"/>
  <c r="P210" i="8"/>
  <c r="N211" i="8"/>
  <c r="O211" i="8"/>
  <c r="P211" i="8"/>
  <c r="N212" i="8"/>
  <c r="O212" i="8"/>
  <c r="P212" i="8"/>
  <c r="N213" i="8"/>
  <c r="O213" i="8"/>
  <c r="P213" i="8"/>
  <c r="N214" i="8"/>
  <c r="O214" i="8"/>
  <c r="P214" i="8"/>
  <c r="N215" i="8"/>
  <c r="O215" i="8"/>
  <c r="P215" i="8"/>
  <c r="Q215" i="8"/>
  <c r="N216" i="8"/>
  <c r="P216" i="8"/>
  <c r="Q216" i="8"/>
  <c r="Q205" i="8"/>
  <c r="P205" i="8"/>
  <c r="O205" i="8"/>
  <c r="N205" i="8"/>
  <c r="N192" i="8"/>
  <c r="O192" i="8"/>
  <c r="P192" i="8"/>
  <c r="Q192" i="8"/>
  <c r="N193" i="8"/>
  <c r="O193" i="8"/>
  <c r="P193" i="8"/>
  <c r="Q193" i="8"/>
  <c r="N194" i="8"/>
  <c r="O194" i="8"/>
  <c r="P194" i="8"/>
  <c r="Q194" i="8"/>
  <c r="N195" i="8"/>
  <c r="O195" i="8"/>
  <c r="P195" i="8"/>
  <c r="Q195" i="8"/>
  <c r="O196" i="8"/>
  <c r="N197" i="8"/>
  <c r="O197" i="8"/>
  <c r="P197" i="8"/>
  <c r="Q197" i="8"/>
  <c r="N198" i="8"/>
  <c r="O198" i="8"/>
  <c r="P198" i="8"/>
  <c r="N199" i="8"/>
  <c r="O199" i="8"/>
  <c r="P199" i="8"/>
  <c r="Q199" i="8"/>
  <c r="N200" i="8"/>
  <c r="O200" i="8"/>
  <c r="P200" i="8"/>
  <c r="Q200" i="8"/>
  <c r="N201" i="8"/>
  <c r="O201" i="8"/>
  <c r="P201" i="8"/>
  <c r="Q201" i="8"/>
  <c r="N202" i="8"/>
  <c r="O202" i="8"/>
  <c r="P202" i="8"/>
  <c r="Q202" i="8"/>
  <c r="Q191" i="8"/>
  <c r="P191" i="8"/>
  <c r="O191" i="8"/>
  <c r="N191" i="8"/>
  <c r="N178" i="8"/>
  <c r="O178" i="8"/>
  <c r="P178" i="8"/>
  <c r="Q178" i="8"/>
  <c r="N179" i="8"/>
  <c r="O179" i="8"/>
  <c r="P179" i="8"/>
  <c r="Q179" i="8"/>
  <c r="N180" i="8"/>
  <c r="O180" i="8"/>
  <c r="P180" i="8"/>
  <c r="Q180" i="8"/>
  <c r="N181" i="8"/>
  <c r="O181" i="8"/>
  <c r="P181" i="8"/>
  <c r="Q181" i="8"/>
  <c r="N182" i="8"/>
  <c r="O182" i="8"/>
  <c r="P182" i="8"/>
  <c r="N183" i="8"/>
  <c r="O183" i="8"/>
  <c r="P183" i="8"/>
  <c r="Q183" i="8"/>
  <c r="N184" i="8"/>
  <c r="O184" i="8"/>
  <c r="P184" i="8"/>
  <c r="Q184" i="8"/>
  <c r="N185" i="8"/>
  <c r="O185" i="8"/>
  <c r="P185" i="8"/>
  <c r="N186" i="8"/>
  <c r="O186" i="8"/>
  <c r="P186" i="8"/>
  <c r="P187" i="8"/>
  <c r="Q187" i="8"/>
  <c r="N188" i="8"/>
  <c r="O188" i="8"/>
  <c r="P188" i="8"/>
  <c r="Q188" i="8"/>
  <c r="Q177" i="8"/>
  <c r="P177" i="8"/>
  <c r="O177" i="8"/>
  <c r="N177" i="8"/>
  <c r="N164" i="8"/>
  <c r="O164" i="8"/>
  <c r="P164" i="8"/>
  <c r="Q164" i="8"/>
  <c r="N165" i="8"/>
  <c r="O165" i="8"/>
  <c r="P165" i="8"/>
  <c r="Q165" i="8"/>
  <c r="N166" i="8"/>
  <c r="O166" i="8"/>
  <c r="P166" i="8"/>
  <c r="Q166" i="8"/>
  <c r="N167" i="8"/>
  <c r="O167" i="8"/>
  <c r="P167" i="8"/>
  <c r="Q167" i="8"/>
  <c r="N168" i="8"/>
  <c r="N169" i="8"/>
  <c r="O169" i="8"/>
  <c r="P169" i="8"/>
  <c r="Q169" i="8"/>
  <c r="N170" i="8"/>
  <c r="O170" i="8"/>
  <c r="P170" i="8"/>
  <c r="N171" i="8"/>
  <c r="O171" i="8"/>
  <c r="P171" i="8"/>
  <c r="N172" i="8"/>
  <c r="O172" i="8"/>
  <c r="P172" i="8"/>
  <c r="N173" i="8"/>
  <c r="O173" i="8"/>
  <c r="P173" i="8"/>
  <c r="Q173" i="8"/>
  <c r="N174" i="8"/>
  <c r="O174" i="8"/>
  <c r="P174" i="8"/>
  <c r="Q174" i="8"/>
  <c r="Q163" i="8"/>
  <c r="P163" i="8"/>
  <c r="O163" i="8"/>
  <c r="N163" i="8"/>
  <c r="N150" i="8"/>
  <c r="O150" i="8"/>
  <c r="P150" i="8"/>
  <c r="N151" i="8"/>
  <c r="O151" i="8"/>
  <c r="P151" i="8"/>
  <c r="N152" i="8"/>
  <c r="O152" i="8"/>
  <c r="P152" i="8"/>
  <c r="N153" i="8"/>
  <c r="P153" i="8"/>
  <c r="N154" i="8"/>
  <c r="O154" i="8"/>
  <c r="P154" i="8"/>
  <c r="N155" i="8"/>
  <c r="O155" i="8"/>
  <c r="P155" i="8"/>
  <c r="N156" i="8"/>
  <c r="O156" i="8"/>
  <c r="P156" i="8"/>
  <c r="N157" i="8"/>
  <c r="O157" i="8"/>
  <c r="P157" i="8"/>
  <c r="N158" i="8"/>
  <c r="O158" i="8"/>
  <c r="P158" i="8"/>
  <c r="N159" i="8"/>
  <c r="O159" i="8"/>
  <c r="P159" i="8"/>
  <c r="N160" i="8"/>
  <c r="O160" i="8"/>
  <c r="P160" i="8"/>
  <c r="P149" i="8"/>
  <c r="O149" i="8"/>
  <c r="N149" i="8"/>
  <c r="N136" i="8"/>
  <c r="O136" i="8"/>
  <c r="P136" i="8"/>
  <c r="N137" i="8"/>
  <c r="O137" i="8"/>
  <c r="P137" i="8"/>
  <c r="N138" i="8"/>
  <c r="O138" i="8"/>
  <c r="P138" i="8"/>
  <c r="P139" i="8"/>
  <c r="N140" i="8"/>
  <c r="O140" i="8"/>
  <c r="P140" i="8"/>
  <c r="N141" i="8"/>
  <c r="O141" i="8"/>
  <c r="P141" i="8"/>
  <c r="N142" i="8"/>
  <c r="O142" i="8"/>
  <c r="N143" i="8"/>
  <c r="O143" i="8"/>
  <c r="P143" i="8"/>
  <c r="N144" i="8"/>
  <c r="O144" i="8"/>
  <c r="P144" i="8"/>
  <c r="N145" i="8"/>
  <c r="O145" i="8"/>
  <c r="P145" i="8"/>
  <c r="N146" i="8"/>
  <c r="O146" i="8"/>
  <c r="P146" i="8"/>
  <c r="Q135" i="8"/>
  <c r="Q134" i="8" s="1"/>
  <c r="P135" i="8"/>
  <c r="O135" i="8"/>
  <c r="N135" i="8"/>
  <c r="N122" i="8"/>
  <c r="O122" i="8"/>
  <c r="P122" i="8"/>
  <c r="Q122" i="8"/>
  <c r="N123" i="8"/>
  <c r="O123" i="8"/>
  <c r="P123" i="8"/>
  <c r="Q123" i="8"/>
  <c r="N124" i="8"/>
  <c r="O124" i="8"/>
  <c r="P124" i="8"/>
  <c r="Q124" i="8"/>
  <c r="N125" i="8"/>
  <c r="O125" i="8"/>
  <c r="P125" i="8"/>
  <c r="Q125" i="8"/>
  <c r="N126" i="8"/>
  <c r="O126" i="8"/>
  <c r="P126" i="8"/>
  <c r="Q126" i="8"/>
  <c r="N127" i="8"/>
  <c r="O127" i="8"/>
  <c r="P127" i="8"/>
  <c r="Q127" i="8"/>
  <c r="N128" i="8"/>
  <c r="O128" i="8"/>
  <c r="P128" i="8"/>
  <c r="Q128" i="8"/>
  <c r="N129" i="8"/>
  <c r="O129" i="8"/>
  <c r="P129" i="8"/>
  <c r="Q129" i="8"/>
  <c r="N130" i="8"/>
  <c r="O130" i="8"/>
  <c r="P130" i="8"/>
  <c r="Q130" i="8"/>
  <c r="N131" i="8"/>
  <c r="P131" i="8"/>
  <c r="Q131" i="8"/>
  <c r="N132" i="8"/>
  <c r="O132" i="8"/>
  <c r="P132" i="8"/>
  <c r="Q132" i="8"/>
  <c r="Q121" i="8"/>
  <c r="P121" i="8"/>
  <c r="O121" i="8"/>
  <c r="N121" i="8"/>
  <c r="N108" i="8"/>
  <c r="O108" i="8"/>
  <c r="P108" i="8"/>
  <c r="Q108" i="8"/>
  <c r="N109" i="8"/>
  <c r="O109" i="8"/>
  <c r="P109" i="8"/>
  <c r="Q109" i="8"/>
  <c r="N110" i="8"/>
  <c r="O110" i="8"/>
  <c r="P110" i="8"/>
  <c r="Q110" i="8"/>
  <c r="N111" i="8"/>
  <c r="O111" i="8"/>
  <c r="P111" i="8"/>
  <c r="Q111" i="8"/>
  <c r="N112" i="8"/>
  <c r="O112" i="8"/>
  <c r="P112" i="8"/>
  <c r="N113" i="8"/>
  <c r="O113" i="8"/>
  <c r="P113" i="8"/>
  <c r="Q113" i="8"/>
  <c r="N114" i="8"/>
  <c r="O114" i="8"/>
  <c r="P114" i="8"/>
  <c r="N115" i="8"/>
  <c r="O115" i="8"/>
  <c r="P115" i="8"/>
  <c r="Q115" i="8"/>
  <c r="N116" i="8"/>
  <c r="O116" i="8"/>
  <c r="P116" i="8"/>
  <c r="Q116" i="8"/>
  <c r="N117" i="8"/>
  <c r="O117" i="8"/>
  <c r="P117" i="8"/>
  <c r="Q117" i="8"/>
  <c r="N118" i="8"/>
  <c r="O118" i="8"/>
  <c r="P118" i="8"/>
  <c r="Q118" i="8"/>
  <c r="Q107" i="8"/>
  <c r="P107" i="8"/>
  <c r="O107" i="8"/>
  <c r="N107" i="8"/>
  <c r="N94" i="8"/>
  <c r="O94" i="8"/>
  <c r="P94" i="8"/>
  <c r="N95" i="8"/>
  <c r="O95" i="8"/>
  <c r="P95" i="8"/>
  <c r="Q95" i="8"/>
  <c r="N96" i="8"/>
  <c r="O96" i="8"/>
  <c r="P96" i="8"/>
  <c r="Q96" i="8"/>
  <c r="N97" i="8"/>
  <c r="O97" i="8"/>
  <c r="P97" i="8"/>
  <c r="Q97" i="8"/>
  <c r="N98" i="8"/>
  <c r="O98" i="8"/>
  <c r="N99" i="8"/>
  <c r="O99" i="8"/>
  <c r="P99" i="8"/>
  <c r="Q99" i="8"/>
  <c r="N100" i="8"/>
  <c r="O100" i="8"/>
  <c r="P100" i="8"/>
  <c r="N101" i="8"/>
  <c r="O101" i="8"/>
  <c r="P101" i="8"/>
  <c r="Q101" i="8"/>
  <c r="N102" i="8"/>
  <c r="O102" i="8"/>
  <c r="P102" i="8"/>
  <c r="Q102" i="8"/>
  <c r="N103" i="8"/>
  <c r="O103" i="8"/>
  <c r="P103" i="8"/>
  <c r="Q103" i="8"/>
  <c r="N104" i="8"/>
  <c r="O104" i="8"/>
  <c r="P104" i="8"/>
  <c r="Q104" i="8"/>
  <c r="Q93" i="8"/>
  <c r="P93" i="8"/>
  <c r="O93" i="8"/>
  <c r="N93" i="8"/>
  <c r="N80" i="8"/>
  <c r="O80" i="8"/>
  <c r="P80" i="8"/>
  <c r="N81" i="8"/>
  <c r="O81" i="8"/>
  <c r="P81" i="8"/>
  <c r="Q81" i="8"/>
  <c r="N82" i="8"/>
  <c r="O82" i="8"/>
  <c r="Q82" i="8"/>
  <c r="N83" i="8"/>
  <c r="O83" i="8"/>
  <c r="P83" i="8"/>
  <c r="Q83" i="8"/>
  <c r="N84" i="8"/>
  <c r="O84" i="8"/>
  <c r="N85" i="8"/>
  <c r="O85" i="8"/>
  <c r="P85" i="8"/>
  <c r="Q85" i="8"/>
  <c r="N86" i="8"/>
  <c r="O86" i="8"/>
  <c r="P86" i="8"/>
  <c r="N87" i="8"/>
  <c r="O87" i="8"/>
  <c r="P87" i="8"/>
  <c r="N88" i="8"/>
  <c r="O88" i="8"/>
  <c r="P88" i="8"/>
  <c r="P89" i="8"/>
  <c r="N90" i="8"/>
  <c r="O90" i="8"/>
  <c r="P90" i="8"/>
  <c r="Q79" i="8"/>
  <c r="P79" i="8"/>
  <c r="O79" i="8"/>
  <c r="N79" i="8"/>
  <c r="N66" i="8"/>
  <c r="O66" i="8"/>
  <c r="P66" i="8"/>
  <c r="Q66" i="8"/>
  <c r="N67" i="8"/>
  <c r="O67" i="8"/>
  <c r="P67" i="8"/>
  <c r="Q67" i="8"/>
  <c r="N68" i="8"/>
  <c r="O68" i="8"/>
  <c r="P68" i="8"/>
  <c r="Q68" i="8"/>
  <c r="N69" i="8"/>
  <c r="O69" i="8"/>
  <c r="P69" i="8"/>
  <c r="Q69" i="8"/>
  <c r="Q70" i="8"/>
  <c r="N71" i="8"/>
  <c r="O71" i="8"/>
  <c r="P71" i="8"/>
  <c r="Q71" i="8"/>
  <c r="N72" i="8"/>
  <c r="O72" i="8"/>
  <c r="P72" i="8"/>
  <c r="N73" i="8"/>
  <c r="O73" i="8"/>
  <c r="P73" i="8"/>
  <c r="Q73" i="8"/>
  <c r="N74" i="8"/>
  <c r="O74" i="8"/>
  <c r="P74" i="8"/>
  <c r="Q74" i="8"/>
  <c r="N75" i="8"/>
  <c r="O75" i="8"/>
  <c r="P75" i="8"/>
  <c r="Q75" i="8"/>
  <c r="N76" i="8"/>
  <c r="O76" i="8"/>
  <c r="P76" i="8"/>
  <c r="Q76" i="8"/>
  <c r="Q65" i="8"/>
  <c r="P65" i="8"/>
  <c r="O65" i="8"/>
  <c r="N65" i="8"/>
  <c r="N52" i="8"/>
  <c r="O52" i="8"/>
  <c r="P52" i="8"/>
  <c r="N53" i="8"/>
  <c r="O53" i="8"/>
  <c r="P53" i="8"/>
  <c r="Q53" i="8"/>
  <c r="N54" i="8"/>
  <c r="O54" i="8"/>
  <c r="N55" i="8"/>
  <c r="O55" i="8"/>
  <c r="P55" i="8"/>
  <c r="N56" i="8"/>
  <c r="O56" i="8"/>
  <c r="P56" i="8"/>
  <c r="N57" i="8"/>
  <c r="O57" i="8"/>
  <c r="P57" i="8"/>
  <c r="N58" i="8"/>
  <c r="O58" i="8"/>
  <c r="P58" i="8"/>
  <c r="N59" i="8"/>
  <c r="O59" i="8"/>
  <c r="P59" i="8"/>
  <c r="N60" i="8"/>
  <c r="O60" i="8"/>
  <c r="P60" i="8"/>
  <c r="N61" i="8"/>
  <c r="O61" i="8"/>
  <c r="P61" i="8"/>
  <c r="N62" i="8"/>
  <c r="O62" i="8"/>
  <c r="P62" i="8"/>
  <c r="Q62" i="8"/>
  <c r="P51" i="8"/>
  <c r="O51" i="8"/>
  <c r="N51" i="8"/>
  <c r="N38" i="8"/>
  <c r="O38" i="8"/>
  <c r="P38" i="8"/>
  <c r="N39" i="8"/>
  <c r="O39" i="8"/>
  <c r="P39" i="8"/>
  <c r="Q39" i="8"/>
  <c r="N40" i="8"/>
  <c r="O40" i="8"/>
  <c r="P40" i="8"/>
  <c r="Q40" i="8"/>
  <c r="N41" i="8"/>
  <c r="O41" i="8"/>
  <c r="P41" i="8"/>
  <c r="Q41" i="8"/>
  <c r="N42" i="8"/>
  <c r="O42" i="8"/>
  <c r="Q42" i="8"/>
  <c r="N43" i="8"/>
  <c r="O43" i="8"/>
  <c r="P43" i="8"/>
  <c r="Q43" i="8"/>
  <c r="N44" i="8"/>
  <c r="O44" i="8"/>
  <c r="P44" i="8"/>
  <c r="N45" i="8"/>
  <c r="O45" i="8"/>
  <c r="P45" i="8"/>
  <c r="N46" i="8"/>
  <c r="O46" i="8"/>
  <c r="P46" i="8"/>
  <c r="Q46" i="8"/>
  <c r="N47" i="8"/>
  <c r="O47" i="8"/>
  <c r="P47" i="8"/>
  <c r="Q47" i="8"/>
  <c r="N48" i="8"/>
  <c r="O48" i="8"/>
  <c r="P48" i="8"/>
  <c r="Q48" i="8"/>
  <c r="Q37" i="8"/>
  <c r="P37" i="8"/>
  <c r="O37" i="8"/>
  <c r="N37" i="8"/>
  <c r="N24" i="8"/>
  <c r="O24" i="8"/>
  <c r="N25" i="8"/>
  <c r="O25" i="8"/>
  <c r="P25" i="8"/>
  <c r="N26" i="8"/>
  <c r="O26" i="8"/>
  <c r="P26" i="8"/>
  <c r="N27" i="8"/>
  <c r="O27" i="8"/>
  <c r="P27" i="8"/>
  <c r="N28" i="8"/>
  <c r="O28" i="8"/>
  <c r="P28" i="8"/>
  <c r="N29" i="8"/>
  <c r="O29" i="8"/>
  <c r="P29" i="8"/>
  <c r="N30" i="8"/>
  <c r="O30" i="8"/>
  <c r="P30" i="8"/>
  <c r="N31" i="8"/>
  <c r="O31" i="8"/>
  <c r="P31" i="8"/>
  <c r="N32" i="8"/>
  <c r="O32" i="8"/>
  <c r="P32" i="8"/>
  <c r="O34" i="8"/>
  <c r="P34" i="8"/>
  <c r="Q23" i="8"/>
  <c r="Q22" i="8" s="1"/>
  <c r="P23" i="8"/>
  <c r="O23" i="8"/>
  <c r="N23" i="8"/>
  <c r="O271" i="4"/>
  <c r="P271" i="4"/>
  <c r="Q271" i="4"/>
  <c r="R271" i="4"/>
  <c r="O272" i="4"/>
  <c r="P272" i="4"/>
  <c r="Q272" i="4"/>
  <c r="R272" i="4"/>
  <c r="O273" i="4"/>
  <c r="P273" i="4"/>
  <c r="Q273" i="4"/>
  <c r="R273" i="4"/>
  <c r="O274" i="4"/>
  <c r="P274" i="4"/>
  <c r="Q274" i="4"/>
  <c r="R274" i="4"/>
  <c r="O275" i="4"/>
  <c r="P275" i="4"/>
  <c r="Q275" i="4"/>
  <c r="R275" i="4"/>
  <c r="O276" i="4"/>
  <c r="P276" i="4"/>
  <c r="Q276" i="4"/>
  <c r="R276" i="4"/>
  <c r="O277" i="4"/>
  <c r="P277" i="4"/>
  <c r="Q277" i="4"/>
  <c r="R277" i="4"/>
  <c r="R270" i="4"/>
  <c r="Q270" i="4"/>
  <c r="O270" i="4"/>
  <c r="O281" i="4"/>
  <c r="P281" i="4"/>
  <c r="Q281" i="4"/>
  <c r="R281" i="4"/>
  <c r="O282" i="4"/>
  <c r="P282" i="4"/>
  <c r="Q282" i="4"/>
  <c r="R282" i="4"/>
  <c r="O283" i="4"/>
  <c r="P283" i="4"/>
  <c r="Q283" i="4"/>
  <c r="R283" i="4"/>
  <c r="O284" i="4"/>
  <c r="P284" i="4"/>
  <c r="Q284" i="4"/>
  <c r="R284" i="4"/>
  <c r="O285" i="4"/>
  <c r="P285" i="4"/>
  <c r="Q285" i="4"/>
  <c r="R285" i="4"/>
  <c r="O286" i="4"/>
  <c r="P286" i="4"/>
  <c r="Q286" i="4"/>
  <c r="R286" i="4"/>
  <c r="O287" i="4"/>
  <c r="P287" i="4"/>
  <c r="Q287" i="4"/>
  <c r="R287" i="4"/>
  <c r="R280" i="4"/>
  <c r="Q280" i="4"/>
  <c r="O280" i="4"/>
  <c r="O261" i="4"/>
  <c r="P261" i="4"/>
  <c r="Q261" i="4"/>
  <c r="R261" i="4"/>
  <c r="O262" i="4"/>
  <c r="P262" i="4"/>
  <c r="Q262" i="4"/>
  <c r="R262" i="4"/>
  <c r="O263" i="4"/>
  <c r="P263" i="4"/>
  <c r="Q263" i="4"/>
  <c r="R263" i="4"/>
  <c r="O264" i="4"/>
  <c r="P264" i="4"/>
  <c r="Q264" i="4"/>
  <c r="R264" i="4"/>
  <c r="O265" i="4"/>
  <c r="P265" i="4"/>
  <c r="Q265" i="4"/>
  <c r="R265" i="4"/>
  <c r="O266" i="4"/>
  <c r="P266" i="4"/>
  <c r="Q266" i="4"/>
  <c r="R266" i="4"/>
  <c r="O267" i="4"/>
  <c r="P267" i="4"/>
  <c r="Q267" i="4"/>
  <c r="R267" i="4"/>
  <c r="R260" i="4"/>
  <c r="Q260" i="4"/>
  <c r="O251" i="4"/>
  <c r="P251" i="4"/>
  <c r="Q251" i="4"/>
  <c r="R251" i="4"/>
  <c r="O252" i="4"/>
  <c r="P252" i="4"/>
  <c r="Q252" i="4"/>
  <c r="R252" i="4"/>
  <c r="O253" i="4"/>
  <c r="P253" i="4"/>
  <c r="Q253" i="4"/>
  <c r="R253" i="4"/>
  <c r="O254" i="4"/>
  <c r="P254" i="4"/>
  <c r="R254" i="4"/>
  <c r="O255" i="4"/>
  <c r="P255" i="4"/>
  <c r="Q255" i="4"/>
  <c r="R255" i="4"/>
  <c r="O256" i="4"/>
  <c r="P256" i="4"/>
  <c r="Q256" i="4"/>
  <c r="R256" i="4"/>
  <c r="O257" i="4"/>
  <c r="P257" i="4"/>
  <c r="Q257" i="4"/>
  <c r="R257" i="4"/>
  <c r="R250" i="4"/>
  <c r="Q250" i="4"/>
  <c r="O250" i="4"/>
  <c r="O241" i="4"/>
  <c r="P241" i="4"/>
  <c r="Q241" i="4"/>
  <c r="R241" i="4"/>
  <c r="O242" i="4"/>
  <c r="P242" i="4"/>
  <c r="Q242" i="4"/>
  <c r="O243" i="4"/>
  <c r="P243" i="4"/>
  <c r="Q243" i="4"/>
  <c r="R243" i="4"/>
  <c r="O244" i="4"/>
  <c r="P244" i="4"/>
  <c r="R244" i="4"/>
  <c r="O245" i="4"/>
  <c r="P245" i="4"/>
  <c r="Q245" i="4"/>
  <c r="R245" i="4"/>
  <c r="O246" i="4"/>
  <c r="P246" i="4"/>
  <c r="Q246" i="4"/>
  <c r="R246" i="4"/>
  <c r="O247" i="4"/>
  <c r="P247" i="4"/>
  <c r="Q247" i="4"/>
  <c r="R247" i="4"/>
  <c r="R240" i="4"/>
  <c r="Q240" i="4"/>
  <c r="P240" i="4"/>
  <c r="O231" i="4"/>
  <c r="P231" i="4"/>
  <c r="Q231" i="4"/>
  <c r="R231" i="4"/>
  <c r="O232" i="4"/>
  <c r="P232" i="4"/>
  <c r="Q232" i="4"/>
  <c r="O233" i="4"/>
  <c r="P233" i="4"/>
  <c r="Q233" i="4"/>
  <c r="R233" i="4"/>
  <c r="O234" i="4"/>
  <c r="P234" i="4"/>
  <c r="Q234" i="4"/>
  <c r="R234" i="4"/>
  <c r="O235" i="4"/>
  <c r="P235" i="4"/>
  <c r="Q235" i="4"/>
  <c r="R235" i="4"/>
  <c r="O236" i="4"/>
  <c r="P236" i="4"/>
  <c r="Q236" i="4"/>
  <c r="R236" i="4"/>
  <c r="O237" i="4"/>
  <c r="P237" i="4"/>
  <c r="Q237" i="4"/>
  <c r="R237" i="4"/>
  <c r="R230" i="4"/>
  <c r="Q230" i="4"/>
  <c r="P230" i="4"/>
  <c r="O230" i="4"/>
  <c r="O221" i="4"/>
  <c r="P221" i="4"/>
  <c r="Q221" i="4"/>
  <c r="R221" i="4"/>
  <c r="O222" i="4"/>
  <c r="P222" i="4"/>
  <c r="Q222" i="4"/>
  <c r="O223" i="4"/>
  <c r="P223" i="4"/>
  <c r="Q223" i="4"/>
  <c r="R223" i="4"/>
  <c r="O224" i="4"/>
  <c r="P224" i="4"/>
  <c r="Q224" i="4"/>
  <c r="R224" i="4"/>
  <c r="O225" i="4"/>
  <c r="P225" i="4"/>
  <c r="Q225" i="4"/>
  <c r="R225" i="4"/>
  <c r="O226" i="4"/>
  <c r="P226" i="4"/>
  <c r="Q226" i="4"/>
  <c r="R226" i="4"/>
  <c r="O227" i="4"/>
  <c r="P227" i="4"/>
  <c r="Q227" i="4"/>
  <c r="R227" i="4"/>
  <c r="R220" i="4"/>
  <c r="Q220" i="4"/>
  <c r="O211" i="4"/>
  <c r="P211" i="4"/>
  <c r="Q211" i="4"/>
  <c r="R211" i="4"/>
  <c r="O212" i="4"/>
  <c r="P212" i="4"/>
  <c r="Q212" i="4"/>
  <c r="R212" i="4"/>
  <c r="O213" i="4"/>
  <c r="P213" i="4"/>
  <c r="Q213" i="4"/>
  <c r="R213" i="4"/>
  <c r="O214" i="4"/>
  <c r="P214" i="4"/>
  <c r="R214" i="4"/>
  <c r="O215" i="4"/>
  <c r="P215" i="4"/>
  <c r="Q215" i="4"/>
  <c r="R215" i="4"/>
  <c r="O216" i="4"/>
  <c r="P216" i="4"/>
  <c r="Q216" i="4"/>
  <c r="R216" i="4"/>
  <c r="O217" i="4"/>
  <c r="P217" i="4"/>
  <c r="Q217" i="4"/>
  <c r="R217" i="4"/>
  <c r="R210" i="4"/>
  <c r="Q210" i="4"/>
  <c r="O210" i="4"/>
  <c r="O201" i="4"/>
  <c r="P201" i="4"/>
  <c r="R201" i="4"/>
  <c r="O202" i="4"/>
  <c r="P202" i="4"/>
  <c r="O203" i="4"/>
  <c r="P203" i="4"/>
  <c r="Q203" i="4"/>
  <c r="O204" i="4"/>
  <c r="P204" i="4"/>
  <c r="Q204" i="4"/>
  <c r="O205" i="4"/>
  <c r="P205" i="4"/>
  <c r="Q205" i="4"/>
  <c r="O206" i="4"/>
  <c r="P206" i="4"/>
  <c r="Q206" i="4"/>
  <c r="R206" i="4"/>
  <c r="O207" i="4"/>
  <c r="P207" i="4"/>
  <c r="Q207" i="4"/>
  <c r="R207" i="4"/>
  <c r="Q200" i="4"/>
  <c r="R200" i="4"/>
  <c r="O191" i="4"/>
  <c r="P191" i="4"/>
  <c r="Q191" i="4"/>
  <c r="O192" i="4"/>
  <c r="P192" i="4"/>
  <c r="Q192" i="4"/>
  <c r="O193" i="4"/>
  <c r="P193" i="4"/>
  <c r="Q193" i="4"/>
  <c r="R193" i="4"/>
  <c r="O194" i="4"/>
  <c r="P194" i="4"/>
  <c r="Q194" i="4"/>
  <c r="R194" i="4"/>
  <c r="O195" i="4"/>
  <c r="P195" i="4"/>
  <c r="Q195" i="4"/>
  <c r="R195" i="4"/>
  <c r="O196" i="4"/>
  <c r="P196" i="4"/>
  <c r="Q196" i="4"/>
  <c r="R196" i="4"/>
  <c r="O197" i="4"/>
  <c r="P197" i="4"/>
  <c r="Q197" i="4"/>
  <c r="R197" i="4"/>
  <c r="Q190" i="4"/>
  <c r="R190" i="4"/>
  <c r="O181" i="4"/>
  <c r="P181" i="4"/>
  <c r="Q181" i="4"/>
  <c r="R181" i="4"/>
  <c r="R179" i="4" s="1"/>
  <c r="O182" i="4"/>
  <c r="P182" i="4"/>
  <c r="O183" i="4"/>
  <c r="P183" i="4"/>
  <c r="Q183" i="4"/>
  <c r="O184" i="4"/>
  <c r="P184" i="4"/>
  <c r="Q184" i="4"/>
  <c r="O185" i="4"/>
  <c r="P185" i="4"/>
  <c r="Q185" i="4"/>
  <c r="O186" i="4"/>
  <c r="P186" i="4"/>
  <c r="Q186" i="4"/>
  <c r="O187" i="4"/>
  <c r="P187" i="4"/>
  <c r="Q187" i="4"/>
  <c r="O180" i="4"/>
  <c r="P180" i="4"/>
  <c r="Q180" i="4"/>
  <c r="O171" i="4"/>
  <c r="P171" i="4"/>
  <c r="Q171" i="4"/>
  <c r="R171" i="4"/>
  <c r="O172" i="4"/>
  <c r="P172" i="4"/>
  <c r="Q172" i="4"/>
  <c r="O173" i="4"/>
  <c r="P173" i="4"/>
  <c r="Q173" i="4"/>
  <c r="R173" i="4"/>
  <c r="O174" i="4"/>
  <c r="P174" i="4"/>
  <c r="Q174" i="4"/>
  <c r="R174" i="4"/>
  <c r="O175" i="4"/>
  <c r="P175" i="4"/>
  <c r="Q175" i="4"/>
  <c r="R175" i="4"/>
  <c r="O176" i="4"/>
  <c r="P176" i="4"/>
  <c r="Q176" i="4"/>
  <c r="R176" i="4"/>
  <c r="O177" i="4"/>
  <c r="P177" i="4"/>
  <c r="Q177" i="4"/>
  <c r="R177" i="4"/>
  <c r="R170" i="4"/>
  <c r="R169" i="4" s="1"/>
  <c r="Q170" i="4"/>
  <c r="O170" i="4"/>
  <c r="O151" i="4"/>
  <c r="P151" i="4"/>
  <c r="Q151" i="4"/>
  <c r="R151" i="4"/>
  <c r="O152" i="4"/>
  <c r="P152" i="4"/>
  <c r="Q152" i="4"/>
  <c r="O153" i="4"/>
  <c r="P153" i="4"/>
  <c r="Q153" i="4"/>
  <c r="R153" i="4"/>
  <c r="O154" i="4"/>
  <c r="P154" i="4"/>
  <c r="Q154" i="4"/>
  <c r="R154" i="4"/>
  <c r="O155" i="4"/>
  <c r="P155" i="4"/>
  <c r="Q155" i="4"/>
  <c r="R155" i="4"/>
  <c r="O156" i="4"/>
  <c r="P156" i="4"/>
  <c r="Q156" i="4"/>
  <c r="R156" i="4"/>
  <c r="O157" i="4"/>
  <c r="P157" i="4"/>
  <c r="Q157" i="4"/>
  <c r="R157" i="4"/>
  <c r="R150" i="4"/>
  <c r="Q150" i="4"/>
  <c r="P150" i="4"/>
  <c r="O141" i="4"/>
  <c r="P141" i="4"/>
  <c r="Q141" i="4"/>
  <c r="R141" i="4"/>
  <c r="O142" i="4"/>
  <c r="P142" i="4"/>
  <c r="Q142" i="4"/>
  <c r="O143" i="4"/>
  <c r="P143" i="4"/>
  <c r="Q143" i="4"/>
  <c r="R143" i="4"/>
  <c r="O144" i="4"/>
  <c r="P144" i="4"/>
  <c r="Q144" i="4"/>
  <c r="R144" i="4"/>
  <c r="O145" i="4"/>
  <c r="P145" i="4"/>
  <c r="Q145" i="4"/>
  <c r="R145" i="4"/>
  <c r="O146" i="4"/>
  <c r="P146" i="4"/>
  <c r="Q146" i="4"/>
  <c r="R146" i="4"/>
  <c r="O147" i="4"/>
  <c r="P147" i="4"/>
  <c r="Q147" i="4"/>
  <c r="R147" i="4"/>
  <c r="R140" i="4"/>
  <c r="R139" i="4" s="1"/>
  <c r="Q140" i="4"/>
  <c r="P140" i="4"/>
  <c r="O140" i="4"/>
  <c r="O131" i="4"/>
  <c r="P131" i="4"/>
  <c r="Q131" i="4"/>
  <c r="O132" i="4"/>
  <c r="P132" i="4"/>
  <c r="Q132" i="4"/>
  <c r="R132" i="4"/>
  <c r="O133" i="4"/>
  <c r="P133" i="4"/>
  <c r="Q133" i="4"/>
  <c r="R133" i="4"/>
  <c r="O134" i="4"/>
  <c r="P134" i="4"/>
  <c r="R134" i="4"/>
  <c r="O135" i="4"/>
  <c r="P135" i="4"/>
  <c r="Q135" i="4"/>
  <c r="R135" i="4"/>
  <c r="O136" i="4"/>
  <c r="P136" i="4"/>
  <c r="Q136" i="4"/>
  <c r="R136" i="4"/>
  <c r="O137" i="4"/>
  <c r="P137" i="4"/>
  <c r="Q137" i="4"/>
  <c r="R137" i="4"/>
  <c r="R130" i="4"/>
  <c r="Q130" i="4"/>
  <c r="O121" i="4"/>
  <c r="P121" i="4"/>
  <c r="Q121" i="4"/>
  <c r="O122" i="4"/>
  <c r="P122" i="4"/>
  <c r="Q122" i="4"/>
  <c r="O123" i="4"/>
  <c r="P123" i="4"/>
  <c r="Q123" i="4"/>
  <c r="R123" i="4"/>
  <c r="O124" i="4"/>
  <c r="P124" i="4"/>
  <c r="Q124" i="4"/>
  <c r="R124" i="4"/>
  <c r="O125" i="4"/>
  <c r="P125" i="4"/>
  <c r="Q125" i="4"/>
  <c r="R125" i="4"/>
  <c r="O126" i="4"/>
  <c r="P126" i="4"/>
  <c r="Q126" i="4"/>
  <c r="R126" i="4"/>
  <c r="O127" i="4"/>
  <c r="P127" i="4"/>
  <c r="Q127" i="4"/>
  <c r="R127" i="4"/>
  <c r="R120" i="4"/>
  <c r="R119" i="4" s="1"/>
  <c r="Q120" i="4"/>
  <c r="P120" i="4"/>
  <c r="O120" i="4"/>
  <c r="O111" i="4"/>
  <c r="P111" i="4"/>
  <c r="Q111" i="4"/>
  <c r="R111" i="4"/>
  <c r="O112" i="4"/>
  <c r="P112" i="4"/>
  <c r="Q112" i="4"/>
  <c r="R112" i="4"/>
  <c r="O113" i="4"/>
  <c r="P113" i="4"/>
  <c r="Q113" i="4"/>
  <c r="R113" i="4"/>
  <c r="O114" i="4"/>
  <c r="P114" i="4"/>
  <c r="R114" i="4"/>
  <c r="O115" i="4"/>
  <c r="P115" i="4"/>
  <c r="Q115" i="4"/>
  <c r="R115" i="4"/>
  <c r="O116" i="4"/>
  <c r="P116" i="4"/>
  <c r="Q116" i="4"/>
  <c r="R116" i="4"/>
  <c r="O117" i="4"/>
  <c r="P117" i="4"/>
  <c r="Q117" i="4"/>
  <c r="R117" i="4"/>
  <c r="R110" i="4"/>
  <c r="Q110" i="4"/>
  <c r="P110" i="4"/>
  <c r="O101" i="4"/>
  <c r="P101" i="4"/>
  <c r="Q101" i="4"/>
  <c r="O102" i="4"/>
  <c r="P102" i="4"/>
  <c r="Q102" i="4"/>
  <c r="O103" i="4"/>
  <c r="P103" i="4"/>
  <c r="Q103" i="4"/>
  <c r="O104" i="4"/>
  <c r="P104" i="4"/>
  <c r="Q104" i="4"/>
  <c r="O105" i="4"/>
  <c r="P105" i="4"/>
  <c r="Q105" i="4"/>
  <c r="O106" i="4"/>
  <c r="P106" i="4"/>
  <c r="Q106" i="4"/>
  <c r="O107" i="4"/>
  <c r="P107" i="4"/>
  <c r="Q107" i="4"/>
  <c r="R100" i="4"/>
  <c r="R99" i="4" s="1"/>
  <c r="Q100" i="4"/>
  <c r="R92" i="4"/>
  <c r="R93" i="4"/>
  <c r="R94" i="4"/>
  <c r="R95" i="4"/>
  <c r="R96" i="4"/>
  <c r="R97" i="4"/>
  <c r="R90" i="4"/>
  <c r="Q91" i="4"/>
  <c r="Q92" i="4"/>
  <c r="Q93" i="4"/>
  <c r="Q94" i="4"/>
  <c r="Q95" i="4"/>
  <c r="Q96" i="4"/>
  <c r="Q97" i="4"/>
  <c r="Q90" i="4"/>
  <c r="P91" i="4"/>
  <c r="P92" i="4"/>
  <c r="P93" i="4"/>
  <c r="P94" i="4"/>
  <c r="P95" i="4"/>
  <c r="P96" i="4"/>
  <c r="P97" i="4"/>
  <c r="O91" i="4"/>
  <c r="O92" i="4"/>
  <c r="O93" i="4"/>
  <c r="O94" i="4"/>
  <c r="O95" i="4"/>
  <c r="O96" i="4"/>
  <c r="O97" i="4"/>
  <c r="R82" i="4"/>
  <c r="R83" i="4"/>
  <c r="R84" i="4"/>
  <c r="R85" i="4"/>
  <c r="R86" i="4"/>
  <c r="R87" i="4"/>
  <c r="R80" i="4"/>
  <c r="Q81" i="4"/>
  <c r="Q82" i="4"/>
  <c r="Q83" i="4"/>
  <c r="Q84" i="4"/>
  <c r="Q85" i="4"/>
  <c r="Q86" i="4"/>
  <c r="Q87" i="4"/>
  <c r="Q80" i="4"/>
  <c r="P81" i="4"/>
  <c r="P82" i="4"/>
  <c r="P83" i="4"/>
  <c r="P84" i="4"/>
  <c r="P85" i="4"/>
  <c r="P86" i="4"/>
  <c r="P87" i="4"/>
  <c r="P80" i="4"/>
  <c r="O81" i="4"/>
  <c r="O82" i="4"/>
  <c r="O83" i="4"/>
  <c r="O84" i="4"/>
  <c r="O85" i="4"/>
  <c r="O86" i="4"/>
  <c r="O87" i="4"/>
  <c r="O80" i="4"/>
  <c r="R71" i="4"/>
  <c r="R73" i="4"/>
  <c r="R74" i="4"/>
  <c r="R75" i="4"/>
  <c r="R76" i="4"/>
  <c r="R77" i="4"/>
  <c r="R70" i="4"/>
  <c r="Q71" i="4"/>
  <c r="Q73" i="4"/>
  <c r="Q74" i="4"/>
  <c r="Q75" i="4"/>
  <c r="Q76" i="4"/>
  <c r="Q77" i="4"/>
  <c r="Q70" i="4"/>
  <c r="P71" i="4"/>
  <c r="P72" i="4"/>
  <c r="P73" i="4"/>
  <c r="P74" i="4"/>
  <c r="P75" i="4"/>
  <c r="P76" i="4"/>
  <c r="P77" i="4"/>
  <c r="O71" i="4"/>
  <c r="O72" i="4"/>
  <c r="O73" i="4"/>
  <c r="O74" i="4"/>
  <c r="O75" i="4"/>
  <c r="O76" i="4"/>
  <c r="O77" i="4"/>
  <c r="O70" i="4"/>
  <c r="R61" i="4"/>
  <c r="R66" i="4"/>
  <c r="R67" i="4"/>
  <c r="R60" i="4"/>
  <c r="Q61" i="4"/>
  <c r="Q62" i="4"/>
  <c r="Q63" i="4"/>
  <c r="Q65" i="4"/>
  <c r="Q66" i="4"/>
  <c r="Q67" i="4"/>
  <c r="Q60" i="4"/>
  <c r="P62" i="4"/>
  <c r="P63" i="4"/>
  <c r="P64" i="4"/>
  <c r="P65" i="4"/>
  <c r="P66" i="4"/>
  <c r="P67" i="4"/>
  <c r="P60" i="4"/>
  <c r="O61" i="4"/>
  <c r="O62" i="4"/>
  <c r="O63" i="4"/>
  <c r="O64" i="4"/>
  <c r="O65" i="4"/>
  <c r="O66" i="4"/>
  <c r="O67" i="4"/>
  <c r="R51" i="4"/>
  <c r="R52" i="4"/>
  <c r="R54" i="4"/>
  <c r="R55" i="4"/>
  <c r="R56" i="4"/>
  <c r="R57" i="4"/>
  <c r="R50" i="4"/>
  <c r="Q51" i="4"/>
  <c r="Q52" i="4"/>
  <c r="Q53" i="4"/>
  <c r="Q55" i="4"/>
  <c r="Q56" i="4"/>
  <c r="Q57" i="4"/>
  <c r="Q50" i="4"/>
  <c r="P51" i="4"/>
  <c r="P52" i="4"/>
  <c r="P53" i="4"/>
  <c r="P54" i="4"/>
  <c r="P55" i="4"/>
  <c r="P56" i="4"/>
  <c r="P57" i="4"/>
  <c r="P50" i="4"/>
  <c r="O51" i="4"/>
  <c r="O52" i="4"/>
  <c r="O53" i="4"/>
  <c r="O54" i="4"/>
  <c r="O55" i="4"/>
  <c r="O56" i="4"/>
  <c r="O57" i="4"/>
  <c r="O50" i="4"/>
  <c r="R41" i="4"/>
  <c r="R43" i="4"/>
  <c r="R44" i="4"/>
  <c r="R45" i="4"/>
  <c r="R46" i="4"/>
  <c r="R47" i="4"/>
  <c r="R40" i="4"/>
  <c r="Q41" i="4"/>
  <c r="Q42" i="4"/>
  <c r="Q43" i="4"/>
  <c r="Q45" i="4"/>
  <c r="Q46" i="4"/>
  <c r="Q47" i="4"/>
  <c r="Q40" i="4"/>
  <c r="P41" i="4"/>
  <c r="P42" i="4"/>
  <c r="P43" i="4"/>
  <c r="P45" i="4"/>
  <c r="P46" i="4"/>
  <c r="P47" i="4"/>
  <c r="P40" i="4"/>
  <c r="O41" i="4"/>
  <c r="O42" i="4"/>
  <c r="O43" i="4"/>
  <c r="O44" i="4"/>
  <c r="O45" i="4"/>
  <c r="O46" i="4"/>
  <c r="O47" i="4"/>
  <c r="O40" i="4"/>
  <c r="R31" i="4"/>
  <c r="R36" i="4"/>
  <c r="R37" i="4"/>
  <c r="R30" i="4"/>
  <c r="Q31" i="4"/>
  <c r="Q32" i="4"/>
  <c r="Q33" i="4"/>
  <c r="Q35" i="4"/>
  <c r="Q36" i="4"/>
  <c r="Q37" i="4"/>
  <c r="Q30" i="4"/>
  <c r="P31" i="4"/>
  <c r="P32" i="4"/>
  <c r="P33" i="4"/>
  <c r="P34" i="4"/>
  <c r="P35" i="4"/>
  <c r="P36" i="4"/>
  <c r="P37" i="4"/>
  <c r="P30" i="4"/>
  <c r="O31" i="4"/>
  <c r="O32" i="4"/>
  <c r="O33" i="4"/>
  <c r="O34" i="4"/>
  <c r="O35" i="4"/>
  <c r="O36" i="4"/>
  <c r="O37" i="4"/>
  <c r="O30" i="4"/>
  <c r="R21" i="4"/>
  <c r="R27" i="4"/>
  <c r="R20" i="4"/>
  <c r="Q21" i="4"/>
  <c r="Q22" i="4"/>
  <c r="Q23" i="4"/>
  <c r="Q25" i="4"/>
  <c r="Q26" i="4"/>
  <c r="Q27" i="4"/>
  <c r="Q20" i="4"/>
  <c r="P21" i="4"/>
  <c r="P22" i="4"/>
  <c r="P23" i="4"/>
  <c r="P24" i="4"/>
  <c r="P25" i="4"/>
  <c r="P26" i="4"/>
  <c r="P27" i="4"/>
  <c r="P20" i="4"/>
  <c r="O21" i="4"/>
  <c r="O22" i="4"/>
  <c r="O23" i="4"/>
  <c r="O24" i="4"/>
  <c r="O25" i="4"/>
  <c r="O26" i="4"/>
  <c r="O27" i="4"/>
  <c r="O20" i="4"/>
  <c r="N159" i="12" l="1"/>
  <c r="R189" i="4"/>
  <c r="Q78" i="8"/>
  <c r="P386" i="8"/>
  <c r="Q204" i="8"/>
  <c r="Q246" i="8"/>
  <c r="Q316" i="8"/>
  <c r="Q358" i="8"/>
  <c r="N92" i="8"/>
  <c r="N176" i="8"/>
  <c r="N246" i="8"/>
  <c r="Q330" i="8"/>
  <c r="P274" i="8"/>
  <c r="P358" i="8"/>
  <c r="Q50" i="8"/>
  <c r="P344" i="8"/>
  <c r="O344" i="8"/>
  <c r="P330" i="8"/>
  <c r="Q274" i="8"/>
  <c r="O274" i="8"/>
  <c r="O260" i="8"/>
  <c r="Q232" i="8"/>
  <c r="N232" i="8"/>
  <c r="Q386" i="8"/>
  <c r="P204" i="8"/>
  <c r="P190" i="8"/>
  <c r="O120" i="8"/>
  <c r="Q92" i="8"/>
  <c r="O78" i="8"/>
  <c r="N78" i="8"/>
  <c r="N50" i="8"/>
  <c r="Q36" i="8"/>
  <c r="P22" i="8"/>
  <c r="Q199" i="4"/>
  <c r="R39" i="4"/>
  <c r="N64" i="8"/>
  <c r="O176" i="8"/>
  <c r="O232" i="8"/>
  <c r="N358" i="8"/>
  <c r="N22" i="8"/>
  <c r="N36" i="8"/>
  <c r="Q190" i="8"/>
  <c r="O246" i="8"/>
  <c r="N316" i="8"/>
  <c r="O50" i="8"/>
  <c r="P50" i="8"/>
  <c r="O64" i="8"/>
  <c r="P78" i="8"/>
  <c r="N106" i="8"/>
  <c r="P176" i="8"/>
  <c r="P232" i="8"/>
  <c r="N260" i="8"/>
  <c r="N274" i="8"/>
  <c r="O358" i="8"/>
  <c r="N386" i="8"/>
  <c r="O22" i="8"/>
  <c r="O36" i="8"/>
  <c r="N120" i="8"/>
  <c r="N162" i="8"/>
  <c r="P246" i="8"/>
  <c r="O316" i="8"/>
  <c r="N148" i="8"/>
  <c r="Q176" i="8"/>
  <c r="O386" i="8"/>
  <c r="N372" i="8"/>
  <c r="P36" i="8"/>
  <c r="O162" i="8"/>
  <c r="P316" i="8"/>
  <c r="N330" i="8"/>
  <c r="N344" i="8"/>
  <c r="P162" i="8"/>
  <c r="O330" i="8"/>
  <c r="R199" i="4"/>
  <c r="P92" i="8"/>
  <c r="Q106" i="8"/>
  <c r="O134" i="8"/>
  <c r="P148" i="8"/>
  <c r="P372" i="8"/>
  <c r="N134" i="8"/>
  <c r="Q120" i="8"/>
  <c r="Q162" i="8"/>
  <c r="N288" i="8"/>
  <c r="N302" i="8"/>
  <c r="Q64" i="8"/>
  <c r="P106" i="8"/>
  <c r="O372" i="8"/>
  <c r="P134" i="8"/>
  <c r="Q372" i="8"/>
  <c r="O288" i="8"/>
  <c r="O302" i="8"/>
  <c r="O148" i="8"/>
  <c r="O92" i="8"/>
  <c r="P288" i="8"/>
  <c r="P302" i="8"/>
  <c r="P260" i="8"/>
  <c r="N204" i="8"/>
  <c r="P64" i="8"/>
  <c r="O106" i="8"/>
  <c r="P120" i="8"/>
  <c r="R229" i="4"/>
  <c r="N190" i="8"/>
  <c r="Q288" i="8"/>
  <c r="Q179" i="4"/>
  <c r="O204" i="8"/>
  <c r="R29" i="4"/>
  <c r="O190" i="8"/>
  <c r="R129" i="4"/>
  <c r="P199" i="4"/>
  <c r="R69" i="4"/>
  <c r="R209" i="4"/>
  <c r="P59" i="4"/>
  <c r="O199" i="4"/>
  <c r="P79" i="4"/>
  <c r="R89" i="4"/>
  <c r="P29" i="4"/>
  <c r="R59" i="4"/>
  <c r="Q129" i="4"/>
  <c r="R79" i="4"/>
  <c r="O109" i="4"/>
  <c r="O119" i="4"/>
  <c r="Q219" i="4"/>
  <c r="P219" i="4"/>
  <c r="P229" i="4"/>
  <c r="P249" i="4"/>
  <c r="O259" i="4"/>
  <c r="R269" i="4"/>
  <c r="O19" i="4"/>
  <c r="Q19" i="4"/>
  <c r="O49" i="4"/>
  <c r="Q59" i="4"/>
  <c r="P129" i="4"/>
  <c r="O129" i="4"/>
  <c r="O139" i="4"/>
  <c r="P169" i="4"/>
  <c r="R239" i="4"/>
  <c r="R279" i="4"/>
  <c r="Q49" i="4"/>
  <c r="Q79" i="4"/>
  <c r="Q99" i="4"/>
  <c r="Q149" i="4"/>
  <c r="P179" i="4"/>
  <c r="O219" i="4"/>
  <c r="O229" i="4"/>
  <c r="R259" i="4"/>
  <c r="Q269" i="4"/>
  <c r="P19" i="4"/>
  <c r="R19" i="4"/>
  <c r="P49" i="4"/>
  <c r="R49" i="4"/>
  <c r="O69" i="4"/>
  <c r="Q69" i="4"/>
  <c r="O79" i="4"/>
  <c r="P99" i="4"/>
  <c r="R109" i="4"/>
  <c r="O169" i="4"/>
  <c r="P189" i="4"/>
  <c r="Q209" i="4"/>
  <c r="O249" i="4"/>
  <c r="Q279" i="4"/>
  <c r="P39" i="4"/>
  <c r="Q119" i="4"/>
  <c r="P149" i="4"/>
  <c r="O149" i="4"/>
  <c r="O179" i="4"/>
  <c r="Q189" i="4"/>
  <c r="Q239" i="4"/>
  <c r="Q259" i="4"/>
  <c r="P269" i="4"/>
  <c r="O39" i="4"/>
  <c r="Q39" i="4"/>
  <c r="O99" i="4"/>
  <c r="Q109" i="4"/>
  <c r="Q139" i="4"/>
  <c r="O189" i="4"/>
  <c r="P209" i="4"/>
  <c r="R219" i="4"/>
  <c r="P239" i="4"/>
  <c r="R249" i="4"/>
  <c r="P279" i="4"/>
  <c r="O29" i="4"/>
  <c r="P69" i="4"/>
  <c r="O89" i="4"/>
  <c r="P119" i="4"/>
  <c r="Q229" i="4"/>
  <c r="P259" i="4"/>
  <c r="O269" i="4"/>
  <c r="Q29" i="4"/>
  <c r="O59" i="4"/>
  <c r="P89" i="4"/>
  <c r="Q89" i="4"/>
  <c r="P109" i="4"/>
  <c r="P139" i="4"/>
  <c r="R149" i="4"/>
  <c r="Q169" i="4"/>
  <c r="O209" i="4"/>
  <c r="O239" i="4"/>
  <c r="Q249" i="4"/>
  <c r="O279" i="4"/>
  <c r="Q303" i="8" l="1"/>
  <c r="Q302" i="8" s="1"/>
  <c r="N227" i="6"/>
  <c r="N23" i="1"/>
  <c r="N224" i="8" l="1"/>
  <c r="P224" i="8"/>
  <c r="O224" i="8"/>
  <c r="P224" i="6"/>
  <c r="O224" i="6"/>
  <c r="Q224" i="6"/>
  <c r="Q225" i="6"/>
  <c r="Q224" i="8"/>
  <c r="Q229" i="8"/>
  <c r="Q221" i="8"/>
  <c r="O229" i="8"/>
  <c r="P229" i="6"/>
  <c r="P226" i="6"/>
  <c r="P228" i="6"/>
  <c r="P221" i="6"/>
  <c r="P225" i="6"/>
  <c r="O228" i="6"/>
  <c r="O221" i="6"/>
  <c r="O221" i="8"/>
  <c r="P229" i="8"/>
  <c r="N229" i="8"/>
  <c r="N221" i="8"/>
  <c r="S166" i="4"/>
  <c r="S160" i="4"/>
  <c r="N228" i="6"/>
  <c r="N224" i="6"/>
  <c r="N221" i="6"/>
  <c r="P223" i="6"/>
  <c r="P220" i="6"/>
  <c r="P219" i="6"/>
  <c r="Q229" i="6"/>
  <c r="Q222" i="6"/>
  <c r="Q219" i="6"/>
  <c r="Q221" i="6"/>
  <c r="O229" i="6"/>
  <c r="O225" i="6"/>
  <c r="O222" i="6"/>
  <c r="Q220" i="6"/>
  <c r="O219" i="6"/>
  <c r="N226" i="8"/>
  <c r="N223" i="8"/>
  <c r="N220" i="8"/>
  <c r="N229" i="6"/>
  <c r="N225" i="6"/>
  <c r="N222" i="6"/>
  <c r="N219" i="6"/>
  <c r="O226" i="6"/>
  <c r="O223" i="6"/>
  <c r="O220" i="6"/>
  <c r="N230" i="6"/>
  <c r="N226" i="6"/>
  <c r="N223" i="6"/>
  <c r="N220" i="6"/>
  <c r="N230" i="8"/>
  <c r="N225" i="8"/>
  <c r="N222" i="8"/>
  <c r="N219" i="8"/>
  <c r="O226" i="8"/>
  <c r="O223" i="8"/>
  <c r="O220" i="8"/>
  <c r="P227" i="8"/>
  <c r="P228" i="8"/>
  <c r="P221" i="8"/>
  <c r="Q230" i="8"/>
  <c r="Q225" i="8"/>
  <c r="Q222" i="8"/>
  <c r="Q219" i="8"/>
  <c r="O227" i="8"/>
  <c r="O228" i="8"/>
  <c r="P230" i="8"/>
  <c r="P225" i="8"/>
  <c r="P222" i="8"/>
  <c r="P219" i="8"/>
  <c r="O230" i="8"/>
  <c r="Q226" i="8"/>
  <c r="O225" i="8"/>
  <c r="Q223" i="8"/>
  <c r="O222" i="8"/>
  <c r="Q220" i="8"/>
  <c r="O219" i="8"/>
  <c r="P226" i="8"/>
  <c r="P223" i="8"/>
  <c r="P220" i="8"/>
  <c r="N227" i="8"/>
  <c r="N228" i="8"/>
  <c r="Q228" i="8"/>
  <c r="Q227" i="8"/>
  <c r="Q230" i="6"/>
  <c r="P227" i="6"/>
  <c r="P230" i="6"/>
  <c r="O227" i="6"/>
  <c r="O230" i="6"/>
  <c r="O23" i="1"/>
  <c r="Q167" i="4" l="1"/>
  <c r="P218" i="8"/>
  <c r="O218" i="8"/>
  <c r="N218" i="8"/>
  <c r="O218" i="6"/>
  <c r="O167" i="4"/>
  <c r="O161" i="4"/>
  <c r="Q163" i="4"/>
  <c r="Q160" i="4"/>
  <c r="P160" i="4"/>
  <c r="R160" i="4"/>
  <c r="Q161" i="4"/>
  <c r="P167" i="4"/>
  <c r="P163" i="4"/>
  <c r="R163" i="4"/>
  <c r="P161" i="4"/>
  <c r="Q164" i="4"/>
  <c r="Q162" i="4"/>
  <c r="P164" i="4"/>
  <c r="Q165" i="4"/>
  <c r="R162" i="4"/>
  <c r="O164" i="4"/>
  <c r="P165" i="4"/>
  <c r="O163" i="4"/>
  <c r="O162" i="4"/>
  <c r="R164" i="4"/>
  <c r="O165" i="4"/>
  <c r="R167" i="4"/>
  <c r="R165" i="4"/>
  <c r="R161" i="4"/>
  <c r="P162" i="4"/>
  <c r="O160" i="4"/>
  <c r="R166" i="4"/>
  <c r="Q166" i="4"/>
  <c r="O166" i="4"/>
  <c r="P166" i="4"/>
  <c r="N218" i="6"/>
  <c r="Q218" i="8"/>
  <c r="Q218" i="6"/>
  <c r="S159" i="4"/>
  <c r="R159" i="4" l="1"/>
  <c r="P159" i="4"/>
  <c r="Q159" i="4"/>
  <c r="O159" i="4"/>
  <c r="P222" i="6"/>
  <c r="P218" i="6" s="1"/>
</calcChain>
</file>

<file path=xl/sharedStrings.xml><?xml version="1.0" encoding="utf-8"?>
<sst xmlns="http://schemas.openxmlformats.org/spreadsheetml/2006/main" count="4459" uniqueCount="101">
  <si>
    <t>Fuente: Instituto Nacional de Estadística e Informática - Directorio Central de Empresas y Establecimientos.</t>
  </si>
  <si>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</si>
  <si>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</si>
  <si>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</si>
  <si>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</si>
  <si>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</si>
  <si>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</si>
  <si>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</si>
  <si>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</si>
  <si>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Madre de Dios</t>
  </si>
  <si>
    <t>Loreto</t>
  </si>
  <si>
    <t>Lambayeque</t>
  </si>
  <si>
    <t>La Libertad</t>
  </si>
  <si>
    <t>Junín</t>
  </si>
  <si>
    <t>Ica</t>
  </si>
  <si>
    <t>Huánuco</t>
  </si>
  <si>
    <t>Huancavelica</t>
  </si>
  <si>
    <t>Cusco</t>
  </si>
  <si>
    <t>Cajamarca</t>
  </si>
  <si>
    <t>Ayacucho</t>
  </si>
  <si>
    <t>Arequipa</t>
  </si>
  <si>
    <t>Amazonas</t>
  </si>
  <si>
    <t>Nacional</t>
  </si>
  <si>
    <t>%</t>
  </si>
  <si>
    <t>Absoluto</t>
  </si>
  <si>
    <t>Microempresa</t>
  </si>
  <si>
    <t>Total</t>
  </si>
  <si>
    <t>CUADRO Nº 1</t>
  </si>
  <si>
    <t>CUADRO Nº 2</t>
  </si>
  <si>
    <t>Explotación de minas y canteras</t>
  </si>
  <si>
    <t>Industrias manufactureras</t>
  </si>
  <si>
    <t>Electricidad, gas y agua</t>
  </si>
  <si>
    <t>Construcción</t>
  </si>
  <si>
    <t>Comercio y reparación de vehículos automotores y motocicletas</t>
  </si>
  <si>
    <t>Transporte y almacenamiento</t>
  </si>
  <si>
    <t>Información y comunicaciones</t>
  </si>
  <si>
    <t>Servicios profesionales, técnicos y de apoyo empresarial</t>
  </si>
  <si>
    <t>Otros servicios</t>
  </si>
  <si>
    <t>San Martin</t>
  </si>
  <si>
    <t>CUADRO Nº 3</t>
  </si>
  <si>
    <t>Persona Natural</t>
  </si>
  <si>
    <t>Sociedad Anónima</t>
  </si>
  <si>
    <t>Sociedad Civil</t>
  </si>
  <si>
    <t>Sociedad Comercial de Resp. Ltda.</t>
  </si>
  <si>
    <t>Empresa Individual de Resp. Ltda.</t>
  </si>
  <si>
    <t>Asociaciones</t>
  </si>
  <si>
    <t>Cooperativa</t>
  </si>
  <si>
    <t>Otros</t>
  </si>
  <si>
    <t>CUADRO Nº 4</t>
  </si>
  <si>
    <t>Apurímac</t>
  </si>
  <si>
    <t>CUADRO Nº 5</t>
  </si>
  <si>
    <t>CUADRO Nº 6</t>
  </si>
  <si>
    <t>CUADRO Nº 7</t>
  </si>
  <si>
    <t>CUADRO Nº 8</t>
  </si>
  <si>
    <t>Pequeña empresa</t>
  </si>
  <si>
    <t>Provincia Constitucional del Callao</t>
  </si>
  <si>
    <t>Áncash</t>
  </si>
  <si>
    <t>Agricultura, ganadería, silvicultura y pesca</t>
  </si>
  <si>
    <t>ApurÍmac</t>
  </si>
  <si>
    <t>CUADRO Nº 10</t>
  </si>
  <si>
    <t>CUADRO Nº 12</t>
  </si>
  <si>
    <t>CUADRO Nº 11</t>
  </si>
  <si>
    <t>CUADRO Nº 9</t>
  </si>
  <si>
    <t>CUADRO Nº 13</t>
  </si>
  <si>
    <t>Administración Pública</t>
  </si>
  <si>
    <t>Gran y mediana empresa</t>
  </si>
  <si>
    <t>Segmento empresarial</t>
  </si>
  <si>
    <t xml:space="preserve">Actividades de alojamiento </t>
  </si>
  <si>
    <t>Actividades de alojamiento</t>
  </si>
  <si>
    <t>Actividades de servicio de comidas y bebidas</t>
  </si>
  <si>
    <t>Actividades de servicios de comidas y bebidas</t>
  </si>
  <si>
    <t>Lima</t>
  </si>
  <si>
    <t>Departamento</t>
  </si>
  <si>
    <t>Departamento / Organización 
jurídica</t>
  </si>
  <si>
    <t>Departamento / Actividad económica</t>
  </si>
  <si>
    <t xml:space="preserve">Lima </t>
  </si>
  <si>
    <t>Lima Metropolitana 1/</t>
  </si>
  <si>
    <t>Departamento de Lima 2/</t>
  </si>
  <si>
    <r>
      <rPr>
        <sz val="8"/>
        <rFont val="Arial Narrow"/>
        <family val="2"/>
      </rPr>
      <t xml:space="preserve">1/ Comprende los 43 distritos que conforman Lima Metropolitana. Según Ley 31140 que modifica la Ley 27783.
2/ Comprende las provincias de Barranca, Cajatambo, Canta, Cañete, Huaral, Huarochirí, Huaura, Oyón y Yauyos.  Según Ley 31140 que modifica la Ley 27783.
</t>
    </r>
    <r>
      <rPr>
        <b/>
        <sz val="8"/>
        <rFont val="Arial Narrow"/>
        <family val="2"/>
      </rPr>
      <t>Fuente: Instituto Nacional de Estadística e Informática - Directorio Central de Empresas y Establecimientos.</t>
    </r>
  </si>
  <si>
    <r>
      <rPr>
        <sz val="8"/>
        <rFont val="Arial Narrow"/>
        <family val="2"/>
      </rPr>
      <t>1/ Comprende los 43 distritos que conforman Lima Metropolitana. Según Ley 31140 que modifica la Ley 27783.
2/ Comprende las provincias de Barranca, Cajatambo, Canta, Cañete, Huaral, Huarochirí, Huaura, Oyón y Yauyos.  Según Ley 31140 que modifica la Ley 27783.</t>
    </r>
    <r>
      <rPr>
        <b/>
        <sz val="8"/>
        <rFont val="Arial Narrow"/>
        <family val="2"/>
      </rPr>
      <t xml:space="preserve">
Fuente: Instituto Nacional de Estadística e Informática - Directorio Central de Empresas y Establecimientos.</t>
    </r>
  </si>
  <si>
    <r>
      <t xml:space="preserve">1/ Comprende los 43 distritos que conforman Lima Metropolitana. Según Ley 31140 que modifica la Ley 27783.
2/ Comprende las provincias de Barranca, Cajatambo, Canta, Cañete, Huaral, Huarochirí, Huaura, Oyón y Yauyos.  Según Ley 31140 que modifica la Ley 27783.
</t>
    </r>
    <r>
      <rPr>
        <b/>
        <sz val="8"/>
        <rFont val="Arial Narrow"/>
        <family val="2"/>
      </rPr>
      <t>Fuente: Instituto Nacional de Estadística e Informática - Directorio Central de Empresas y Establecimientos.</t>
    </r>
  </si>
  <si>
    <r>
      <rPr>
        <sz val="7"/>
        <rFont val="Arial Narrow"/>
        <family val="2"/>
      </rPr>
      <t>1/ Comprende los 43 distritos que conforman Lima Metropolitana. Según Ley 31140 que modifica la Ley 27783.
2/ Comprende las provincias de Barranca, Cajatambo, Canta, Cañete, Huaral, Huarochirí, Huaura, Oyón y Yauyos.  Según Ley 31140 que modifica la Ley 27783.</t>
    </r>
    <r>
      <rPr>
        <b/>
        <sz val="7"/>
        <rFont val="Arial Narrow"/>
        <family val="2"/>
      </rPr>
      <t xml:space="preserve">
Fuente: Instituto Nacional de Estadística e Informática - Directorio Central de Empresas y Establecimientos.</t>
    </r>
  </si>
  <si>
    <t>1/ Comprende los 43 distritos que conforman Lima Metropolitana. Según Ley 31140 que modifica la Ley 27783.</t>
  </si>
  <si>
    <t>2/ Comprende las provincias de Barranca, Cajatambo, Canta, Cañete, Huaral, Huarochirí, Huaura, Oyón y Yauyos.  Según Ley 31140 que modifica la Ley 27783.</t>
  </si>
  <si>
    <r>
      <rPr>
        <sz val="8"/>
        <rFont val="Arial Narrow"/>
        <family val="2"/>
      </rPr>
      <t>1/ Comprende los 43 distritos que conforman Lima Metropolitana. Según Ley 31140 que modifica la Ley 27783.
2/ Comprende las provincias de Barranca, Cajatambo, Canta, Cañete, Huaral, Huarochirí, Huaura, Oyón y Yauyos. Según Ley 31140 que modifica la Ley 27783.</t>
    </r>
    <r>
      <rPr>
        <b/>
        <sz val="8"/>
        <rFont val="Arial Narrow"/>
        <family val="2"/>
      </rPr>
      <t xml:space="preserve">
Fuente: Instituto Nacional de Estadística e Informática - Directorio Central de Empresas y Establecimientos.</t>
    </r>
  </si>
  <si>
    <t>PERÚ: EMPRESAS POR SEGMENTO EMPRESARIAL, SEGÚN DEPARTAMENTO, 2021</t>
  </si>
  <si>
    <t>PERÚ: EMPRESAS POR SEGMENTO EMPRESARIAL, SEGÚN DEPARTAMENTO Y ACTIVIDAD ECONÓMICA, 2021</t>
  </si>
  <si>
    <t>TOTAL</t>
  </si>
  <si>
    <t>PERÚ: EMPRESAS DE SERVICIOS POR SEGMENTO EMPRESARIAL, SEGÚN DEPARTAMENTO Y ORGANIZACIÓN JURÍDICA, 2021</t>
  </si>
  <si>
    <t>PERÚ: EMPRESAS DE SERVICIOS POR SEGMENTO EMPRESARIAL, SEGÚN DEPARTAMENTO, 2021</t>
  </si>
  <si>
    <t>PERÚ: EMPRESAS COMERCIALES POR SEGMENTO EMPRESARIAL, SEGÚN DEPARTAMENTO Y ORGANIZACIÓN JURÍDICA, 2021</t>
  </si>
  <si>
    <t>PERÚ: EMPRESAS COMERCIALES POR SEGMENTO EMPRESARIAL, SEGÚN DEPARTAMENTO, 2021</t>
  </si>
  <si>
    <t>PERÚ: EMPRESAS CONSTITUIDAS EN SOCIEDADES ANÓNIMAS POR SEGMENTO EMPRESARIAL, SEGÚN DEPARTAMENTO, 2021</t>
  </si>
  <si>
    <t>PERÚ: EMPRESAS CONSTITUIDAS EN SOCIEDADES ANÓNIMAS POR SEGMENTO EMPRESARIAL, 
SEGÚN DEPARTAMENTO Y ACTIVIDAD ECONÓMICA, 2021</t>
  </si>
  <si>
    <t>PERÚ: EMPRESAS MANUFACTURERAS POR SEGMENTO EMPRESARIAL, SEGÚN DEPARTAMENTO, 2021</t>
  </si>
  <si>
    <t>PERÚ: EMPRESAS MANUFACTURERAS POR SEGMENTO EMPRESARIAL, SEGÚN DEPARTAMENTO Y ORGANIZACIÓN JURÍDICA, 2021</t>
  </si>
  <si>
    <t>-</t>
  </si>
  <si>
    <t>PERÚ: EMPRESAS POR SEGMENTO EMPRESARIAL, SEGÚN DEPARTAMENTO Y ORGANIZACIÓN JURÍDICA, 2021</t>
  </si>
  <si>
    <t>PERÚ: EMPRESAS CONFORMADAS COMO PERSONA NATURAL POR SEGMENTO EMPRESARIAL, SEGÚN DEPARTAMENTO, 2021</t>
  </si>
  <si>
    <t>PERÚ: EMPRESAS CONFORMADAS COMO PERSONA NATURAL POR SEGMENTO EMPRESARIAL, SEGÚN DEPARTAMENTO Y ACTIVIDAD ECONÓMICA, 2021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</si>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</sst>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_([$€-2]\ * #,##0.00_);_([$€-2]\ * \(#,##0.00\);_([$€-2]\ * &quot;-&quot;??_)"/>
    <numFmt numFmtId="167" formatCode="###0"/>
    <numFmt numFmtId="168" formatCode="###0.0"/>
    <numFmt numFmtId="169" formatCode="0.000"/>
  </numFmts>
  <fonts count="25" x14ac:knownFonts="1">
    <font>
      <sz val="10"/>
      <name val="Arial"/>
      <family val="2"/>
    </font>
    <font>
      <sz val="10"/>
      <name val="Arial"/>
      <family val="2"/>
    </font>
    <font>
      <sz val="8"/>
      <name val="Arial Narrow"/>
      <family val="2"/>
    </font>
    <font>
      <b/>
      <sz val="7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7.5"/>
      <name val="Arial Narrow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theme="0" tint="-0.34998626667073579"/>
      <name val="Arial Narrow"/>
      <family val="2"/>
    </font>
    <font>
      <b/>
      <sz val="8"/>
      <color theme="0" tint="-0.34998626667073579"/>
      <name val="Arial Narrow"/>
      <family val="2"/>
    </font>
    <font>
      <b/>
      <sz val="9"/>
      <color theme="0"/>
      <name val="Arial Narrow"/>
      <family val="2"/>
    </font>
    <font>
      <sz val="8"/>
      <color theme="0"/>
      <name val="Arial Narrow"/>
      <family val="2"/>
    </font>
    <font>
      <b/>
      <sz val="8"/>
      <color theme="0"/>
      <name val="Arial Narrow"/>
      <family val="2"/>
    </font>
    <font>
      <sz val="7"/>
      <color theme="0"/>
      <name val="Arial Narrow"/>
      <family val="2"/>
    </font>
    <font>
      <b/>
      <sz val="7"/>
      <color theme="0" tint="-0.34998626667073579"/>
      <name val="Arial Narrow"/>
      <family val="2"/>
    </font>
    <font>
      <sz val="10"/>
      <color theme="0" tint="-0.34998626667073579"/>
      <name val="Arial"/>
      <family val="2"/>
    </font>
    <font>
      <b/>
      <sz val="8"/>
      <color theme="1"/>
      <name val="Arial Narrow"/>
      <family val="2"/>
    </font>
    <font>
      <sz val="9"/>
      <name val="Arial"/>
      <family val="2"/>
    </font>
    <font>
      <b/>
      <sz val="8"/>
      <color rgb="FFFF0000"/>
      <name val="Arial Narrow"/>
      <family val="2"/>
    </font>
    <font>
      <sz val="10"/>
      <color rgb="FFFF0000"/>
      <name val="Arial Narrow"/>
      <family val="2"/>
    </font>
    <font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thin">
        <color indexed="64"/>
      </bottom>
      <diagonal/>
    </border>
    <border>
      <left style="medium">
        <color theme="4"/>
      </left>
      <right/>
      <top style="thin">
        <color indexed="6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theme="4"/>
      </left>
      <right/>
      <top/>
      <bottom/>
      <diagonal/>
    </border>
  </borders>
  <cellStyleXfs count="8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9" fillId="0" borderId="0"/>
    <xf numFmtId="0" fontId="9" fillId="0" borderId="0"/>
    <xf numFmtId="0" fontId="9" fillId="0" borderId="0"/>
    <xf numFmtId="0" fontId="11" fillId="0" borderId="0"/>
  </cellStyleXfs>
  <cellXfs count="194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49" fontId="4" fillId="0" borderId="0" xfId="1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0" applyFont="1"/>
    <xf numFmtId="165" fontId="4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7" fillId="0" borderId="0" xfId="0" applyFont="1"/>
    <xf numFmtId="0" fontId="8" fillId="0" borderId="0" xfId="3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indent="1"/>
    </xf>
    <xf numFmtId="49" fontId="4" fillId="0" borderId="0" xfId="1" applyNumberFormat="1" applyFont="1" applyAlignment="1">
      <alignment horizontal="center" vertical="center"/>
    </xf>
    <xf numFmtId="0" fontId="2" fillId="0" borderId="0" xfId="5" applyFont="1"/>
    <xf numFmtId="0" fontId="4" fillId="0" borderId="0" xfId="4" applyFont="1" applyAlignment="1">
      <alignment vertical="center"/>
    </xf>
    <xf numFmtId="0" fontId="4" fillId="0" borderId="0" xfId="4" applyFont="1" applyAlignment="1">
      <alignment horizontal="center" vertical="center" wrapText="1"/>
    </xf>
    <xf numFmtId="49" fontId="4" fillId="0" borderId="0" xfId="4" applyNumberFormat="1" applyFont="1" applyAlignment="1">
      <alignment horizontal="center" vertical="center" wrapText="1"/>
    </xf>
    <xf numFmtId="3" fontId="4" fillId="0" borderId="0" xfId="5" applyNumberFormat="1" applyFont="1" applyAlignment="1">
      <alignment horizontal="center" vertical="center" wrapText="1"/>
    </xf>
    <xf numFmtId="3" fontId="4" fillId="0" borderId="0" xfId="5" applyNumberFormat="1" applyFont="1" applyAlignment="1">
      <alignment vertical="center" wrapText="1"/>
    </xf>
    <xf numFmtId="3" fontId="2" fillId="0" borderId="0" xfId="5" applyNumberFormat="1" applyFont="1" applyAlignment="1">
      <alignment vertical="center" wrapText="1"/>
    </xf>
    <xf numFmtId="165" fontId="2" fillId="0" borderId="0" xfId="5" applyNumberFormat="1" applyFont="1" applyAlignment="1">
      <alignment vertical="center" wrapText="1"/>
    </xf>
    <xf numFmtId="164" fontId="2" fillId="0" borderId="0" xfId="5" applyNumberFormat="1" applyFont="1" applyAlignment="1">
      <alignment horizontal="right" vertical="center" wrapText="1"/>
    </xf>
    <xf numFmtId="0" fontId="2" fillId="0" borderId="0" xfId="5" applyFont="1" applyAlignment="1">
      <alignment horizontal="left" vertical="center" wrapText="1"/>
    </xf>
    <xf numFmtId="3" fontId="2" fillId="0" borderId="0" xfId="5" applyNumberFormat="1" applyFont="1" applyAlignment="1">
      <alignment horizontal="right" vertical="center" wrapText="1"/>
    </xf>
    <xf numFmtId="0" fontId="4" fillId="0" borderId="0" xfId="6" applyFont="1" applyAlignment="1">
      <alignment vertical="center"/>
    </xf>
    <xf numFmtId="0" fontId="4" fillId="0" borderId="0" xfId="0" applyFont="1"/>
    <xf numFmtId="165" fontId="4" fillId="0" borderId="0" xfId="5" applyNumberFormat="1" applyFont="1" applyAlignment="1">
      <alignment vertical="center" wrapText="1"/>
    </xf>
    <xf numFmtId="165" fontId="2" fillId="0" borderId="0" xfId="0" applyNumberFormat="1" applyFont="1"/>
    <xf numFmtId="169" fontId="2" fillId="0" borderId="0" xfId="0" applyNumberFormat="1" applyFont="1"/>
    <xf numFmtId="4" fontId="2" fillId="0" borderId="0" xfId="0" applyNumberFormat="1" applyFont="1"/>
    <xf numFmtId="3" fontId="4" fillId="0" borderId="0" xfId="0" applyNumberFormat="1" applyFont="1" applyAlignment="1">
      <alignment horizontal="left" vertical="center"/>
    </xf>
    <xf numFmtId="164" fontId="2" fillId="0" borderId="0" xfId="0" applyNumberFormat="1" applyFont="1"/>
    <xf numFmtId="167" fontId="10" fillId="0" borderId="0" xfId="7" applyNumberFormat="1" applyFont="1" applyAlignment="1">
      <alignment horizontal="right" vertical="top"/>
    </xf>
    <xf numFmtId="0" fontId="10" fillId="0" borderId="0" xfId="7" applyFont="1"/>
    <xf numFmtId="0" fontId="10" fillId="0" borderId="0" xfId="7" applyFont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3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49" fontId="4" fillId="2" borderId="7" xfId="1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49" fontId="4" fillId="2" borderId="0" xfId="1" applyNumberFormat="1" applyFont="1" applyFill="1" applyAlignment="1">
      <alignment horizontal="center" vertical="center" wrapText="1"/>
    </xf>
    <xf numFmtId="3" fontId="2" fillId="0" borderId="6" xfId="0" applyNumberFormat="1" applyFont="1" applyBorder="1"/>
    <xf numFmtId="3" fontId="2" fillId="0" borderId="7" xfId="0" applyNumberFormat="1" applyFont="1" applyBorder="1"/>
    <xf numFmtId="165" fontId="2" fillId="0" borderId="7" xfId="0" applyNumberFormat="1" applyFont="1" applyBorder="1"/>
    <xf numFmtId="3" fontId="2" fillId="0" borderId="7" xfId="0" applyNumberFormat="1" applyFont="1" applyBorder="1" applyAlignment="1">
      <alignment horizontal="right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/>
    <xf numFmtId="0" fontId="4" fillId="2" borderId="11" xfId="1" applyFont="1" applyFill="1" applyBorder="1" applyAlignment="1">
      <alignment horizontal="center" vertical="center" wrapText="1"/>
    </xf>
    <xf numFmtId="49" fontId="4" fillId="2" borderId="11" xfId="1" applyNumberFormat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left" vertical="center" indent="1"/>
    </xf>
    <xf numFmtId="3" fontId="4" fillId="0" borderId="5" xfId="0" applyNumberFormat="1" applyFont="1" applyBorder="1" applyAlignment="1">
      <alignment horizontal="left" vertical="center" wrapText="1"/>
    </xf>
    <xf numFmtId="3" fontId="4" fillId="0" borderId="5" xfId="0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left" indent="1"/>
    </xf>
    <xf numFmtId="3" fontId="2" fillId="0" borderId="12" xfId="0" applyNumberFormat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left" indent="1"/>
    </xf>
    <xf numFmtId="3" fontId="2" fillId="0" borderId="5" xfId="0" applyNumberFormat="1" applyFont="1" applyBorder="1" applyAlignment="1">
      <alignment horizontal="left"/>
    </xf>
    <xf numFmtId="3" fontId="2" fillId="0" borderId="6" xfId="0" applyNumberFormat="1" applyFont="1" applyBorder="1" applyAlignment="1">
      <alignment horizontal="left" vertical="center" indent="1"/>
    </xf>
    <xf numFmtId="3" fontId="4" fillId="0" borderId="7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3" fontId="2" fillId="0" borderId="6" xfId="0" applyNumberFormat="1" applyFont="1" applyBorder="1" applyAlignment="1">
      <alignment horizontal="left" indent="1"/>
    </xf>
    <xf numFmtId="3" fontId="2" fillId="0" borderId="7" xfId="0" applyNumberFormat="1" applyFont="1" applyBorder="1" applyAlignment="1">
      <alignment vertical="center" wrapText="1"/>
    </xf>
    <xf numFmtId="165" fontId="2" fillId="0" borderId="7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4" fillId="0" borderId="5" xfId="4" applyFont="1" applyBorder="1" applyAlignment="1">
      <alignment horizontal="center" vertical="center" wrapText="1"/>
    </xf>
    <xf numFmtId="0" fontId="4" fillId="0" borderId="5" xfId="5" applyFont="1" applyBorder="1" applyAlignment="1">
      <alignment horizontal="left" vertical="center" wrapText="1"/>
    </xf>
    <xf numFmtId="0" fontId="2" fillId="0" borderId="5" xfId="5" applyFont="1" applyBorder="1" applyAlignment="1">
      <alignment horizontal="left" vertical="center"/>
    </xf>
    <xf numFmtId="3" fontId="2" fillId="0" borderId="6" xfId="5" applyNumberFormat="1" applyFont="1" applyBorder="1"/>
    <xf numFmtId="3" fontId="2" fillId="0" borderId="7" xfId="5" applyNumberFormat="1" applyFont="1" applyBorder="1"/>
    <xf numFmtId="165" fontId="2" fillId="0" borderId="7" xfId="5" applyNumberFormat="1" applyFont="1" applyBorder="1"/>
    <xf numFmtId="164" fontId="2" fillId="0" borderId="7" xfId="5" applyNumberFormat="1" applyFont="1" applyBorder="1" applyAlignment="1">
      <alignment horizontal="right" vertical="center" wrapText="1"/>
    </xf>
    <xf numFmtId="3" fontId="2" fillId="0" borderId="7" xfId="5" applyNumberFormat="1" applyFont="1" applyBorder="1" applyAlignment="1">
      <alignment horizontal="right" vertical="center" wrapText="1"/>
    </xf>
    <xf numFmtId="165" fontId="4" fillId="0" borderId="7" xfId="0" applyNumberFormat="1" applyFont="1" applyBorder="1" applyAlignment="1">
      <alignment vertical="center" wrapText="1"/>
    </xf>
    <xf numFmtId="3" fontId="2" fillId="3" borderId="0" xfId="0" applyNumberFormat="1" applyFont="1" applyFill="1" applyAlignment="1">
      <alignment horizontal="right" vertical="center" wrapText="1"/>
    </xf>
    <xf numFmtId="165" fontId="2" fillId="3" borderId="0" xfId="0" applyNumberFormat="1" applyFont="1" applyFill="1" applyAlignment="1">
      <alignment horizontal="right" vertical="center" wrapText="1"/>
    </xf>
    <xf numFmtId="3" fontId="4" fillId="0" borderId="5" xfId="0" applyNumberFormat="1" applyFont="1" applyBorder="1" applyAlignment="1">
      <alignment horizontal="left"/>
    </xf>
    <xf numFmtId="3" fontId="2" fillId="3" borderId="5" xfId="0" applyNumberFormat="1" applyFont="1" applyFill="1" applyBorder="1" applyAlignment="1">
      <alignment horizontal="left" vertical="center" indent="1"/>
    </xf>
    <xf numFmtId="3" fontId="2" fillId="0" borderId="13" xfId="0" applyNumberFormat="1" applyFont="1" applyBorder="1" applyAlignment="1">
      <alignment vertical="center" wrapText="1"/>
    </xf>
    <xf numFmtId="3" fontId="4" fillId="3" borderId="5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  <xf numFmtId="3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vertical="center" wrapText="1"/>
    </xf>
    <xf numFmtId="0" fontId="12" fillId="0" borderId="0" xfId="0" applyFont="1"/>
    <xf numFmtId="165" fontId="12" fillId="0" borderId="0" xfId="0" applyNumberFormat="1" applyFont="1"/>
    <xf numFmtId="0" fontId="12" fillId="0" borderId="0" xfId="0" applyFont="1" applyAlignment="1">
      <alignment wrapText="1"/>
    </xf>
    <xf numFmtId="0" fontId="2" fillId="0" borderId="0" xfId="0" applyFont="1" applyAlignment="1">
      <alignment horizontal="right"/>
    </xf>
    <xf numFmtId="165" fontId="2" fillId="0" borderId="0" xfId="5" applyNumberFormat="1" applyFont="1"/>
    <xf numFmtId="0" fontId="4" fillId="2" borderId="11" xfId="1" applyFont="1" applyFill="1" applyBorder="1" applyAlignment="1">
      <alignment horizontal="right" vertical="center" wrapText="1"/>
    </xf>
    <xf numFmtId="0" fontId="4" fillId="2" borderId="0" xfId="1" applyFont="1" applyFill="1" applyAlignment="1">
      <alignment horizontal="right" vertical="center" wrapText="1"/>
    </xf>
    <xf numFmtId="0" fontId="4" fillId="0" borderId="0" xfId="0" applyFont="1" applyAlignment="1">
      <alignment horizontal="left" wrapText="1"/>
    </xf>
    <xf numFmtId="0" fontId="5" fillId="0" borderId="0" xfId="1" applyFont="1" applyAlignment="1">
      <alignment horizontal="center" vertical="center" wrapText="1"/>
    </xf>
    <xf numFmtId="49" fontId="4" fillId="2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1" applyNumberFormat="1" applyFont="1" applyFill="1" applyAlignment="1">
      <alignment horizontal="right" vertical="center" wrapText="1"/>
    </xf>
    <xf numFmtId="165" fontId="13" fillId="3" borderId="0" xfId="0" applyNumberFormat="1" applyFont="1" applyFill="1"/>
    <xf numFmtId="0" fontId="15" fillId="0" borderId="0" xfId="0" applyFont="1"/>
    <xf numFmtId="0" fontId="17" fillId="0" borderId="0" xfId="0" applyFont="1"/>
    <xf numFmtId="0" fontId="13" fillId="0" borderId="0" xfId="0" applyFont="1"/>
    <xf numFmtId="165" fontId="12" fillId="3" borderId="0" xfId="0" applyNumberFormat="1" applyFont="1" applyFill="1" applyAlignment="1">
      <alignment vertical="center" wrapText="1"/>
    </xf>
    <xf numFmtId="165" fontId="12" fillId="3" borderId="0" xfId="0" applyNumberFormat="1" applyFont="1" applyFill="1"/>
    <xf numFmtId="0" fontId="13" fillId="3" borderId="0" xfId="0" applyFont="1" applyFill="1"/>
    <xf numFmtId="0" fontId="12" fillId="3" borderId="0" xfId="0" applyFont="1" applyFill="1"/>
    <xf numFmtId="0" fontId="2" fillId="3" borderId="0" xfId="0" applyFont="1" applyFill="1"/>
    <xf numFmtId="165" fontId="2" fillId="3" borderId="0" xfId="0" applyNumberFormat="1" applyFont="1" applyFill="1"/>
    <xf numFmtId="165" fontId="7" fillId="0" borderId="0" xfId="0" applyNumberFormat="1" applyFont="1"/>
    <xf numFmtId="165" fontId="12" fillId="0" borderId="0" xfId="0" applyNumberFormat="1" applyFont="1" applyAlignment="1">
      <alignment horizontal="left" vertical="center" indent="1"/>
    </xf>
    <xf numFmtId="3" fontId="20" fillId="0" borderId="5" xfId="0" applyNumberFormat="1" applyFont="1" applyBorder="1" applyAlignment="1">
      <alignment horizontal="left" vertical="center"/>
    </xf>
    <xf numFmtId="3" fontId="4" fillId="0" borderId="0" xfId="1" applyNumberFormat="1" applyFont="1" applyAlignment="1">
      <alignment horizontal="center" vertical="center" wrapText="1"/>
    </xf>
    <xf numFmtId="3" fontId="2" fillId="0" borderId="0" xfId="0" applyNumberFormat="1" applyFont="1"/>
    <xf numFmtId="3" fontId="4" fillId="2" borderId="7" xfId="1" applyNumberFormat="1" applyFont="1" applyFill="1" applyBorder="1" applyAlignment="1">
      <alignment horizontal="right" vertical="center" wrapText="1"/>
    </xf>
    <xf numFmtId="3" fontId="4" fillId="0" borderId="0" xfId="0" applyNumberFormat="1" applyFont="1" applyAlignment="1">
      <alignment horizontal="left"/>
    </xf>
    <xf numFmtId="165" fontId="2" fillId="0" borderId="7" xfId="5" applyNumberFormat="1" applyFont="1" applyBorder="1" applyAlignment="1">
      <alignment horizontal="right" vertical="center" wrapText="1"/>
    </xf>
    <xf numFmtId="168" fontId="10" fillId="0" borderId="0" xfId="7" applyNumberFormat="1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0" fontId="14" fillId="3" borderId="0" xfId="1" applyFont="1" applyFill="1" applyAlignment="1">
      <alignment horizontal="center" vertical="center" wrapText="1"/>
    </xf>
    <xf numFmtId="0" fontId="15" fillId="3" borderId="0" xfId="0" applyFont="1" applyFill="1"/>
    <xf numFmtId="0" fontId="4" fillId="3" borderId="0" xfId="1" applyFont="1" applyFill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49" fontId="4" fillId="3" borderId="0" xfId="1" applyNumberFormat="1" applyFont="1" applyFill="1" applyAlignment="1">
      <alignment horizontal="center" vertical="center" wrapText="1"/>
    </xf>
    <xf numFmtId="49" fontId="16" fillId="3" borderId="0" xfId="1" applyNumberFormat="1" applyFont="1" applyFill="1" applyAlignment="1">
      <alignment horizontal="center" vertical="center" wrapText="1"/>
    </xf>
    <xf numFmtId="49" fontId="4" fillId="3" borderId="0" xfId="1" applyNumberFormat="1" applyFont="1" applyFill="1" applyAlignment="1">
      <alignment horizontal="right" vertical="center" wrapText="1"/>
    </xf>
    <xf numFmtId="49" fontId="16" fillId="3" borderId="0" xfId="1" applyNumberFormat="1" applyFont="1" applyFill="1" applyAlignment="1">
      <alignment horizontal="right" vertical="center" wrapText="1"/>
    </xf>
    <xf numFmtId="164" fontId="2" fillId="3" borderId="0" xfId="0" applyNumberFormat="1" applyFont="1" applyFill="1"/>
    <xf numFmtId="2" fontId="2" fillId="3" borderId="0" xfId="0" applyNumberFormat="1" applyFont="1" applyFill="1"/>
    <xf numFmtId="4" fontId="2" fillId="3" borderId="0" xfId="0" applyNumberFormat="1" applyFont="1" applyFill="1"/>
    <xf numFmtId="2" fontId="15" fillId="3" borderId="0" xfId="0" applyNumberFormat="1" applyFont="1" applyFill="1"/>
    <xf numFmtId="2" fontId="12" fillId="3" borderId="0" xfId="0" applyNumberFormat="1" applyFont="1" applyFill="1"/>
    <xf numFmtId="3" fontId="13" fillId="3" borderId="0" xfId="0" applyNumberFormat="1" applyFont="1" applyFill="1"/>
    <xf numFmtId="4" fontId="12" fillId="3" borderId="0" xfId="0" applyNumberFormat="1" applyFont="1" applyFill="1"/>
    <xf numFmtId="165" fontId="18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/>
    <xf numFmtId="0" fontId="19" fillId="3" borderId="0" xfId="0" applyFont="1" applyFill="1"/>
    <xf numFmtId="164" fontId="13" fillId="3" borderId="0" xfId="0" applyNumberFormat="1" applyFont="1" applyFill="1"/>
    <xf numFmtId="3" fontId="4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 wrapText="1"/>
    </xf>
    <xf numFmtId="165" fontId="2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left" vertical="center" wrapText="1" indent="4"/>
    </xf>
    <xf numFmtId="3" fontId="12" fillId="0" borderId="0" xfId="0" applyNumberFormat="1" applyFont="1"/>
    <xf numFmtId="3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65" fontId="2" fillId="3" borderId="0" xfId="5" applyNumberFormat="1" applyFont="1" applyFill="1" applyAlignment="1">
      <alignment vertical="center" wrapText="1"/>
    </xf>
    <xf numFmtId="3" fontId="2" fillId="3" borderId="0" xfId="5" applyNumberFormat="1" applyFont="1" applyFill="1" applyAlignment="1">
      <alignment vertical="center" wrapText="1"/>
    </xf>
    <xf numFmtId="0" fontId="23" fillId="0" borderId="0" xfId="0" applyFont="1"/>
    <xf numFmtId="165" fontId="2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5" fillId="0" borderId="0" xfId="1" applyFont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7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left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4" fillId="0" borderId="0" xfId="3" applyFont="1" applyAlignment="1">
      <alignment horizontal="left" vertical="center"/>
    </xf>
    <xf numFmtId="0" fontId="4" fillId="0" borderId="0" xfId="6" applyFont="1" applyAlignment="1">
      <alignment horizontal="left" vertical="center" wrapText="1"/>
    </xf>
    <xf numFmtId="0" fontId="5" fillId="0" borderId="0" xfId="4" applyFont="1" applyAlignment="1">
      <alignment horizontal="center" vertical="center" wrapText="1"/>
    </xf>
    <xf numFmtId="3" fontId="2" fillId="0" borderId="0" xfId="0" applyNumberFormat="1" applyFont="1" applyAlignment="1">
      <alignment horizontal="left" vertical="center" wrapText="1"/>
    </xf>
    <xf numFmtId="3" fontId="2" fillId="0" borderId="11" xfId="0" applyNumberFormat="1" applyFont="1" applyBorder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3" fontId="3" fillId="0" borderId="11" xfId="0" applyNumberFormat="1" applyFont="1" applyBorder="1" applyAlignment="1">
      <alignment horizontal="left" vertical="center" wrapText="1"/>
    </xf>
    <xf numFmtId="0" fontId="4" fillId="2" borderId="11" xfId="1" applyFont="1" applyFill="1" applyBorder="1" applyAlignment="1">
      <alignment horizontal="right" vertical="center" wrapText="1"/>
    </xf>
    <xf numFmtId="0" fontId="4" fillId="2" borderId="7" xfId="1" applyFont="1" applyFill="1" applyBorder="1" applyAlignment="1">
      <alignment horizontal="right" vertical="center" wrapText="1"/>
    </xf>
  </cellXfs>
  <cellStyles count="8">
    <cellStyle name="Euro" xfId="2" xr:uid="{00000000-0005-0000-0000-000000000000}"/>
    <cellStyle name="Normal" xfId="0" builtinId="0"/>
    <cellStyle name="Normal 2" xfId="5" xr:uid="{00000000-0005-0000-0000-000002000000}"/>
    <cellStyle name="Normal_31cuadros de Tabulados para la Presentación preliminar - HD" xfId="1" xr:uid="{00000000-0005-0000-0000-000003000000}"/>
    <cellStyle name="Normal_31cuadros de Tabulados para la Presentación preliminar - HD 2" xfId="4" xr:uid="{00000000-0005-0000-0000-000004000000}"/>
    <cellStyle name="Normal_Copia de Tabulados para la Presentación preliminar - HD (7)" xfId="3" xr:uid="{00000000-0005-0000-0000-000005000000}"/>
    <cellStyle name="Normal_Copia de Tabulados para la Presentación preliminar - HD (7) 2" xfId="6" xr:uid="{00000000-0005-0000-0000-000006000000}"/>
    <cellStyle name="Normal_Inicio_2016" xfId="7" xr:uid="{00000000-0005-0000-0000-000008000000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9"/>
  <sheetViews>
    <sheetView showGridLines="0" tabSelected="1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1.7109375" style="1" bestFit="1" customWidth="1"/>
    <col min="2" max="2" width="7.7109375" style="1" customWidth="1"/>
    <col min="3" max="3" width="5.140625" style="1" customWidth="1"/>
    <col min="4" max="4" width="1" style="1" customWidth="1"/>
    <col min="5" max="5" width="7.7109375" style="1" customWidth="1"/>
    <col min="6" max="6" width="5.140625" style="1" customWidth="1"/>
    <col min="7" max="7" width="1" style="1" customWidth="1"/>
    <col min="8" max="8" width="7.7109375" style="1" customWidth="1"/>
    <col min="9" max="9" width="5.140625" style="1" customWidth="1"/>
    <col min="10" max="10" width="1" style="1" customWidth="1"/>
    <col min="11" max="11" width="7.7109375" style="1" customWidth="1"/>
    <col min="12" max="12" width="5.140625" style="1" customWidth="1"/>
    <col min="13" max="13" width="1" style="1" customWidth="1"/>
    <col min="14" max="14" width="7.7109375" style="1" hidden="1" customWidth="1"/>
    <col min="15" max="15" width="5.140625" style="1" hidden="1" customWidth="1"/>
    <col min="16" max="16" width="5.140625" style="1" customWidth="1"/>
    <col min="17" max="17" width="11.42578125" style="1"/>
    <col min="18" max="18" width="8.140625" style="1" customWidth="1"/>
    <col min="19" max="16384" width="11.42578125" style="1"/>
  </cols>
  <sheetData>
    <row r="1" spans="1:22" ht="13.5" x14ac:dyDescent="0.25">
      <c r="A1" s="163" t="s">
        <v>27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07"/>
    </row>
    <row r="2" spans="1:22" ht="16.5" customHeight="1" x14ac:dyDescent="0.25">
      <c r="A2" s="163" t="s">
        <v>85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07"/>
    </row>
    <row r="3" spans="1:22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22" ht="18" customHeight="1" thickBot="1" x14ac:dyDescent="0.3">
      <c r="A4" s="164" t="s">
        <v>72</v>
      </c>
      <c r="B4" s="167" t="s">
        <v>26</v>
      </c>
      <c r="C4" s="168"/>
      <c r="D4" s="58"/>
      <c r="E4" s="171" t="s">
        <v>66</v>
      </c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08"/>
    </row>
    <row r="5" spans="1:22" ht="31.5" customHeight="1" thickBot="1" x14ac:dyDescent="0.3">
      <c r="A5" s="165"/>
      <c r="B5" s="169"/>
      <c r="C5" s="170"/>
      <c r="D5" s="66"/>
      <c r="E5" s="172" t="s">
        <v>25</v>
      </c>
      <c r="F5" s="172"/>
      <c r="G5" s="51"/>
      <c r="H5" s="172" t="s">
        <v>54</v>
      </c>
      <c r="I5" s="172"/>
      <c r="J5" s="51"/>
      <c r="K5" s="172" t="s">
        <v>65</v>
      </c>
      <c r="L5" s="172"/>
      <c r="M5" s="51"/>
      <c r="N5" s="173" t="s">
        <v>64</v>
      </c>
      <c r="O5" s="174"/>
      <c r="P5" s="109"/>
      <c r="Q5" s="43"/>
      <c r="R5" s="43"/>
    </row>
    <row r="6" spans="1:22" ht="18" customHeight="1" thickBot="1" x14ac:dyDescent="0.3">
      <c r="A6" s="166"/>
      <c r="B6" s="50" t="s">
        <v>24</v>
      </c>
      <c r="C6" s="49" t="s">
        <v>23</v>
      </c>
      <c r="D6" s="49"/>
      <c r="E6" s="50" t="s">
        <v>24</v>
      </c>
      <c r="F6" s="49" t="s">
        <v>23</v>
      </c>
      <c r="G6" s="49"/>
      <c r="H6" s="50" t="s">
        <v>24</v>
      </c>
      <c r="I6" s="49" t="s">
        <v>23</v>
      </c>
      <c r="J6" s="49"/>
      <c r="K6" s="50" t="s">
        <v>24</v>
      </c>
      <c r="L6" s="49" t="s">
        <v>23</v>
      </c>
      <c r="M6" s="49"/>
      <c r="N6" s="50" t="s">
        <v>24</v>
      </c>
      <c r="O6" s="49" t="s">
        <v>23</v>
      </c>
      <c r="P6" s="110"/>
      <c r="Q6" s="43"/>
      <c r="R6" s="43"/>
    </row>
    <row r="7" spans="1:22" ht="11.25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  <c r="M7" s="11"/>
      <c r="Q7" s="44"/>
      <c r="R7" s="44"/>
    </row>
    <row r="8" spans="1:22" ht="15.95" customHeight="1" x14ac:dyDescent="0.25">
      <c r="A8" s="46" t="s">
        <v>22</v>
      </c>
      <c r="B8" s="9">
        <v>2979707</v>
      </c>
      <c r="C8" s="15">
        <v>100</v>
      </c>
      <c r="D8" s="15"/>
      <c r="E8" s="9">
        <v>2898621</v>
      </c>
      <c r="F8" s="15">
        <v>100</v>
      </c>
      <c r="G8" s="15"/>
      <c r="H8" s="9">
        <v>67321</v>
      </c>
      <c r="I8" s="15">
        <v>100</v>
      </c>
      <c r="J8" s="15"/>
      <c r="K8" s="9">
        <v>13765</v>
      </c>
      <c r="L8" s="15">
        <v>100</v>
      </c>
      <c r="M8" s="15"/>
      <c r="N8" s="9" t="e">
        <f>#REF!</f>
        <v>#REF!</v>
      </c>
      <c r="O8" s="15" t="e">
        <f>#REF!</f>
        <v>#REF!</v>
      </c>
      <c r="P8" s="15"/>
      <c r="Q8" s="42"/>
      <c r="R8" s="129"/>
      <c r="S8" s="129"/>
      <c r="T8" s="129"/>
      <c r="U8" s="129"/>
      <c r="V8" s="38"/>
    </row>
    <row r="9" spans="1:22" ht="15.95" customHeight="1" x14ac:dyDescent="0.25">
      <c r="A9" s="47" t="s">
        <v>21</v>
      </c>
      <c r="B9" s="6">
        <v>20516</v>
      </c>
      <c r="C9" s="5">
        <v>0.68852407300449336</v>
      </c>
      <c r="D9" s="5"/>
      <c r="E9" s="6">
        <v>20092</v>
      </c>
      <c r="F9" s="5">
        <v>0.69315719440382162</v>
      </c>
      <c r="G9" s="5"/>
      <c r="H9" s="6">
        <v>374</v>
      </c>
      <c r="I9" s="5">
        <v>0.55554730321890644</v>
      </c>
      <c r="J9" s="5"/>
      <c r="K9" s="6">
        <v>50</v>
      </c>
      <c r="L9" s="5">
        <v>0.36324010170722848</v>
      </c>
      <c r="M9" s="5"/>
      <c r="N9" s="6" t="e">
        <f>#REF!</f>
        <v>#REF!</v>
      </c>
      <c r="O9" s="5" t="e">
        <f>#REF!-0.1</f>
        <v>#REF!</v>
      </c>
      <c r="P9" s="5"/>
      <c r="Q9" s="42"/>
      <c r="R9" s="129"/>
      <c r="S9" s="130"/>
      <c r="T9" s="130"/>
      <c r="U9" s="130"/>
      <c r="V9" s="38"/>
    </row>
    <row r="10" spans="1:22" ht="15.95" customHeight="1" x14ac:dyDescent="0.25">
      <c r="A10" s="47" t="s">
        <v>56</v>
      </c>
      <c r="B10" s="6">
        <v>86708</v>
      </c>
      <c r="C10" s="5">
        <v>2.9099505421170608</v>
      </c>
      <c r="D10" s="5"/>
      <c r="E10" s="6">
        <v>85261</v>
      </c>
      <c r="F10" s="5">
        <v>2.9414331849524307</v>
      </c>
      <c r="G10" s="5"/>
      <c r="H10" s="6">
        <v>1327</v>
      </c>
      <c r="I10" s="5">
        <v>1.9711531320093285</v>
      </c>
      <c r="J10" s="5"/>
      <c r="K10" s="6">
        <v>120</v>
      </c>
      <c r="L10" s="5">
        <v>0.87177624409734844</v>
      </c>
      <c r="M10" s="5"/>
      <c r="N10" s="6" t="e">
        <f>#REF!</f>
        <v>#REF!</v>
      </c>
      <c r="O10" s="5" t="e">
        <f>#REF!</f>
        <v>#REF!</v>
      </c>
      <c r="P10" s="5"/>
      <c r="Q10" s="42"/>
      <c r="R10" s="129"/>
      <c r="S10" s="130"/>
      <c r="T10" s="130"/>
      <c r="U10" s="130"/>
      <c r="V10" s="38"/>
    </row>
    <row r="11" spans="1:22" ht="15.95" customHeight="1" x14ac:dyDescent="0.25">
      <c r="A11" s="47" t="s">
        <v>49</v>
      </c>
      <c r="B11" s="6">
        <v>30711</v>
      </c>
      <c r="C11" s="5">
        <v>1.0306718076643107</v>
      </c>
      <c r="D11" s="5"/>
      <c r="E11" s="6">
        <v>30212</v>
      </c>
      <c r="F11" s="5">
        <v>1.0422887297097483</v>
      </c>
      <c r="G11" s="5"/>
      <c r="H11" s="6">
        <v>455</v>
      </c>
      <c r="I11" s="5">
        <v>0.67586637156310814</v>
      </c>
      <c r="J11" s="5"/>
      <c r="K11" s="6">
        <v>44</v>
      </c>
      <c r="L11" s="5">
        <v>0.31965128950236105</v>
      </c>
      <c r="M11" s="5"/>
      <c r="N11" s="6" t="e">
        <f>#REF!</f>
        <v>#REF!</v>
      </c>
      <c r="O11" s="5" t="e">
        <f>#REF!</f>
        <v>#REF!</v>
      </c>
      <c r="P11" s="5"/>
      <c r="Q11" s="42"/>
      <c r="R11" s="129"/>
      <c r="S11" s="130"/>
      <c r="T11" s="130"/>
      <c r="U11" s="130"/>
      <c r="V11" s="38"/>
    </row>
    <row r="12" spans="1:22" ht="15.95" customHeight="1" x14ac:dyDescent="0.25">
      <c r="A12" s="47" t="s">
        <v>20</v>
      </c>
      <c r="B12" s="6">
        <v>164620</v>
      </c>
      <c r="C12" s="5">
        <v>5.52470427461492</v>
      </c>
      <c r="D12" s="5"/>
      <c r="E12" s="6">
        <v>161063</v>
      </c>
      <c r="F12" s="5">
        <v>5.5565387817172374</v>
      </c>
      <c r="G12" s="5"/>
      <c r="H12" s="6">
        <v>3093</v>
      </c>
      <c r="I12" s="5">
        <v>4.5944059060322928</v>
      </c>
      <c r="J12" s="5"/>
      <c r="K12" s="6">
        <v>464</v>
      </c>
      <c r="L12" s="5">
        <v>3.3708681438430803</v>
      </c>
      <c r="M12" s="5"/>
      <c r="N12" s="6" t="e">
        <f>#REF!</f>
        <v>#REF!</v>
      </c>
      <c r="O12" s="5" t="e">
        <f>#REF!</f>
        <v>#REF!</v>
      </c>
      <c r="P12" s="5"/>
      <c r="Q12" s="42"/>
      <c r="R12" s="129"/>
      <c r="S12" s="130"/>
      <c r="T12" s="130"/>
      <c r="U12" s="130"/>
      <c r="V12" s="38"/>
    </row>
    <row r="13" spans="1:22" ht="15.95" customHeight="1" x14ac:dyDescent="0.25">
      <c r="A13" s="47" t="s">
        <v>19</v>
      </c>
      <c r="B13" s="6">
        <v>40151</v>
      </c>
      <c r="C13" s="5">
        <v>1.3474814805616793</v>
      </c>
      <c r="D13" s="5"/>
      <c r="E13" s="6">
        <v>39441</v>
      </c>
      <c r="F13" s="5">
        <v>1.3606815102767833</v>
      </c>
      <c r="G13" s="5"/>
      <c r="H13" s="6">
        <v>633</v>
      </c>
      <c r="I13" s="5">
        <v>0.94027123780098343</v>
      </c>
      <c r="J13" s="5"/>
      <c r="K13" s="6">
        <v>77</v>
      </c>
      <c r="L13" s="5">
        <v>0.55938975662913193</v>
      </c>
      <c r="M13" s="5"/>
      <c r="N13" s="6" t="e">
        <f>#REF!</f>
        <v>#REF!</v>
      </c>
      <c r="O13" s="5" t="e">
        <f>#REF!</f>
        <v>#REF!</v>
      </c>
      <c r="P13" s="5"/>
      <c r="Q13" s="42"/>
      <c r="R13" s="129"/>
      <c r="S13" s="130"/>
      <c r="T13" s="130"/>
      <c r="U13" s="130"/>
      <c r="V13" s="38"/>
    </row>
    <row r="14" spans="1:22" ht="15.95" customHeight="1" x14ac:dyDescent="0.25">
      <c r="A14" s="47" t="s">
        <v>18</v>
      </c>
      <c r="B14" s="6">
        <v>72711</v>
      </c>
      <c r="C14" s="5">
        <v>2.4402063692839597</v>
      </c>
      <c r="D14" s="5"/>
      <c r="E14" s="6">
        <v>71311</v>
      </c>
      <c r="F14" s="5">
        <v>2.4601698531819096</v>
      </c>
      <c r="G14" s="5"/>
      <c r="H14" s="6">
        <v>1204</v>
      </c>
      <c r="I14" s="5">
        <v>1.788446398597763</v>
      </c>
      <c r="J14" s="5"/>
      <c r="K14" s="6">
        <v>196</v>
      </c>
      <c r="L14" s="5">
        <v>1.4239011986923356</v>
      </c>
      <c r="M14" s="5"/>
      <c r="N14" s="6" t="e">
        <f>#REF!</f>
        <v>#REF!</v>
      </c>
      <c r="O14" s="5" t="e">
        <f>#REF!</f>
        <v>#REF!</v>
      </c>
      <c r="P14" s="5"/>
      <c r="Q14" s="42"/>
      <c r="R14" s="129"/>
      <c r="S14" s="130"/>
      <c r="T14" s="130"/>
      <c r="U14" s="130"/>
      <c r="V14" s="38"/>
    </row>
    <row r="15" spans="1:22" ht="15.95" customHeight="1" x14ac:dyDescent="0.25">
      <c r="A15" s="47" t="s">
        <v>55</v>
      </c>
      <c r="B15" s="6">
        <v>99056</v>
      </c>
      <c r="C15" s="5">
        <v>3.3243537032332378</v>
      </c>
      <c r="D15" s="5"/>
      <c r="E15" s="6">
        <v>96558</v>
      </c>
      <c r="F15" s="5">
        <v>3.3311702357776336</v>
      </c>
      <c r="G15" s="5"/>
      <c r="H15" s="6">
        <v>2001</v>
      </c>
      <c r="I15" s="5">
        <v>2.9723266142808336</v>
      </c>
      <c r="J15" s="5"/>
      <c r="K15" s="6">
        <v>497</v>
      </c>
      <c r="L15" s="5">
        <v>3.6106066109698514</v>
      </c>
      <c r="M15" s="5"/>
      <c r="N15" s="6" t="e">
        <f>#REF!</f>
        <v>#REF!</v>
      </c>
      <c r="O15" s="5" t="e">
        <f>#REF!</f>
        <v>#REF!</v>
      </c>
      <c r="P15" s="5"/>
      <c r="Q15" s="42"/>
      <c r="R15" s="129"/>
      <c r="S15" s="130"/>
      <c r="T15" s="130"/>
      <c r="U15" s="130"/>
      <c r="V15" s="38"/>
    </row>
    <row r="16" spans="1:22" ht="15.95" customHeight="1" x14ac:dyDescent="0.25">
      <c r="A16" s="47" t="s">
        <v>17</v>
      </c>
      <c r="B16" s="6">
        <v>113842</v>
      </c>
      <c r="C16" s="5">
        <v>3.8205769896167641</v>
      </c>
      <c r="D16" s="5"/>
      <c r="E16" s="6">
        <v>112340</v>
      </c>
      <c r="F16" s="5">
        <v>3.8756360352043266</v>
      </c>
      <c r="G16" s="5"/>
      <c r="H16" s="6">
        <v>1343</v>
      </c>
      <c r="I16" s="5">
        <v>1.9949198615588002</v>
      </c>
      <c r="J16" s="5"/>
      <c r="K16" s="6">
        <v>159</v>
      </c>
      <c r="L16" s="5">
        <v>1.1551035234289866</v>
      </c>
      <c r="M16" s="5"/>
      <c r="N16" s="6" t="e">
        <f>#REF!</f>
        <v>#REF!</v>
      </c>
      <c r="O16" s="5" t="e">
        <f>#REF!</f>
        <v>#REF!</v>
      </c>
      <c r="P16" s="5"/>
      <c r="Q16" s="42"/>
      <c r="R16" s="129"/>
      <c r="S16" s="130"/>
      <c r="T16" s="130"/>
      <c r="U16" s="130"/>
      <c r="V16" s="38"/>
    </row>
    <row r="17" spans="1:22" ht="15.95" customHeight="1" x14ac:dyDescent="0.25">
      <c r="A17" s="47" t="s">
        <v>16</v>
      </c>
      <c r="B17" s="6">
        <v>15502</v>
      </c>
      <c r="C17" s="161">
        <v>0.62025249462447096</v>
      </c>
      <c r="D17" s="5"/>
      <c r="E17" s="6">
        <v>15360</v>
      </c>
      <c r="F17" s="5">
        <v>0.5299071524010901</v>
      </c>
      <c r="G17" s="5"/>
      <c r="H17" s="6">
        <v>134</v>
      </c>
      <c r="I17" s="5">
        <v>0.19904635997682746</v>
      </c>
      <c r="J17" s="5"/>
      <c r="K17" s="6">
        <v>8</v>
      </c>
      <c r="L17" s="5">
        <v>5.8118416273156552E-2</v>
      </c>
      <c r="M17" s="5"/>
      <c r="N17" s="6" t="e">
        <f>#REF!</f>
        <v>#REF!</v>
      </c>
      <c r="O17" s="5" t="e">
        <f>#REF!</f>
        <v>#REF!</v>
      </c>
      <c r="P17" s="5"/>
      <c r="Q17" s="42"/>
      <c r="R17" s="129"/>
      <c r="S17" s="130"/>
      <c r="T17" s="130"/>
      <c r="U17" s="130"/>
      <c r="V17" s="38"/>
    </row>
    <row r="18" spans="1:22" ht="15.95" customHeight="1" x14ac:dyDescent="0.25">
      <c r="A18" s="47" t="s">
        <v>15</v>
      </c>
      <c r="B18" s="6">
        <v>47651</v>
      </c>
      <c r="C18" s="5">
        <v>1.5991840808509024</v>
      </c>
      <c r="D18" s="5"/>
      <c r="E18" s="6">
        <v>46841</v>
      </c>
      <c r="F18" s="5">
        <v>1.6159753206783503</v>
      </c>
      <c r="G18" s="5"/>
      <c r="H18" s="6">
        <v>736</v>
      </c>
      <c r="I18" s="5">
        <v>1.0932695592757089</v>
      </c>
      <c r="J18" s="5"/>
      <c r="K18" s="6">
        <v>74</v>
      </c>
      <c r="L18" s="5">
        <v>0.53759535052669816</v>
      </c>
      <c r="M18" s="5"/>
      <c r="N18" s="6" t="e">
        <f>#REF!</f>
        <v>#REF!</v>
      </c>
      <c r="O18" s="5" t="e">
        <f>#REF!</f>
        <v>#REF!</v>
      </c>
      <c r="P18" s="5"/>
      <c r="Q18" s="42"/>
      <c r="R18" s="129"/>
      <c r="S18" s="130"/>
      <c r="T18" s="130"/>
      <c r="U18" s="130"/>
      <c r="V18" s="38"/>
    </row>
    <row r="19" spans="1:22" ht="15.95" customHeight="1" x14ac:dyDescent="0.25">
      <c r="A19" s="47" t="s">
        <v>14</v>
      </c>
      <c r="B19" s="6">
        <v>75127</v>
      </c>
      <c r="C19" s="5">
        <v>2.521288166923795</v>
      </c>
      <c r="D19" s="5"/>
      <c r="E19" s="6">
        <v>73473</v>
      </c>
      <c r="F19" s="5">
        <v>2.5347570448154486</v>
      </c>
      <c r="G19" s="5"/>
      <c r="H19" s="6">
        <v>1434</v>
      </c>
      <c r="I19" s="5">
        <v>2.1300931358714221</v>
      </c>
      <c r="J19" s="5"/>
      <c r="K19" s="6">
        <v>220</v>
      </c>
      <c r="L19" s="5">
        <v>1.5982564475118053</v>
      </c>
      <c r="M19" s="5"/>
      <c r="N19" s="6" t="e">
        <f>#REF!</f>
        <v>#REF!</v>
      </c>
      <c r="O19" s="5" t="e">
        <f>#REF!</f>
        <v>#REF!</v>
      </c>
      <c r="P19" s="5"/>
      <c r="Q19" s="42"/>
      <c r="R19" s="129"/>
      <c r="S19" s="130"/>
      <c r="T19" s="130"/>
      <c r="U19" s="130"/>
      <c r="V19" s="38"/>
    </row>
    <row r="20" spans="1:22" ht="15.95" customHeight="1" x14ac:dyDescent="0.25">
      <c r="A20" s="47" t="s">
        <v>13</v>
      </c>
      <c r="B20" s="6">
        <v>109358</v>
      </c>
      <c r="C20" s="5">
        <v>3.6700923949905144</v>
      </c>
      <c r="D20" s="5"/>
      <c r="E20" s="6">
        <v>107818</v>
      </c>
      <c r="F20" s="5">
        <v>3.7196308175508284</v>
      </c>
      <c r="G20" s="5"/>
      <c r="H20" s="6">
        <v>1345</v>
      </c>
      <c r="I20" s="5">
        <v>1.9978907027524844</v>
      </c>
      <c r="J20" s="5"/>
      <c r="K20" s="6">
        <v>195</v>
      </c>
      <c r="L20" s="5">
        <v>1.4166363966581912</v>
      </c>
      <c r="M20" s="5"/>
      <c r="N20" s="6" t="e">
        <f>#REF!</f>
        <v>#REF!</v>
      </c>
      <c r="O20" s="5" t="e">
        <f>#REF!</f>
        <v>#REF!</v>
      </c>
      <c r="P20" s="5"/>
      <c r="Q20" s="42"/>
      <c r="R20" s="129"/>
      <c r="S20" s="130"/>
      <c r="T20" s="130"/>
      <c r="U20" s="130"/>
      <c r="V20" s="38"/>
    </row>
    <row r="21" spans="1:22" ht="15.95" customHeight="1" x14ac:dyDescent="0.25">
      <c r="A21" s="47" t="s">
        <v>12</v>
      </c>
      <c r="B21" s="6">
        <v>160655</v>
      </c>
      <c r="C21" s="5">
        <v>5.3916374999286845</v>
      </c>
      <c r="D21" s="5"/>
      <c r="E21" s="6">
        <v>156871</v>
      </c>
      <c r="F21" s="5">
        <v>5.4119182880411065</v>
      </c>
      <c r="G21" s="5"/>
      <c r="H21" s="6">
        <v>3311</v>
      </c>
      <c r="I21" s="5">
        <v>4.918227596143848</v>
      </c>
      <c r="J21" s="5"/>
      <c r="K21" s="6">
        <v>473</v>
      </c>
      <c r="L21" s="5">
        <v>3.4362513621503812</v>
      </c>
      <c r="M21" s="5"/>
      <c r="N21" s="6" t="e">
        <f>#REF!</f>
        <v>#REF!</v>
      </c>
      <c r="O21" s="5" t="e">
        <f>#REF!</f>
        <v>#REF!</v>
      </c>
      <c r="P21" s="5"/>
      <c r="Q21" s="42"/>
      <c r="R21" s="129"/>
      <c r="S21" s="130"/>
      <c r="T21" s="130"/>
      <c r="U21" s="130"/>
      <c r="V21" s="38"/>
    </row>
    <row r="22" spans="1:22" ht="15.95" customHeight="1" x14ac:dyDescent="0.25">
      <c r="A22" s="47" t="s">
        <v>11</v>
      </c>
      <c r="B22" s="6">
        <v>104541</v>
      </c>
      <c r="C22" s="5">
        <v>3.5084322049114229</v>
      </c>
      <c r="D22" s="5"/>
      <c r="E22" s="6">
        <v>102725</v>
      </c>
      <c r="F22" s="5">
        <v>3.5439265775001285</v>
      </c>
      <c r="G22" s="5"/>
      <c r="H22" s="6">
        <v>1572</v>
      </c>
      <c r="I22" s="5">
        <v>2.3350811782356176</v>
      </c>
      <c r="J22" s="5"/>
      <c r="K22" s="6">
        <v>244</v>
      </c>
      <c r="L22" s="5">
        <v>1.7726116963312748</v>
      </c>
      <c r="M22" s="5"/>
      <c r="N22" s="6" t="e">
        <f>#REF!</f>
        <v>#REF!</v>
      </c>
      <c r="O22" s="5" t="e">
        <f>#REF!</f>
        <v>#REF!</v>
      </c>
      <c r="P22" s="5"/>
      <c r="Q22" s="42"/>
      <c r="R22" s="129"/>
      <c r="S22" s="130"/>
      <c r="T22" s="130"/>
      <c r="U22" s="130"/>
      <c r="V22" s="38"/>
    </row>
    <row r="23" spans="1:22" ht="15.95" customHeight="1" x14ac:dyDescent="0.25">
      <c r="A23" s="47" t="s">
        <v>71</v>
      </c>
      <c r="B23" s="6">
        <v>1338873</v>
      </c>
      <c r="C23" s="5">
        <v>44.933042074271064</v>
      </c>
      <c r="D23" s="5"/>
      <c r="E23" s="6">
        <v>1290157</v>
      </c>
      <c r="F23" s="5">
        <v>44.509337371115436</v>
      </c>
      <c r="G23" s="5"/>
      <c r="H23" s="6">
        <v>39222</v>
      </c>
      <c r="I23" s="98">
        <v>58.161166649336757</v>
      </c>
      <c r="J23" s="5"/>
      <c r="K23" s="6">
        <v>9494</v>
      </c>
      <c r="L23" s="98">
        <v>68.87203051216855</v>
      </c>
      <c r="M23" s="5"/>
      <c r="N23" s="6" t="e">
        <f>+N36+N35</f>
        <v>#REF!</v>
      </c>
      <c r="O23" s="5" t="e">
        <f>+N23/N8*100</f>
        <v>#REF!</v>
      </c>
      <c r="P23" s="5"/>
      <c r="Q23" s="42"/>
      <c r="R23" s="129"/>
      <c r="S23" s="130"/>
      <c r="T23" s="130"/>
      <c r="U23" s="130"/>
      <c r="V23" s="38"/>
    </row>
    <row r="24" spans="1:22" ht="15.95" customHeight="1" x14ac:dyDescent="0.25">
      <c r="A24" s="47" t="s">
        <v>10</v>
      </c>
      <c r="B24" s="6">
        <v>56948</v>
      </c>
      <c r="C24" s="5">
        <v>1.9111946241694235</v>
      </c>
      <c r="D24" s="5"/>
      <c r="E24" s="6">
        <v>55641</v>
      </c>
      <c r="F24" s="5">
        <v>1.9195679600748079</v>
      </c>
      <c r="G24" s="5"/>
      <c r="H24" s="6">
        <v>1129</v>
      </c>
      <c r="I24" s="98">
        <v>1.6770398538346134</v>
      </c>
      <c r="J24" s="5"/>
      <c r="K24" s="6">
        <v>178</v>
      </c>
      <c r="L24" s="5">
        <v>1.2931347620777334</v>
      </c>
      <c r="M24" s="5"/>
      <c r="N24" s="6" t="e">
        <f>#REF!</f>
        <v>#REF!</v>
      </c>
      <c r="O24" s="5" t="e">
        <f>#REF!</f>
        <v>#REF!</v>
      </c>
      <c r="P24" s="5"/>
      <c r="Q24" s="42"/>
      <c r="R24" s="129"/>
      <c r="S24" s="130"/>
      <c r="T24" s="130"/>
      <c r="U24" s="130"/>
      <c r="V24" s="38"/>
    </row>
    <row r="25" spans="1:22" ht="15.95" customHeight="1" x14ac:dyDescent="0.25">
      <c r="A25" s="47" t="s">
        <v>9</v>
      </c>
      <c r="B25" s="6">
        <v>22881</v>
      </c>
      <c r="C25" s="5">
        <v>0.76789429296236167</v>
      </c>
      <c r="D25" s="5"/>
      <c r="E25" s="6">
        <v>22291</v>
      </c>
      <c r="F25" s="5">
        <v>0.76902085508936835</v>
      </c>
      <c r="G25" s="5"/>
      <c r="H25" s="6">
        <v>517</v>
      </c>
      <c r="I25" s="98">
        <v>0.76796244856731188</v>
      </c>
      <c r="J25" s="5"/>
      <c r="K25" s="6">
        <v>73</v>
      </c>
      <c r="L25" s="5">
        <v>0.53033054849255357</v>
      </c>
      <c r="M25" s="5"/>
      <c r="N25" s="6" t="e">
        <f>#REF!</f>
        <v>#REF!</v>
      </c>
      <c r="O25" s="5" t="e">
        <f>#REF!</f>
        <v>#REF!</v>
      </c>
      <c r="P25" s="5"/>
      <c r="Q25" s="42"/>
      <c r="R25" s="129"/>
      <c r="S25" s="130"/>
      <c r="T25" s="130"/>
      <c r="U25" s="130"/>
      <c r="V25" s="38"/>
    </row>
    <row r="26" spans="1:22" ht="15.95" customHeight="1" x14ac:dyDescent="0.25">
      <c r="A26" s="47" t="s">
        <v>8</v>
      </c>
      <c r="B26" s="6">
        <v>18607</v>
      </c>
      <c r="C26" s="5">
        <v>0.62445737114420974</v>
      </c>
      <c r="D26" s="5"/>
      <c r="E26" s="6">
        <v>18260</v>
      </c>
      <c r="F26" s="5">
        <v>0.62995472674764996</v>
      </c>
      <c r="G26" s="5"/>
      <c r="H26" s="6">
        <v>313</v>
      </c>
      <c r="I26" s="98">
        <v>0.46493664681154467</v>
      </c>
      <c r="J26" s="5"/>
      <c r="K26" s="6">
        <v>34</v>
      </c>
      <c r="L26" s="5">
        <v>0.24700326916091536</v>
      </c>
      <c r="M26" s="5"/>
      <c r="N26" s="6" t="e">
        <f>#REF!</f>
        <v>#REF!</v>
      </c>
      <c r="O26" s="5" t="e">
        <f>#REF!</f>
        <v>#REF!</v>
      </c>
      <c r="P26" s="5"/>
      <c r="Q26" s="42"/>
      <c r="R26" s="129"/>
      <c r="S26" s="130"/>
      <c r="T26" s="130"/>
      <c r="U26" s="130"/>
      <c r="V26" s="38"/>
    </row>
    <row r="27" spans="1:22" ht="15.95" customHeight="1" x14ac:dyDescent="0.25">
      <c r="A27" s="47" t="s">
        <v>7</v>
      </c>
      <c r="B27" s="6">
        <v>17927</v>
      </c>
      <c r="C27" s="5">
        <v>0.60163633538465355</v>
      </c>
      <c r="D27" s="5"/>
      <c r="E27" s="6">
        <v>17615</v>
      </c>
      <c r="F27" s="5">
        <v>0.60770276624643238</v>
      </c>
      <c r="G27" s="5"/>
      <c r="H27" s="6">
        <v>289</v>
      </c>
      <c r="I27" s="98">
        <v>0.42928655248733677</v>
      </c>
      <c r="J27" s="5"/>
      <c r="K27" s="6">
        <v>23</v>
      </c>
      <c r="L27" s="5">
        <v>0.16709044678532509</v>
      </c>
      <c r="M27" s="5"/>
      <c r="N27" s="6" t="e">
        <f>#REF!</f>
        <v>#REF!</v>
      </c>
      <c r="O27" s="5" t="e">
        <f>#REF!</f>
        <v>#REF!</v>
      </c>
      <c r="P27" s="5"/>
      <c r="Q27" s="42"/>
      <c r="R27" s="129"/>
      <c r="S27" s="130"/>
      <c r="T27" s="130"/>
      <c r="U27" s="130"/>
      <c r="V27" s="38"/>
    </row>
    <row r="28" spans="1:22" ht="15.95" customHeight="1" x14ac:dyDescent="0.25">
      <c r="A28" s="47" t="s">
        <v>6</v>
      </c>
      <c r="B28" s="6">
        <v>132024</v>
      </c>
      <c r="C28" s="5">
        <v>4.4307712134112514</v>
      </c>
      <c r="D28" s="5"/>
      <c r="E28" s="6">
        <v>129386</v>
      </c>
      <c r="F28" s="5">
        <v>4.4637087773806927</v>
      </c>
      <c r="G28" s="5"/>
      <c r="H28" s="6">
        <v>2258</v>
      </c>
      <c r="I28" s="98">
        <v>3.2540797076692267</v>
      </c>
      <c r="J28" s="5"/>
      <c r="K28" s="6">
        <v>380</v>
      </c>
      <c r="L28" s="5">
        <v>2.7606247729749365</v>
      </c>
      <c r="M28" s="5"/>
      <c r="N28" s="6" t="e">
        <f>#REF!</f>
        <v>#REF!</v>
      </c>
      <c r="O28" s="5" t="e">
        <f>#REF!</f>
        <v>#REF!</v>
      </c>
      <c r="P28" s="5"/>
      <c r="Q28" s="42"/>
      <c r="R28" s="129"/>
      <c r="S28" s="130"/>
      <c r="T28" s="130"/>
      <c r="U28" s="130"/>
      <c r="V28" s="38"/>
    </row>
    <row r="29" spans="1:22" ht="15.95" customHeight="1" x14ac:dyDescent="0.25">
      <c r="A29" s="47" t="s">
        <v>5</v>
      </c>
      <c r="B29" s="6">
        <v>76228</v>
      </c>
      <c r="C29" s="5">
        <v>2.5582381086462531</v>
      </c>
      <c r="D29" s="5"/>
      <c r="E29" s="6">
        <v>74425</v>
      </c>
      <c r="F29" s="5">
        <v>2.5676002485319742</v>
      </c>
      <c r="G29" s="5"/>
      <c r="H29" s="6">
        <v>1504</v>
      </c>
      <c r="I29" s="98">
        <v>2.2340725776503616</v>
      </c>
      <c r="J29" s="5"/>
      <c r="K29" s="6">
        <v>299</v>
      </c>
      <c r="L29" s="5">
        <v>2.1721758082092264</v>
      </c>
      <c r="M29" s="5"/>
      <c r="N29" s="6" t="e">
        <f>#REF!</f>
        <v>#REF!</v>
      </c>
      <c r="O29" s="5" t="e">
        <f>#REF!</f>
        <v>#REF!</v>
      </c>
      <c r="P29" s="5"/>
      <c r="Q29" s="42"/>
      <c r="R29" s="129"/>
      <c r="S29" s="130"/>
      <c r="T29" s="130"/>
      <c r="U29" s="130"/>
      <c r="V29" s="38"/>
    </row>
    <row r="30" spans="1:22" ht="15.95" customHeight="1" x14ac:dyDescent="0.25">
      <c r="A30" s="47" t="s">
        <v>4</v>
      </c>
      <c r="B30" s="6">
        <v>62396</v>
      </c>
      <c r="C30" s="5">
        <v>2.0940313930195149</v>
      </c>
      <c r="D30" s="5"/>
      <c r="E30" s="6">
        <v>60964</v>
      </c>
      <c r="F30" s="5">
        <v>2.1032070077460974</v>
      </c>
      <c r="G30" s="5"/>
      <c r="H30" s="6">
        <v>1250</v>
      </c>
      <c r="I30" s="98">
        <v>1.856775746052495</v>
      </c>
      <c r="J30" s="5"/>
      <c r="K30" s="6">
        <v>182</v>
      </c>
      <c r="L30" s="5">
        <v>1.3221939702143117</v>
      </c>
      <c r="M30" s="5"/>
      <c r="N30" s="6" t="e">
        <f>#REF!</f>
        <v>#REF!</v>
      </c>
      <c r="O30" s="5" t="e">
        <f>#REF!</f>
        <v>#REF!</v>
      </c>
      <c r="P30" s="5"/>
      <c r="Q30" s="42"/>
      <c r="R30" s="129"/>
      <c r="S30" s="130"/>
      <c r="T30" s="130"/>
      <c r="U30" s="130"/>
      <c r="V30" s="38"/>
    </row>
    <row r="31" spans="1:22" ht="15.95" customHeight="1" x14ac:dyDescent="0.25">
      <c r="A31" s="47" t="s">
        <v>3</v>
      </c>
      <c r="B31" s="6">
        <v>43443</v>
      </c>
      <c r="C31" s="5">
        <v>1.4579621419152957</v>
      </c>
      <c r="D31" s="5"/>
      <c r="E31" s="6">
        <v>42772</v>
      </c>
      <c r="F31" s="5">
        <v>1.4755982241210561</v>
      </c>
      <c r="G31" s="5"/>
      <c r="H31" s="6">
        <v>586</v>
      </c>
      <c r="I31" s="98">
        <v>0.87045646974940949</v>
      </c>
      <c r="J31" s="5"/>
      <c r="K31" s="6">
        <v>85</v>
      </c>
      <c r="L31" s="5">
        <v>0.61750817290228843</v>
      </c>
      <c r="M31" s="5"/>
      <c r="N31" s="6" t="e">
        <f>#REF!</f>
        <v>#REF!</v>
      </c>
      <c r="O31" s="5" t="e">
        <f>#REF!</f>
        <v>#REF!</v>
      </c>
      <c r="P31" s="5"/>
      <c r="Q31" s="42"/>
      <c r="R31" s="129"/>
      <c r="S31" s="130"/>
      <c r="T31" s="130"/>
      <c r="U31" s="130"/>
      <c r="V31" s="38"/>
    </row>
    <row r="32" spans="1:22" ht="15.95" customHeight="1" x14ac:dyDescent="0.25">
      <c r="A32" s="47" t="s">
        <v>2</v>
      </c>
      <c r="B32" s="6">
        <v>22813</v>
      </c>
      <c r="C32" s="5">
        <v>0.76561218938640607</v>
      </c>
      <c r="D32" s="5"/>
      <c r="E32" s="6">
        <v>22517</v>
      </c>
      <c r="F32" s="5">
        <v>0.77681766605568647</v>
      </c>
      <c r="G32" s="5"/>
      <c r="H32" s="6">
        <v>266</v>
      </c>
      <c r="I32" s="98">
        <v>0.3951218787599709</v>
      </c>
      <c r="J32" s="5"/>
      <c r="K32" s="6">
        <v>30</v>
      </c>
      <c r="L32" s="5">
        <v>0.21794406102433711</v>
      </c>
      <c r="M32" s="5"/>
      <c r="N32" s="6" t="e">
        <f>#REF!</f>
        <v>#REF!</v>
      </c>
      <c r="O32" s="5" t="e">
        <f>#REF!</f>
        <v>#REF!</v>
      </c>
      <c r="P32" s="5"/>
      <c r="Q32" s="42"/>
      <c r="R32" s="129"/>
      <c r="S32" s="130"/>
      <c r="T32" s="130"/>
      <c r="U32" s="130"/>
      <c r="V32" s="38"/>
    </row>
    <row r="33" spans="1:22" ht="15.95" customHeight="1" x14ac:dyDescent="0.25">
      <c r="A33" s="47" t="s">
        <v>1</v>
      </c>
      <c r="B33" s="6">
        <v>46418</v>
      </c>
      <c r="C33" s="5">
        <v>1.5578041733633541</v>
      </c>
      <c r="D33" s="5"/>
      <c r="E33" s="6">
        <v>45227</v>
      </c>
      <c r="F33" s="5">
        <v>1.5602936706799544</v>
      </c>
      <c r="G33" s="5"/>
      <c r="H33" s="6">
        <v>1025</v>
      </c>
      <c r="I33" s="98">
        <v>1.5225561117630457</v>
      </c>
      <c r="J33" s="5"/>
      <c r="K33" s="6">
        <v>166</v>
      </c>
      <c r="L33" s="5">
        <v>1.2059571376679985</v>
      </c>
      <c r="M33" s="5"/>
      <c r="N33" s="6" t="e">
        <f>#REF!</f>
        <v>#REF!</v>
      </c>
      <c r="O33" s="5" t="e">
        <f>#REF!</f>
        <v>#REF!</v>
      </c>
      <c r="P33" s="5"/>
      <c r="Q33" s="42"/>
      <c r="R33" s="129"/>
      <c r="S33" s="130"/>
      <c r="T33" s="130"/>
      <c r="U33" s="130"/>
      <c r="V33" s="38"/>
    </row>
    <row r="34" spans="1:22" ht="9.75" customHeight="1" x14ac:dyDescent="0.25">
      <c r="A34" s="47"/>
      <c r="B34" s="6"/>
      <c r="C34" s="5"/>
      <c r="D34" s="5"/>
      <c r="E34" s="6"/>
      <c r="F34" s="5"/>
      <c r="G34" s="5"/>
      <c r="H34" s="6"/>
      <c r="I34" s="98"/>
      <c r="J34" s="5"/>
      <c r="K34" s="6"/>
      <c r="L34" s="5"/>
      <c r="M34" s="5"/>
      <c r="N34" s="6"/>
      <c r="O34" s="5"/>
      <c r="P34" s="5"/>
      <c r="Q34" s="42"/>
      <c r="R34" s="129"/>
      <c r="S34" s="130"/>
      <c r="T34" s="130"/>
      <c r="U34" s="130"/>
      <c r="V34" s="38"/>
    </row>
    <row r="35" spans="1:22" ht="15.95" customHeight="1" x14ac:dyDescent="0.25">
      <c r="A35" s="47" t="s">
        <v>76</v>
      </c>
      <c r="B35" s="6">
        <v>1263258</v>
      </c>
      <c r="C35" s="5">
        <v>42.395376458155113</v>
      </c>
      <c r="D35" s="5"/>
      <c r="E35" s="6">
        <v>1215634</v>
      </c>
      <c r="F35" s="5">
        <v>41.93835620455382</v>
      </c>
      <c r="G35" s="5"/>
      <c r="H35" s="6">
        <v>38260</v>
      </c>
      <c r="I35" s="98">
        <v>56.832192035174756</v>
      </c>
      <c r="J35" s="5"/>
      <c r="K35" s="6">
        <v>9364</v>
      </c>
      <c r="L35" s="5">
        <v>67.977606247729753</v>
      </c>
      <c r="M35" s="5"/>
      <c r="N35" s="6" t="e">
        <f>#REF!</f>
        <v>#REF!</v>
      </c>
      <c r="O35" s="5" t="e">
        <f>#REF!</f>
        <v>#REF!</v>
      </c>
      <c r="P35" s="5"/>
      <c r="Q35" s="42"/>
      <c r="R35" s="129"/>
      <c r="S35" s="130"/>
      <c r="T35" s="130"/>
      <c r="U35" s="130"/>
      <c r="V35" s="38"/>
    </row>
    <row r="36" spans="1:22" ht="15.95" customHeight="1" x14ac:dyDescent="0.25">
      <c r="A36" s="47" t="s">
        <v>77</v>
      </c>
      <c r="B36" s="6">
        <v>75615</v>
      </c>
      <c r="C36" s="5">
        <v>2.5376656161159468</v>
      </c>
      <c r="D36" s="5"/>
      <c r="E36" s="6">
        <v>74523</v>
      </c>
      <c r="F36" s="5">
        <v>2.5709811665616167</v>
      </c>
      <c r="G36" s="5"/>
      <c r="H36" s="6">
        <v>962</v>
      </c>
      <c r="I36" s="98">
        <v>1.4289746141619999</v>
      </c>
      <c r="J36" s="5"/>
      <c r="K36" s="6">
        <v>130</v>
      </c>
      <c r="L36" s="5">
        <v>0.94442426443879413</v>
      </c>
      <c r="M36" s="5"/>
      <c r="N36" s="6" t="e">
        <f>#REF!</f>
        <v>#REF!</v>
      </c>
      <c r="O36" s="5" t="e">
        <f>#REF!</f>
        <v>#REF!</v>
      </c>
      <c r="P36" s="5"/>
      <c r="Q36" s="42"/>
      <c r="R36" s="129"/>
      <c r="S36" s="130"/>
      <c r="T36" s="130"/>
      <c r="U36" s="130"/>
      <c r="V36" s="38"/>
    </row>
    <row r="37" spans="1:22" ht="6" customHeight="1" thickBot="1" x14ac:dyDescent="0.3">
      <c r="A37" s="52"/>
      <c r="B37" s="53"/>
      <c r="C37" s="54"/>
      <c r="D37" s="54"/>
      <c r="E37" s="53"/>
      <c r="F37" s="54"/>
      <c r="G37" s="54"/>
      <c r="H37" s="55"/>
      <c r="I37" s="56"/>
      <c r="J37" s="56"/>
      <c r="K37" s="55"/>
      <c r="L37" s="56"/>
      <c r="M37" s="56"/>
      <c r="N37" s="57"/>
      <c r="O37" s="57"/>
      <c r="R37" s="129"/>
      <c r="S37" s="130"/>
      <c r="T37" s="130"/>
      <c r="U37" s="130"/>
    </row>
    <row r="38" spans="1:22" ht="2.25" customHeight="1" x14ac:dyDescent="0.25">
      <c r="A38" s="48"/>
      <c r="B38" s="3"/>
      <c r="C38" s="2"/>
      <c r="D38" s="2"/>
      <c r="E38" s="3"/>
      <c r="F38" s="2"/>
      <c r="G38" s="2"/>
      <c r="H38" s="3"/>
      <c r="I38" s="2"/>
      <c r="J38" s="2"/>
      <c r="K38" s="3"/>
      <c r="L38" s="2"/>
      <c r="M38" s="2"/>
      <c r="R38" s="129"/>
      <c r="S38" s="130"/>
      <c r="T38" s="130"/>
      <c r="U38" s="130"/>
    </row>
    <row r="39" spans="1:22" ht="54.75" customHeight="1" x14ac:dyDescent="0.25">
      <c r="A39" s="162" t="s">
        <v>78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06"/>
    </row>
  </sheetData>
  <mergeCells count="10">
    <mergeCell ref="A39:O39"/>
    <mergeCell ref="A1:O1"/>
    <mergeCell ref="A4:A6"/>
    <mergeCell ref="B4:C5"/>
    <mergeCell ref="E4:O4"/>
    <mergeCell ref="E5:F5"/>
    <mergeCell ref="H5:I5"/>
    <mergeCell ref="K5:L5"/>
    <mergeCell ref="N5:O5"/>
    <mergeCell ref="A2:O2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91" orientation="portrait" r:id="rId1"/>
  <colBreaks count="1" manualBreakCount="1">
    <brk id="13" max="3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11"/>
  <sheetViews>
    <sheetView showGridLines="0" view="pageBreakPreview" zoomScale="120" zoomScaleNormal="100" zoomScaleSheetLayoutView="120" workbookViewId="0">
      <pane ySplit="1" topLeftCell="A2" activePane="bottomLeft" state="frozen"/>
      <selection sqref="A1:O1"/>
      <selection pane="bottomLeft" activeCell="A2" sqref="A2:M2"/>
    </sheetView>
  </sheetViews>
  <sheetFormatPr baseColWidth="10" defaultRowHeight="12" customHeight="1" x14ac:dyDescent="0.25"/>
  <cols>
    <col min="1" max="1" width="44.7109375" style="1" customWidth="1"/>
    <col min="2" max="2" width="7.7109375" style="1" customWidth="1"/>
    <col min="3" max="3" width="5" style="1" customWidth="1"/>
    <col min="4" max="4" width="1.42578125" style="1" customWidth="1"/>
    <col min="5" max="5" width="9.42578125" style="1" customWidth="1"/>
    <col min="6" max="6" width="5" style="1" customWidth="1"/>
    <col min="7" max="7" width="0.85546875" style="1" customWidth="1"/>
    <col min="8" max="8" width="7.7109375" style="1" customWidth="1"/>
    <col min="9" max="9" width="5" style="1" customWidth="1"/>
    <col min="10" max="10" width="1.5703125" style="1" customWidth="1"/>
    <col min="11" max="11" width="7.7109375" style="1" customWidth="1"/>
    <col min="12" max="12" width="5" style="1" customWidth="1"/>
    <col min="13" max="13" width="1.140625" style="1" customWidth="1"/>
    <col min="14" max="14" width="10.7109375" style="1" customWidth="1"/>
    <col min="15" max="15" width="20" style="112" customWidth="1"/>
    <col min="16" max="16" width="11.42578125" style="112"/>
    <col min="17" max="17" width="0" style="112" hidden="1" customWidth="1"/>
    <col min="18" max="18" width="7.5703125" style="112" hidden="1" customWidth="1"/>
    <col min="19" max="22" width="8.42578125" style="112" hidden="1" customWidth="1"/>
    <col min="23" max="26" width="8.42578125" style="112" customWidth="1"/>
    <col min="27" max="28" width="8.42578125" style="1" customWidth="1"/>
    <col min="29" max="16384" width="11.42578125" style="1"/>
  </cols>
  <sheetData>
    <row r="1" spans="1:38" ht="14.1" customHeight="1" x14ac:dyDescent="0.25">
      <c r="A1" s="163" t="s">
        <v>28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31"/>
      <c r="O1" s="132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19"/>
      <c r="AB1" s="119"/>
      <c r="AC1" s="119"/>
    </row>
    <row r="2" spans="1:38" ht="14.1" customHeight="1" x14ac:dyDescent="0.25">
      <c r="A2" s="163" t="s">
        <v>86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31"/>
      <c r="O2" s="132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19"/>
      <c r="AB2" s="119"/>
      <c r="AC2" s="119"/>
    </row>
    <row r="3" spans="1:38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4"/>
      <c r="O3" s="135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19"/>
      <c r="AB3" s="119"/>
      <c r="AC3" s="119"/>
    </row>
    <row r="4" spans="1:38" ht="15.95" customHeight="1" thickBot="1" x14ac:dyDescent="0.3">
      <c r="A4" s="164" t="s">
        <v>74</v>
      </c>
      <c r="B4" s="176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  <c r="N4" s="134"/>
      <c r="O4" s="135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19"/>
      <c r="AB4" s="119"/>
      <c r="AC4" s="119"/>
    </row>
    <row r="5" spans="1:38" ht="32.25" customHeight="1" thickBot="1" x14ac:dyDescent="0.3">
      <c r="A5" s="165"/>
      <c r="B5" s="178"/>
      <c r="C5" s="179"/>
      <c r="D5" s="66"/>
      <c r="E5" s="180" t="s">
        <v>25</v>
      </c>
      <c r="F5" s="180"/>
      <c r="G5" s="58"/>
      <c r="H5" s="181" t="s">
        <v>54</v>
      </c>
      <c r="I5" s="181"/>
      <c r="J5" s="59"/>
      <c r="K5" s="181" t="s">
        <v>65</v>
      </c>
      <c r="L5" s="181"/>
      <c r="M5" s="59"/>
      <c r="N5" s="136"/>
      <c r="O5" s="137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19"/>
      <c r="AB5" s="119"/>
      <c r="AC5" s="119"/>
    </row>
    <row r="6" spans="1:38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50" t="s">
        <v>23</v>
      </c>
      <c r="G6" s="50"/>
      <c r="H6" s="49" t="s">
        <v>24</v>
      </c>
      <c r="I6" s="49" t="s">
        <v>23</v>
      </c>
      <c r="J6" s="49"/>
      <c r="K6" s="50" t="s">
        <v>24</v>
      </c>
      <c r="L6" s="49" t="s">
        <v>23</v>
      </c>
      <c r="M6" s="49"/>
      <c r="N6" s="138"/>
      <c r="O6" s="139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19"/>
      <c r="AB6" s="119"/>
      <c r="AC6" s="119"/>
    </row>
    <row r="7" spans="1:38" ht="12" customHeight="1" x14ac:dyDescent="0.25">
      <c r="A7" s="60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  <c r="M7" s="11"/>
      <c r="N7" s="136"/>
      <c r="O7" s="137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19"/>
      <c r="AB7" s="140"/>
      <c r="AC7" s="140"/>
      <c r="AD7" s="41"/>
    </row>
    <row r="8" spans="1:38" ht="14.1" customHeight="1" x14ac:dyDescent="0.25">
      <c r="A8" s="46" t="s">
        <v>26</v>
      </c>
      <c r="B8" s="9">
        <v>2979707</v>
      </c>
      <c r="C8" s="15">
        <v>100</v>
      </c>
      <c r="D8" s="15"/>
      <c r="E8" s="9">
        <v>2898621</v>
      </c>
      <c r="F8" s="15">
        <v>100</v>
      </c>
      <c r="G8" s="15"/>
      <c r="H8" s="9">
        <v>67321</v>
      </c>
      <c r="I8" s="15">
        <v>100</v>
      </c>
      <c r="J8" s="15"/>
      <c r="K8" s="9">
        <v>13765</v>
      </c>
      <c r="L8" s="15">
        <v>100</v>
      </c>
      <c r="M8" s="15"/>
      <c r="N8" s="96"/>
      <c r="O8" s="98"/>
      <c r="P8" s="98"/>
      <c r="Q8" s="98"/>
      <c r="R8" s="98"/>
      <c r="S8" s="98"/>
      <c r="T8" s="98"/>
      <c r="U8" s="98"/>
      <c r="V8" s="98"/>
      <c r="W8" s="98"/>
      <c r="X8" s="98"/>
      <c r="Y8" s="133"/>
      <c r="Z8" s="133"/>
      <c r="AA8" s="119"/>
      <c r="AB8" s="141"/>
      <c r="AC8" s="142"/>
      <c r="AD8" s="39"/>
      <c r="AE8" s="39"/>
      <c r="AF8" s="39"/>
      <c r="AG8" s="39"/>
      <c r="AH8" s="39"/>
      <c r="AI8" s="39"/>
      <c r="AJ8" s="39"/>
      <c r="AK8" s="39"/>
      <c r="AL8" s="39"/>
    </row>
    <row r="9" spans="1:38" ht="14.1" customHeight="1" x14ac:dyDescent="0.25">
      <c r="A9" s="61" t="s">
        <v>57</v>
      </c>
      <c r="B9" s="6">
        <v>48346</v>
      </c>
      <c r="C9" s="5">
        <v>1.6225085218110371</v>
      </c>
      <c r="D9" s="5"/>
      <c r="E9" s="6">
        <v>45429</v>
      </c>
      <c r="F9" s="5">
        <v>1.5672625017206459</v>
      </c>
      <c r="G9" s="5"/>
      <c r="H9" s="6">
        <v>2255</v>
      </c>
      <c r="I9" s="5">
        <v>3.3496234458787009</v>
      </c>
      <c r="J9" s="5"/>
      <c r="K9" s="6">
        <v>662</v>
      </c>
      <c r="L9" s="5">
        <v>4.8092989466037048</v>
      </c>
      <c r="M9" s="5"/>
      <c r="N9" s="98"/>
      <c r="O9" s="98"/>
      <c r="P9" s="120"/>
      <c r="Q9" s="133"/>
      <c r="R9" s="133"/>
      <c r="S9" s="133"/>
      <c r="T9" s="133"/>
      <c r="U9" s="133"/>
      <c r="V9" s="133"/>
      <c r="W9" s="120"/>
      <c r="X9" s="120"/>
      <c r="Y9" s="133"/>
      <c r="Z9" s="143"/>
      <c r="AA9" s="141"/>
      <c r="AB9" s="141"/>
      <c r="AC9" s="142"/>
      <c r="AD9" s="39"/>
      <c r="AE9" s="39"/>
      <c r="AF9" s="39"/>
      <c r="AG9" s="39"/>
      <c r="AH9" s="39"/>
      <c r="AI9" s="39"/>
      <c r="AJ9" s="39"/>
      <c r="AK9" s="39"/>
      <c r="AL9" s="39"/>
    </row>
    <row r="10" spans="1:38" ht="14.1" customHeight="1" x14ac:dyDescent="0.25">
      <c r="A10" s="61" t="s">
        <v>29</v>
      </c>
      <c r="B10" s="6">
        <v>30303</v>
      </c>
      <c r="C10" s="5">
        <v>1.0169791862085769</v>
      </c>
      <c r="D10" s="5"/>
      <c r="E10" s="6">
        <v>28427</v>
      </c>
      <c r="F10" s="5">
        <v>0.98070772274126206</v>
      </c>
      <c r="G10" s="5"/>
      <c r="H10" s="6">
        <v>1395</v>
      </c>
      <c r="I10" s="5">
        <v>2.072161732594584</v>
      </c>
      <c r="J10" s="5"/>
      <c r="K10" s="6">
        <v>481</v>
      </c>
      <c r="L10" s="5">
        <v>3.4943697784235379</v>
      </c>
      <c r="M10" s="5"/>
      <c r="N10" s="98"/>
      <c r="O10" s="98"/>
      <c r="P10" s="120"/>
      <c r="Q10" s="133"/>
      <c r="R10" s="133"/>
      <c r="S10" s="133"/>
      <c r="T10" s="133"/>
      <c r="U10" s="133"/>
      <c r="V10" s="133"/>
      <c r="W10" s="120"/>
      <c r="X10" s="120"/>
      <c r="Y10" s="133"/>
      <c r="Z10" s="143"/>
      <c r="AA10" s="141"/>
      <c r="AB10" s="141"/>
      <c r="AC10" s="142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1:38" ht="14.1" customHeight="1" x14ac:dyDescent="0.25">
      <c r="A11" s="61" t="s">
        <v>30</v>
      </c>
      <c r="B11" s="6">
        <v>226737</v>
      </c>
      <c r="C11" s="5">
        <v>7.6093723309036756</v>
      </c>
      <c r="D11" s="5"/>
      <c r="E11" s="6">
        <v>218137</v>
      </c>
      <c r="F11" s="5">
        <v>7.5255440431846736</v>
      </c>
      <c r="G11" s="5"/>
      <c r="H11" s="6">
        <v>6804</v>
      </c>
      <c r="I11" s="5">
        <v>10.106801740912939</v>
      </c>
      <c r="J11" s="5"/>
      <c r="K11" s="6">
        <v>1796</v>
      </c>
      <c r="L11" s="5">
        <v>13.047584453323646</v>
      </c>
      <c r="M11" s="5"/>
      <c r="N11" s="98"/>
      <c r="O11" s="98"/>
      <c r="P11" s="120"/>
      <c r="Q11" s="133"/>
      <c r="R11" s="133"/>
      <c r="S11" s="133"/>
      <c r="T11" s="133"/>
      <c r="U11" s="133"/>
      <c r="V11" s="133"/>
      <c r="W11" s="120"/>
      <c r="X11" s="120"/>
      <c r="Y11" s="133"/>
      <c r="Z11" s="143"/>
      <c r="AA11" s="141"/>
      <c r="AB11" s="141"/>
      <c r="AC11" s="142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1:38" ht="14.1" customHeight="1" x14ac:dyDescent="0.25">
      <c r="A12" s="61" t="s">
        <v>31</v>
      </c>
      <c r="B12" s="6">
        <v>6756</v>
      </c>
      <c r="C12" s="5">
        <v>0.22673370234053214</v>
      </c>
      <c r="D12" s="5"/>
      <c r="E12" s="6">
        <v>6205</v>
      </c>
      <c r="F12" s="5">
        <v>0.21406730993807055</v>
      </c>
      <c r="G12" s="5"/>
      <c r="H12" s="6">
        <v>388</v>
      </c>
      <c r="I12" s="5">
        <v>0.67634319157469436</v>
      </c>
      <c r="J12" s="5"/>
      <c r="K12" s="6">
        <v>163</v>
      </c>
      <c r="L12" s="5">
        <v>1.1841627315655647</v>
      </c>
      <c r="M12" s="5"/>
      <c r="N12" s="98"/>
      <c r="O12" s="98"/>
      <c r="P12" s="120"/>
      <c r="Q12" s="133"/>
      <c r="R12" s="133"/>
      <c r="S12" s="133"/>
      <c r="T12" s="133"/>
      <c r="U12" s="133"/>
      <c r="V12" s="133"/>
      <c r="W12" s="120"/>
      <c r="X12" s="120"/>
      <c r="Y12" s="133"/>
      <c r="Z12" s="143"/>
      <c r="AA12" s="141"/>
      <c r="AB12" s="141"/>
      <c r="AC12" s="142"/>
      <c r="AD12" s="39"/>
      <c r="AE12" s="39"/>
      <c r="AF12" s="39"/>
      <c r="AG12" s="39"/>
      <c r="AH12" s="39"/>
      <c r="AI12" s="39"/>
      <c r="AJ12" s="39"/>
      <c r="AK12" s="39"/>
      <c r="AL12" s="39"/>
    </row>
    <row r="13" spans="1:38" ht="14.1" customHeight="1" x14ac:dyDescent="0.25">
      <c r="A13" s="61" t="s">
        <v>32</v>
      </c>
      <c r="B13" s="6">
        <v>96087</v>
      </c>
      <c r="C13" s="5">
        <v>3.2247130338654104</v>
      </c>
      <c r="D13" s="5"/>
      <c r="E13" s="6">
        <v>89316</v>
      </c>
      <c r="F13" s="5">
        <v>3.0813272932197759</v>
      </c>
      <c r="G13" s="5"/>
      <c r="H13" s="6">
        <v>5680</v>
      </c>
      <c r="I13" s="5">
        <v>8.4371889900625359</v>
      </c>
      <c r="J13" s="5"/>
      <c r="K13" s="6">
        <v>1091</v>
      </c>
      <c r="L13" s="5">
        <v>7.9258990192517249</v>
      </c>
      <c r="M13" s="5"/>
      <c r="N13" s="98"/>
      <c r="O13" s="98"/>
      <c r="P13" s="120"/>
      <c r="Q13" s="133"/>
      <c r="R13" s="133"/>
      <c r="S13" s="133"/>
      <c r="T13" s="133"/>
      <c r="U13" s="133"/>
      <c r="V13" s="133"/>
      <c r="W13" s="120"/>
      <c r="X13" s="120"/>
      <c r="Y13" s="133"/>
      <c r="Z13" s="143"/>
      <c r="AA13" s="141"/>
      <c r="AB13" s="141"/>
      <c r="AC13" s="142"/>
      <c r="AD13" s="39"/>
      <c r="AE13" s="39"/>
      <c r="AF13" s="39"/>
      <c r="AG13" s="39"/>
      <c r="AH13" s="39"/>
      <c r="AI13" s="39"/>
      <c r="AJ13" s="39"/>
      <c r="AK13" s="39"/>
      <c r="AL13" s="39"/>
    </row>
    <row r="14" spans="1:38" ht="14.1" customHeight="1" x14ac:dyDescent="0.25">
      <c r="A14" s="61" t="s">
        <v>33</v>
      </c>
      <c r="B14" s="6">
        <v>1324819</v>
      </c>
      <c r="C14" s="5">
        <v>44.461384961675762</v>
      </c>
      <c r="D14" s="5"/>
      <c r="E14" s="6">
        <v>1291770</v>
      </c>
      <c r="F14" s="5">
        <v>44.564984521950265</v>
      </c>
      <c r="G14" s="5"/>
      <c r="H14" s="6">
        <v>27475</v>
      </c>
      <c r="I14" s="5">
        <v>40.811930898233832</v>
      </c>
      <c r="J14" s="5"/>
      <c r="K14" s="6">
        <v>5574</v>
      </c>
      <c r="L14" s="5">
        <v>40.494006538321834</v>
      </c>
      <c r="M14" s="5"/>
      <c r="N14" s="98"/>
      <c r="O14" s="98"/>
      <c r="P14" s="120"/>
      <c r="Q14" s="133"/>
      <c r="R14" s="133"/>
      <c r="S14" s="133"/>
      <c r="T14" s="133"/>
      <c r="U14" s="133"/>
      <c r="V14" s="133"/>
      <c r="W14" s="120"/>
      <c r="X14" s="120"/>
      <c r="Y14" s="133"/>
      <c r="Z14" s="143"/>
      <c r="AA14" s="141"/>
      <c r="AB14" s="141"/>
      <c r="AC14" s="142"/>
      <c r="AD14" s="39"/>
      <c r="AE14" s="39"/>
      <c r="AF14" s="39"/>
      <c r="AG14" s="39"/>
      <c r="AH14" s="39"/>
      <c r="AI14" s="39"/>
      <c r="AJ14" s="39"/>
      <c r="AK14" s="39"/>
      <c r="AL14" s="39"/>
    </row>
    <row r="15" spans="1:38" ht="14.1" customHeight="1" x14ac:dyDescent="0.25">
      <c r="A15" s="61" t="s">
        <v>34</v>
      </c>
      <c r="B15" s="6">
        <v>182644</v>
      </c>
      <c r="C15" s="5">
        <v>6.1295959636299813</v>
      </c>
      <c r="D15" s="5"/>
      <c r="E15" s="6">
        <v>174923</v>
      </c>
      <c r="F15" s="5">
        <v>6.0346971887666587</v>
      </c>
      <c r="G15" s="5"/>
      <c r="H15" s="6">
        <v>6680</v>
      </c>
      <c r="I15" s="5">
        <v>9.9226095869045317</v>
      </c>
      <c r="J15" s="5"/>
      <c r="K15" s="6">
        <v>1041</v>
      </c>
      <c r="L15" s="5">
        <v>7.5626589175444972</v>
      </c>
      <c r="M15" s="5"/>
      <c r="N15" s="98"/>
      <c r="O15" s="98"/>
      <c r="P15" s="120"/>
      <c r="Q15" s="133"/>
      <c r="R15" s="133"/>
      <c r="S15" s="133"/>
      <c r="T15" s="133"/>
      <c r="U15" s="133"/>
      <c r="V15" s="133"/>
      <c r="W15" s="120"/>
      <c r="X15" s="120"/>
      <c r="Y15" s="133"/>
      <c r="Z15" s="143"/>
      <c r="AA15" s="141"/>
      <c r="AB15" s="141"/>
      <c r="AC15" s="142"/>
      <c r="AD15" s="39"/>
      <c r="AE15" s="39"/>
      <c r="AF15" s="39"/>
      <c r="AG15" s="39"/>
      <c r="AH15" s="39"/>
      <c r="AI15" s="39"/>
      <c r="AJ15" s="39"/>
      <c r="AK15" s="39"/>
      <c r="AL15" s="39"/>
    </row>
    <row r="16" spans="1:38" ht="14.1" customHeight="1" x14ac:dyDescent="0.25">
      <c r="A16" s="61" t="s">
        <v>68</v>
      </c>
      <c r="B16" s="6">
        <v>28423</v>
      </c>
      <c r="C16" s="5">
        <v>0.95388573440274504</v>
      </c>
      <c r="D16" s="5"/>
      <c r="E16" s="6">
        <v>27982</v>
      </c>
      <c r="F16" s="5">
        <v>0.96535559495360035</v>
      </c>
      <c r="G16" s="5"/>
      <c r="H16" s="6">
        <v>395</v>
      </c>
      <c r="I16" s="5">
        <v>0.68674113575258833</v>
      </c>
      <c r="J16" s="5"/>
      <c r="K16" s="6">
        <v>46</v>
      </c>
      <c r="L16" s="5">
        <v>0.43418089357065015</v>
      </c>
      <c r="M16" s="5"/>
      <c r="N16" s="98"/>
      <c r="O16" s="98"/>
      <c r="P16" s="120"/>
      <c r="Q16" s="133"/>
      <c r="R16" s="133"/>
      <c r="S16" s="133"/>
      <c r="T16" s="133"/>
      <c r="U16" s="133"/>
      <c r="V16" s="133"/>
      <c r="W16" s="120"/>
      <c r="X16" s="120"/>
      <c r="Y16" s="133"/>
      <c r="Z16" s="143"/>
      <c r="AA16" s="141"/>
      <c r="AB16" s="141"/>
      <c r="AC16" s="142"/>
      <c r="AD16" s="39"/>
      <c r="AE16" s="39"/>
      <c r="AF16" s="39"/>
      <c r="AG16" s="39"/>
      <c r="AH16" s="39"/>
      <c r="AI16" s="39"/>
      <c r="AJ16" s="39"/>
      <c r="AK16" s="39"/>
      <c r="AL16" s="39"/>
    </row>
    <row r="17" spans="1:38" ht="14.1" customHeight="1" x14ac:dyDescent="0.25">
      <c r="A17" s="61" t="s">
        <v>69</v>
      </c>
      <c r="B17" s="6">
        <v>231429</v>
      </c>
      <c r="C17" s="5">
        <v>7.7668374776446143</v>
      </c>
      <c r="D17" s="5"/>
      <c r="E17" s="6">
        <v>229878</v>
      </c>
      <c r="F17" s="5">
        <v>7.9305987226339694</v>
      </c>
      <c r="G17" s="5"/>
      <c r="H17" s="6">
        <v>1446</v>
      </c>
      <c r="I17" s="5">
        <v>2.1479181830335259</v>
      </c>
      <c r="J17" s="5"/>
      <c r="K17" s="6">
        <v>105</v>
      </c>
      <c r="L17" s="5">
        <v>0.7628042135851798</v>
      </c>
      <c r="M17" s="5"/>
      <c r="N17" s="98"/>
      <c r="O17" s="98"/>
      <c r="P17" s="120"/>
      <c r="Q17" s="133"/>
      <c r="R17" s="133"/>
      <c r="S17" s="133"/>
      <c r="T17" s="133"/>
      <c r="U17" s="133"/>
      <c r="V17" s="133"/>
      <c r="W17" s="120"/>
      <c r="X17" s="120"/>
      <c r="Y17" s="133"/>
      <c r="Z17" s="143"/>
      <c r="AA17" s="141"/>
      <c r="AB17" s="141"/>
      <c r="AC17" s="142"/>
      <c r="AD17" s="39"/>
      <c r="AE17" s="39"/>
      <c r="AF17" s="39"/>
      <c r="AG17" s="39"/>
      <c r="AH17" s="39"/>
      <c r="AI17" s="39"/>
      <c r="AJ17" s="39"/>
      <c r="AK17" s="39"/>
      <c r="AL17" s="39"/>
    </row>
    <row r="18" spans="1:38" ht="14.1" customHeight="1" x14ac:dyDescent="0.25">
      <c r="A18" s="61" t="s">
        <v>35</v>
      </c>
      <c r="B18" s="6">
        <v>58069</v>
      </c>
      <c r="C18" s="5">
        <v>2.0488157728259857</v>
      </c>
      <c r="D18" s="5"/>
      <c r="E18" s="6">
        <v>55941</v>
      </c>
      <c r="F18" s="5">
        <v>1.9299177091451416</v>
      </c>
      <c r="G18" s="5"/>
      <c r="H18" s="6">
        <v>1765</v>
      </c>
      <c r="I18" s="5">
        <v>2.6217673534261228</v>
      </c>
      <c r="J18" s="5"/>
      <c r="K18" s="6">
        <v>363</v>
      </c>
      <c r="L18" s="5">
        <v>2.6371231383944789</v>
      </c>
      <c r="M18" s="5"/>
      <c r="N18" s="98"/>
      <c r="O18" s="98"/>
      <c r="P18" s="120"/>
      <c r="Q18" s="133"/>
      <c r="R18" s="133"/>
      <c r="S18" s="133"/>
      <c r="T18" s="133"/>
      <c r="U18" s="133"/>
      <c r="V18" s="133"/>
      <c r="W18" s="120"/>
      <c r="X18" s="120"/>
      <c r="Y18" s="118"/>
      <c r="Z18" s="144"/>
      <c r="AA18" s="144"/>
      <c r="AB18" s="144"/>
      <c r="AC18" s="142"/>
      <c r="AD18" s="39"/>
      <c r="AE18" s="39"/>
      <c r="AF18" s="39"/>
      <c r="AG18" s="39"/>
      <c r="AH18" s="39"/>
      <c r="AI18" s="39"/>
      <c r="AJ18" s="39"/>
      <c r="AK18" s="39"/>
      <c r="AL18" s="39"/>
    </row>
    <row r="19" spans="1:38" ht="14.1" customHeight="1" x14ac:dyDescent="0.25">
      <c r="A19" s="61" t="s">
        <v>36</v>
      </c>
      <c r="B19" s="6">
        <v>280445</v>
      </c>
      <c r="C19" s="5">
        <v>9.4118314317481548</v>
      </c>
      <c r="D19" s="5"/>
      <c r="E19" s="6">
        <v>272005</v>
      </c>
      <c r="F19" s="5">
        <v>9.3839449862538089</v>
      </c>
      <c r="G19" s="5"/>
      <c r="H19" s="6">
        <v>7284</v>
      </c>
      <c r="I19" s="5">
        <v>10.819803627397096</v>
      </c>
      <c r="J19" s="5"/>
      <c r="K19" s="6">
        <v>1156</v>
      </c>
      <c r="L19" s="5">
        <v>8.3981111514711237</v>
      </c>
      <c r="M19" s="5"/>
      <c r="N19" s="98"/>
      <c r="O19" s="98"/>
      <c r="P19" s="120"/>
      <c r="Q19" s="133"/>
      <c r="R19" s="133"/>
      <c r="S19" s="133"/>
      <c r="T19" s="133"/>
      <c r="U19" s="133"/>
      <c r="V19" s="133"/>
      <c r="W19" s="120"/>
      <c r="X19" s="120"/>
      <c r="Y19" s="118"/>
      <c r="Z19" s="144"/>
      <c r="AA19" s="144"/>
      <c r="AB19" s="144"/>
      <c r="AC19" s="142"/>
      <c r="AD19" s="39"/>
      <c r="AE19" s="39"/>
      <c r="AF19" s="39"/>
      <c r="AG19" s="39"/>
      <c r="AH19" s="39"/>
      <c r="AI19" s="39"/>
      <c r="AJ19" s="39"/>
      <c r="AK19" s="39"/>
      <c r="AL19" s="39"/>
    </row>
    <row r="20" spans="1:38" ht="14.1" customHeight="1" x14ac:dyDescent="0.25">
      <c r="A20" s="61" t="s">
        <v>37</v>
      </c>
      <c r="B20" s="6">
        <v>465649</v>
      </c>
      <c r="C20" s="5">
        <v>15.627341882943524</v>
      </c>
      <c r="D20" s="5"/>
      <c r="E20" s="6">
        <v>458608</v>
      </c>
      <c r="F20" s="5">
        <v>15.82159240549213</v>
      </c>
      <c r="G20" s="5"/>
      <c r="H20" s="6">
        <v>5754</v>
      </c>
      <c r="I20" s="5">
        <v>8.5471101142288433</v>
      </c>
      <c r="J20" s="5"/>
      <c r="K20" s="6">
        <v>1287</v>
      </c>
      <c r="L20" s="5">
        <v>9.3498002179440611</v>
      </c>
      <c r="M20" s="5"/>
      <c r="N20" s="98"/>
      <c r="O20" s="98"/>
      <c r="P20" s="120"/>
      <c r="Q20" s="133"/>
      <c r="R20" s="133"/>
      <c r="S20" s="133"/>
      <c r="T20" s="133"/>
      <c r="U20" s="133"/>
      <c r="V20" s="133"/>
      <c r="W20" s="120"/>
      <c r="X20" s="120"/>
      <c r="Y20" s="118"/>
      <c r="Z20" s="144"/>
      <c r="AA20" s="144"/>
      <c r="AB20" s="116"/>
      <c r="AC20" s="142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1:38" ht="14.1" customHeight="1" x14ac:dyDescent="0.25">
      <c r="A21" s="61"/>
      <c r="B21" s="6"/>
      <c r="C21" s="5"/>
      <c r="D21" s="5"/>
      <c r="E21" s="6"/>
      <c r="F21" s="5"/>
      <c r="G21" s="5"/>
      <c r="H21" s="6"/>
      <c r="I21" s="5"/>
      <c r="J21" s="5"/>
      <c r="K21" s="6"/>
      <c r="L21" s="5"/>
      <c r="M21" s="5"/>
      <c r="N21" s="98"/>
      <c r="O21" s="98"/>
      <c r="P21" s="120"/>
      <c r="Q21" s="133"/>
      <c r="R21" s="133"/>
      <c r="S21" s="133"/>
      <c r="T21" s="133"/>
      <c r="U21" s="133"/>
      <c r="V21" s="133"/>
      <c r="W21" s="120"/>
      <c r="X21" s="120"/>
      <c r="Y21" s="118"/>
      <c r="Z21" s="118"/>
      <c r="AA21" s="118"/>
      <c r="AB21" s="118"/>
      <c r="AC21" s="142"/>
      <c r="AD21" s="39"/>
      <c r="AE21" s="39"/>
      <c r="AF21" s="39"/>
      <c r="AG21" s="39"/>
      <c r="AH21" s="39"/>
      <c r="AI21" s="39"/>
      <c r="AJ21" s="39"/>
      <c r="AK21" s="39"/>
      <c r="AL21" s="39"/>
    </row>
    <row r="22" spans="1:38" s="35" customFormat="1" ht="14.1" customHeight="1" x14ac:dyDescent="0.25">
      <c r="A22" s="62" t="s">
        <v>21</v>
      </c>
      <c r="B22" s="9">
        <v>20516</v>
      </c>
      <c r="C22" s="15">
        <v>100</v>
      </c>
      <c r="D22" s="15"/>
      <c r="E22" s="9">
        <v>20092</v>
      </c>
      <c r="F22" s="15">
        <v>100</v>
      </c>
      <c r="G22" s="15"/>
      <c r="H22" s="9">
        <v>374</v>
      </c>
      <c r="I22" s="15">
        <v>100</v>
      </c>
      <c r="J22" s="15"/>
      <c r="K22" s="9">
        <v>50</v>
      </c>
      <c r="L22" s="15">
        <v>100</v>
      </c>
      <c r="M22" s="15"/>
      <c r="N22" s="96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118"/>
      <c r="Z22" s="118"/>
      <c r="AA22" s="118"/>
      <c r="AB22" s="118"/>
      <c r="AC22" s="142"/>
      <c r="AD22" s="39"/>
      <c r="AE22" s="39"/>
      <c r="AF22" s="39"/>
      <c r="AG22" s="39"/>
      <c r="AH22" s="39"/>
      <c r="AI22" s="39"/>
      <c r="AJ22" s="39"/>
      <c r="AK22" s="39"/>
      <c r="AL22" s="39"/>
    </row>
    <row r="23" spans="1:38" ht="14.1" customHeight="1" x14ac:dyDescent="0.25">
      <c r="A23" s="61" t="s">
        <v>57</v>
      </c>
      <c r="B23" s="6">
        <v>613</v>
      </c>
      <c r="C23" s="5">
        <v>2.9879118736595829</v>
      </c>
      <c r="D23" s="5"/>
      <c r="E23" s="6">
        <v>602</v>
      </c>
      <c r="F23" s="5">
        <v>2.9962173999601829</v>
      </c>
      <c r="G23" s="5"/>
      <c r="H23" s="6">
        <v>4</v>
      </c>
      <c r="I23" s="5">
        <v>1.0695187165775399</v>
      </c>
      <c r="J23" s="5"/>
      <c r="K23" s="6">
        <v>7</v>
      </c>
      <c r="L23" s="5">
        <v>14.000000000000002</v>
      </c>
      <c r="M23" s="5"/>
      <c r="N23" s="98"/>
      <c r="O23" s="98"/>
      <c r="P23" s="120"/>
      <c r="Q23" s="133"/>
      <c r="R23" s="133"/>
      <c r="S23" s="133"/>
      <c r="T23" s="133"/>
      <c r="U23" s="133"/>
      <c r="V23" s="133"/>
      <c r="W23" s="120"/>
      <c r="X23" s="120"/>
      <c r="Y23" s="117"/>
      <c r="Z23" s="117"/>
      <c r="AA23" s="117"/>
      <c r="AB23" s="145"/>
      <c r="AC23" s="142"/>
      <c r="AD23" s="39"/>
      <c r="AE23" s="39"/>
      <c r="AF23" s="39"/>
      <c r="AG23" s="39"/>
      <c r="AH23" s="39"/>
      <c r="AI23" s="39"/>
      <c r="AJ23" s="39"/>
      <c r="AK23" s="39"/>
      <c r="AL23" s="39"/>
    </row>
    <row r="24" spans="1:38" ht="14.1" customHeight="1" x14ac:dyDescent="0.25">
      <c r="A24" s="61" t="s">
        <v>29</v>
      </c>
      <c r="B24" s="6">
        <v>85</v>
      </c>
      <c r="C24" s="5">
        <v>0.41431078182881653</v>
      </c>
      <c r="D24" s="5"/>
      <c r="E24" s="6">
        <v>80</v>
      </c>
      <c r="F24" s="5">
        <v>0.39816842524387819</v>
      </c>
      <c r="G24" s="5"/>
      <c r="H24" s="6">
        <v>5</v>
      </c>
      <c r="I24" s="5">
        <v>1.3368983957219251</v>
      </c>
      <c r="J24" s="5"/>
      <c r="K24" s="3" t="s">
        <v>96</v>
      </c>
      <c r="L24" s="3" t="s">
        <v>96</v>
      </c>
      <c r="M24" s="5"/>
      <c r="N24" s="98"/>
      <c r="O24" s="98"/>
      <c r="P24" s="120"/>
      <c r="Q24" s="133"/>
      <c r="R24" s="133"/>
      <c r="S24" s="133"/>
      <c r="T24" s="133"/>
      <c r="U24" s="133"/>
      <c r="V24" s="133"/>
      <c r="W24" s="120"/>
      <c r="X24" s="120"/>
      <c r="Y24" s="117"/>
      <c r="Z24" s="118"/>
      <c r="AA24" s="118"/>
      <c r="AB24" s="146"/>
      <c r="AC24" s="142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1:38" ht="14.1" customHeight="1" x14ac:dyDescent="0.25">
      <c r="A25" s="61" t="s">
        <v>30</v>
      </c>
      <c r="B25" s="6">
        <v>1171</v>
      </c>
      <c r="C25" s="5">
        <v>5.7077403002534606</v>
      </c>
      <c r="D25" s="5"/>
      <c r="E25" s="6">
        <v>1157</v>
      </c>
      <c r="F25" s="98">
        <v>5.6585108500895878</v>
      </c>
      <c r="G25" s="5"/>
      <c r="H25" s="6">
        <v>13</v>
      </c>
      <c r="I25" s="5">
        <v>3.4759358288770055</v>
      </c>
      <c r="J25" s="5"/>
      <c r="K25" s="3">
        <v>1</v>
      </c>
      <c r="L25" s="16">
        <v>2</v>
      </c>
      <c r="M25" s="5"/>
      <c r="N25" s="98"/>
      <c r="O25" s="98"/>
      <c r="P25" s="120"/>
      <c r="Q25" s="133"/>
      <c r="R25" s="133"/>
      <c r="S25" s="133"/>
      <c r="T25" s="133"/>
      <c r="U25" s="133"/>
      <c r="V25" s="133"/>
      <c r="W25" s="120"/>
      <c r="X25" s="120"/>
      <c r="Y25" s="117"/>
      <c r="Z25" s="118"/>
      <c r="AA25" s="118"/>
      <c r="AB25" s="146"/>
      <c r="AC25" s="142"/>
      <c r="AD25" s="39"/>
      <c r="AE25" s="39"/>
      <c r="AF25" s="39"/>
      <c r="AG25" s="39"/>
      <c r="AH25" s="39"/>
      <c r="AI25" s="39"/>
      <c r="AJ25" s="39"/>
      <c r="AK25" s="39"/>
      <c r="AL25" s="39"/>
    </row>
    <row r="26" spans="1:38" ht="14.1" customHeight="1" x14ac:dyDescent="0.25">
      <c r="A26" s="61" t="s">
        <v>31</v>
      </c>
      <c r="B26" s="6">
        <v>36</v>
      </c>
      <c r="C26" s="5">
        <v>0.17547280171573407</v>
      </c>
      <c r="D26" s="5"/>
      <c r="E26" s="6">
        <v>32</v>
      </c>
      <c r="F26" s="98">
        <v>0.15926737009755126</v>
      </c>
      <c r="G26" s="5"/>
      <c r="H26" s="6">
        <v>3</v>
      </c>
      <c r="I26" s="5">
        <v>0.80213903743315518</v>
      </c>
      <c r="J26" s="5"/>
      <c r="K26" s="3">
        <v>1</v>
      </c>
      <c r="L26" s="16">
        <v>2</v>
      </c>
      <c r="M26" s="5"/>
      <c r="N26" s="98"/>
      <c r="O26" s="98"/>
      <c r="P26" s="120"/>
      <c r="Q26" s="133"/>
      <c r="R26" s="133"/>
      <c r="S26" s="133"/>
      <c r="T26" s="133"/>
      <c r="U26" s="133"/>
      <c r="V26" s="133"/>
      <c r="W26" s="120"/>
      <c r="X26" s="120"/>
      <c r="Y26" s="117"/>
      <c r="Z26" s="118"/>
      <c r="AA26" s="118"/>
      <c r="AB26" s="146"/>
      <c r="AC26" s="142"/>
      <c r="AD26" s="39"/>
      <c r="AE26" s="39"/>
      <c r="AF26" s="39"/>
      <c r="AG26" s="39"/>
      <c r="AH26" s="39"/>
      <c r="AI26" s="39"/>
      <c r="AJ26" s="39"/>
      <c r="AK26" s="39"/>
      <c r="AL26" s="39"/>
    </row>
    <row r="27" spans="1:38" ht="14.1" customHeight="1" x14ac:dyDescent="0.25">
      <c r="A27" s="61" t="s">
        <v>32</v>
      </c>
      <c r="B27" s="6">
        <v>1266</v>
      </c>
      <c r="C27" s="5">
        <v>6.1707935270033145</v>
      </c>
      <c r="D27" s="5"/>
      <c r="E27" s="6">
        <v>1158</v>
      </c>
      <c r="F27" s="98">
        <v>5.6634879554051363</v>
      </c>
      <c r="G27" s="5"/>
      <c r="H27" s="6">
        <v>97</v>
      </c>
      <c r="I27" s="5">
        <v>25.935828877005346</v>
      </c>
      <c r="J27" s="5"/>
      <c r="K27" s="3">
        <v>11</v>
      </c>
      <c r="L27" s="16">
        <v>22</v>
      </c>
      <c r="M27" s="5"/>
      <c r="N27" s="98"/>
      <c r="O27" s="98"/>
      <c r="P27" s="120"/>
      <c r="Q27" s="133"/>
      <c r="R27" s="133"/>
      <c r="S27" s="133"/>
      <c r="T27" s="133"/>
      <c r="U27" s="133"/>
      <c r="V27" s="133"/>
      <c r="W27" s="120"/>
      <c r="X27" s="120"/>
      <c r="Y27" s="117"/>
      <c r="Z27" s="118"/>
      <c r="AA27" s="118"/>
      <c r="AB27" s="146"/>
      <c r="AC27" s="142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1:38" ht="14.1" customHeight="1" x14ac:dyDescent="0.25">
      <c r="A28" s="61" t="s">
        <v>33</v>
      </c>
      <c r="B28" s="6">
        <v>7010</v>
      </c>
      <c r="C28" s="5">
        <v>34.168453889647104</v>
      </c>
      <c r="D28" s="5"/>
      <c r="E28" s="6">
        <v>6823</v>
      </c>
      <c r="F28" s="98">
        <v>33.95878956798726</v>
      </c>
      <c r="G28" s="5"/>
      <c r="H28" s="6">
        <v>165</v>
      </c>
      <c r="I28" s="5">
        <v>44.117647058823529</v>
      </c>
      <c r="J28" s="5"/>
      <c r="K28" s="3">
        <v>22</v>
      </c>
      <c r="L28" s="16">
        <v>44</v>
      </c>
      <c r="M28" s="5"/>
      <c r="N28" s="98"/>
      <c r="O28" s="98"/>
      <c r="P28" s="120"/>
      <c r="Q28" s="133"/>
      <c r="R28" s="133"/>
      <c r="S28" s="133"/>
      <c r="T28" s="133"/>
      <c r="U28" s="133"/>
      <c r="V28" s="133"/>
      <c r="W28" s="120"/>
      <c r="X28" s="120"/>
      <c r="Y28" s="117"/>
      <c r="Z28" s="118"/>
      <c r="AA28" s="118"/>
      <c r="AB28" s="146"/>
      <c r="AC28" s="142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1:38" ht="14.1" customHeight="1" x14ac:dyDescent="0.25">
      <c r="A29" s="61" t="s">
        <v>34</v>
      </c>
      <c r="B29" s="6">
        <v>1500</v>
      </c>
      <c r="C29" s="5">
        <v>7.311366738155586</v>
      </c>
      <c r="D29" s="5"/>
      <c r="E29" s="6">
        <v>1468</v>
      </c>
      <c r="F29" s="5">
        <v>7.3063906032251644</v>
      </c>
      <c r="G29" s="5"/>
      <c r="H29" s="6">
        <v>31</v>
      </c>
      <c r="I29" s="5">
        <v>8.2887700534759361</v>
      </c>
      <c r="J29" s="5"/>
      <c r="K29" s="3">
        <v>1</v>
      </c>
      <c r="L29" s="16">
        <v>2</v>
      </c>
      <c r="M29" s="5"/>
      <c r="N29" s="98"/>
      <c r="O29" s="98"/>
      <c r="P29" s="120"/>
      <c r="Q29" s="133"/>
      <c r="R29" s="133"/>
      <c r="S29" s="133"/>
      <c r="T29" s="133"/>
      <c r="U29" s="133"/>
      <c r="V29" s="133"/>
      <c r="W29" s="120"/>
      <c r="X29" s="120"/>
      <c r="Y29" s="117"/>
      <c r="Z29" s="118"/>
      <c r="AA29" s="118"/>
      <c r="AB29" s="146"/>
      <c r="AC29" s="142"/>
      <c r="AD29" s="39"/>
      <c r="AE29" s="39"/>
      <c r="AF29" s="39"/>
      <c r="AG29" s="39"/>
      <c r="AH29" s="39"/>
      <c r="AI29" s="39"/>
      <c r="AJ29" s="39"/>
      <c r="AK29" s="39"/>
      <c r="AL29" s="39"/>
    </row>
    <row r="30" spans="1:38" ht="14.1" customHeight="1" x14ac:dyDescent="0.25">
      <c r="A30" s="61" t="s">
        <v>68</v>
      </c>
      <c r="B30" s="6">
        <v>421</v>
      </c>
      <c r="C30" s="5">
        <v>2.052056931175668</v>
      </c>
      <c r="D30" s="5"/>
      <c r="E30" s="6">
        <v>420</v>
      </c>
      <c r="F30" s="5">
        <v>2.0903842325303601</v>
      </c>
      <c r="G30" s="5"/>
      <c r="H30" s="6">
        <v>1</v>
      </c>
      <c r="I30" s="5">
        <v>0.26737967914438499</v>
      </c>
      <c r="J30" s="5"/>
      <c r="K30" s="3" t="s">
        <v>96</v>
      </c>
      <c r="L30" s="3" t="s">
        <v>96</v>
      </c>
      <c r="M30" s="5"/>
      <c r="N30" s="98"/>
      <c r="O30" s="98"/>
      <c r="P30" s="120"/>
      <c r="Q30" s="133"/>
      <c r="R30" s="133"/>
      <c r="S30" s="133"/>
      <c r="T30" s="133"/>
      <c r="U30" s="133"/>
      <c r="V30" s="133"/>
      <c r="W30" s="120"/>
      <c r="X30" s="120"/>
      <c r="Y30" s="117"/>
      <c r="Z30" s="118"/>
      <c r="AA30" s="118"/>
      <c r="AB30" s="146"/>
      <c r="AC30" s="142"/>
      <c r="AD30" s="39"/>
      <c r="AE30" s="39"/>
      <c r="AF30" s="39"/>
      <c r="AG30" s="39"/>
      <c r="AH30" s="39"/>
      <c r="AI30" s="39"/>
      <c r="AJ30" s="39"/>
      <c r="AK30" s="39"/>
      <c r="AL30" s="39"/>
    </row>
    <row r="31" spans="1:38" ht="14.1" customHeight="1" x14ac:dyDescent="0.25">
      <c r="A31" s="61" t="s">
        <v>69</v>
      </c>
      <c r="B31" s="6">
        <v>2198</v>
      </c>
      <c r="C31" s="98">
        <v>10.613589393643986</v>
      </c>
      <c r="D31" s="5"/>
      <c r="E31" s="6">
        <v>2197</v>
      </c>
      <c r="F31" s="5">
        <v>10.934700378260004</v>
      </c>
      <c r="G31" s="5"/>
      <c r="H31" s="6">
        <v>1</v>
      </c>
      <c r="I31" s="5">
        <v>0.26737967914438499</v>
      </c>
      <c r="J31" s="5"/>
      <c r="K31" s="3" t="s">
        <v>96</v>
      </c>
      <c r="L31" s="3" t="s">
        <v>96</v>
      </c>
      <c r="M31" s="5"/>
      <c r="N31" s="98"/>
      <c r="O31" s="98"/>
      <c r="P31" s="120"/>
      <c r="Q31" s="133"/>
      <c r="R31" s="133"/>
      <c r="S31" s="133"/>
      <c r="T31" s="133"/>
      <c r="U31" s="133"/>
      <c r="V31" s="133"/>
      <c r="W31" s="120"/>
      <c r="X31" s="120"/>
      <c r="Y31" s="117"/>
      <c r="Z31" s="118"/>
      <c r="AA31" s="118"/>
      <c r="AB31" s="146"/>
      <c r="AC31" s="142"/>
      <c r="AD31" s="39"/>
      <c r="AE31" s="39"/>
      <c r="AF31" s="39"/>
      <c r="AG31" s="39"/>
      <c r="AH31" s="39"/>
      <c r="AI31" s="39"/>
      <c r="AJ31" s="39"/>
      <c r="AK31" s="39"/>
      <c r="AL31" s="39"/>
    </row>
    <row r="32" spans="1:38" ht="14.1" customHeight="1" x14ac:dyDescent="0.25">
      <c r="A32" s="61" t="s">
        <v>35</v>
      </c>
      <c r="B32" s="6">
        <v>295</v>
      </c>
      <c r="C32" s="5">
        <v>1.4379021251705986</v>
      </c>
      <c r="D32" s="5"/>
      <c r="E32" s="6">
        <v>292</v>
      </c>
      <c r="F32" s="5">
        <v>1.4533147521401553</v>
      </c>
      <c r="G32" s="5"/>
      <c r="H32" s="6">
        <v>3</v>
      </c>
      <c r="I32" s="5">
        <v>0.80213903743315518</v>
      </c>
      <c r="J32" s="5"/>
      <c r="K32" s="3" t="s">
        <v>96</v>
      </c>
      <c r="L32" s="3" t="s">
        <v>96</v>
      </c>
      <c r="M32" s="5"/>
      <c r="N32" s="98"/>
      <c r="O32" s="98"/>
      <c r="P32" s="120"/>
      <c r="Q32" s="133"/>
      <c r="R32" s="133"/>
      <c r="S32" s="133"/>
      <c r="T32" s="133"/>
      <c r="U32" s="133"/>
      <c r="V32" s="133"/>
      <c r="W32" s="120"/>
      <c r="X32" s="120"/>
      <c r="Y32" s="117"/>
      <c r="Z32" s="118"/>
      <c r="AA32" s="118"/>
      <c r="AB32" s="146"/>
      <c r="AC32" s="142"/>
      <c r="AD32" s="39"/>
      <c r="AE32" s="39"/>
      <c r="AF32" s="39"/>
      <c r="AG32" s="39"/>
      <c r="AH32" s="39"/>
      <c r="AI32" s="39"/>
      <c r="AJ32" s="39"/>
      <c r="AK32" s="39"/>
      <c r="AL32" s="39"/>
    </row>
    <row r="33" spans="1:38" ht="14.1" customHeight="1" x14ac:dyDescent="0.25">
      <c r="A33" s="61" t="s">
        <v>36</v>
      </c>
      <c r="B33" s="6">
        <v>2051</v>
      </c>
      <c r="C33" s="5">
        <v>9.9970754533047383</v>
      </c>
      <c r="D33" s="5"/>
      <c r="E33" s="6">
        <v>2010</v>
      </c>
      <c r="F33" s="5">
        <v>10.003981684252439</v>
      </c>
      <c r="G33" s="5"/>
      <c r="H33" s="6">
        <v>37</v>
      </c>
      <c r="I33" s="5">
        <v>9.8930481283422473</v>
      </c>
      <c r="J33" s="5"/>
      <c r="K33" s="6">
        <v>4</v>
      </c>
      <c r="L33" s="5">
        <v>8</v>
      </c>
      <c r="M33" s="5"/>
      <c r="N33" s="98"/>
      <c r="O33" s="98"/>
      <c r="P33" s="120"/>
      <c r="Q33" s="133"/>
      <c r="R33" s="133"/>
      <c r="S33" s="133"/>
      <c r="T33" s="133"/>
      <c r="U33" s="133"/>
      <c r="V33" s="133"/>
      <c r="W33" s="120"/>
      <c r="X33" s="120"/>
      <c r="Y33" s="117"/>
      <c r="Z33" s="118"/>
      <c r="AA33" s="118"/>
      <c r="AB33" s="146"/>
      <c r="AC33" s="142"/>
      <c r="AD33" s="39"/>
      <c r="AE33" s="39"/>
      <c r="AF33" s="39"/>
      <c r="AG33" s="39"/>
      <c r="AH33" s="39"/>
      <c r="AI33" s="39"/>
      <c r="AJ33" s="39"/>
      <c r="AK33" s="39"/>
      <c r="AL33" s="39"/>
    </row>
    <row r="34" spans="1:38" ht="14.1" customHeight="1" x14ac:dyDescent="0.25">
      <c r="A34" s="61" t="s">
        <v>37</v>
      </c>
      <c r="B34" s="6">
        <v>3870</v>
      </c>
      <c r="C34" s="5">
        <v>18.863326184441412</v>
      </c>
      <c r="D34" s="5"/>
      <c r="E34" s="6">
        <v>3853</v>
      </c>
      <c r="F34" s="5">
        <v>19.176786780808282</v>
      </c>
      <c r="G34" s="5"/>
      <c r="H34" s="6">
        <v>14</v>
      </c>
      <c r="I34" s="5">
        <v>3.7433155080213902</v>
      </c>
      <c r="J34" s="5"/>
      <c r="K34" s="6">
        <v>3</v>
      </c>
      <c r="L34" s="5">
        <v>6</v>
      </c>
      <c r="M34" s="5"/>
      <c r="N34" s="98"/>
      <c r="O34" s="98"/>
      <c r="P34" s="120"/>
      <c r="Q34" s="133"/>
      <c r="R34" s="133"/>
      <c r="S34" s="133"/>
      <c r="T34" s="133"/>
      <c r="U34" s="133"/>
      <c r="V34" s="133"/>
      <c r="W34" s="120"/>
      <c r="X34" s="120"/>
      <c r="Y34" s="117"/>
      <c r="Z34" s="118"/>
      <c r="AA34" s="118"/>
      <c r="AB34" s="146"/>
      <c r="AC34" s="142"/>
      <c r="AD34" s="39"/>
      <c r="AE34" s="39"/>
      <c r="AF34" s="39"/>
      <c r="AG34" s="39"/>
      <c r="AH34" s="39"/>
      <c r="AI34" s="39"/>
      <c r="AJ34" s="39"/>
      <c r="AK34" s="39"/>
      <c r="AL34" s="39"/>
    </row>
    <row r="35" spans="1:38" ht="14.1" customHeight="1" x14ac:dyDescent="0.25">
      <c r="A35" s="61"/>
      <c r="B35" s="6"/>
      <c r="C35" s="5"/>
      <c r="D35" s="5"/>
      <c r="E35" s="6"/>
      <c r="F35" s="5"/>
      <c r="G35" s="5"/>
      <c r="H35" s="6"/>
      <c r="I35" s="5"/>
      <c r="J35" s="5"/>
      <c r="K35" s="6"/>
      <c r="L35" s="5"/>
      <c r="M35" s="5"/>
      <c r="N35" s="98"/>
      <c r="O35" s="98"/>
      <c r="P35" s="120"/>
      <c r="Q35" s="133"/>
      <c r="R35" s="133"/>
      <c r="S35" s="133"/>
      <c r="T35" s="133"/>
      <c r="U35" s="133"/>
      <c r="V35" s="133"/>
      <c r="W35" s="120"/>
      <c r="X35" s="120"/>
      <c r="Y35" s="118"/>
      <c r="Z35" s="118"/>
      <c r="AA35" s="118"/>
      <c r="AB35" s="118"/>
      <c r="AC35" s="142"/>
      <c r="AD35" s="39"/>
      <c r="AE35" s="39"/>
      <c r="AF35" s="39"/>
      <c r="AG35" s="39"/>
      <c r="AH35" s="39"/>
      <c r="AI35" s="39"/>
      <c r="AJ35" s="39"/>
      <c r="AK35" s="39"/>
      <c r="AL35" s="39"/>
    </row>
    <row r="36" spans="1:38" s="35" customFormat="1" ht="14.1" customHeight="1" x14ac:dyDescent="0.25">
      <c r="A36" s="62" t="s">
        <v>56</v>
      </c>
      <c r="B36" s="9">
        <v>86708</v>
      </c>
      <c r="C36" s="15">
        <v>100</v>
      </c>
      <c r="D36" s="15"/>
      <c r="E36" s="9">
        <v>85261</v>
      </c>
      <c r="F36" s="15">
        <v>100</v>
      </c>
      <c r="G36" s="9">
        <v>1327</v>
      </c>
      <c r="H36" s="9">
        <v>1327</v>
      </c>
      <c r="I36" s="15">
        <v>100</v>
      </c>
      <c r="J36" s="15"/>
      <c r="K36" s="95">
        <v>120</v>
      </c>
      <c r="L36" s="95">
        <v>100</v>
      </c>
      <c r="M36" s="15"/>
      <c r="N36" s="96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117"/>
      <c r="Z36" s="118"/>
      <c r="AA36" s="118"/>
      <c r="AB36" s="146"/>
      <c r="AC36" s="142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1:38" ht="14.1" customHeight="1" x14ac:dyDescent="0.25">
      <c r="A37" s="61" t="s">
        <v>57</v>
      </c>
      <c r="B37" s="6">
        <v>1759</v>
      </c>
      <c r="C37" s="5">
        <v>2.0286478756285464</v>
      </c>
      <c r="D37" s="5"/>
      <c r="E37" s="6">
        <v>1676</v>
      </c>
      <c r="F37" s="5">
        <v>1.9657287622711441</v>
      </c>
      <c r="G37" s="6">
        <v>70</v>
      </c>
      <c r="H37" s="6">
        <v>70</v>
      </c>
      <c r="I37" s="5">
        <v>5.2750565184626979</v>
      </c>
      <c r="J37" s="5"/>
      <c r="K37" s="97">
        <v>13</v>
      </c>
      <c r="L37" s="98">
        <v>10.833333333333334</v>
      </c>
      <c r="M37" s="5"/>
      <c r="N37" s="98"/>
      <c r="O37" s="98"/>
      <c r="P37" s="120"/>
      <c r="Q37" s="133"/>
      <c r="R37" s="133"/>
      <c r="S37" s="133"/>
      <c r="T37" s="133"/>
      <c r="U37" s="133"/>
      <c r="V37" s="133"/>
      <c r="W37" s="120"/>
      <c r="X37" s="120"/>
      <c r="Y37" s="118"/>
      <c r="Z37" s="118"/>
      <c r="AA37" s="118"/>
      <c r="AB37" s="118"/>
      <c r="AC37" s="142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1:38" ht="14.1" customHeight="1" x14ac:dyDescent="0.25">
      <c r="A38" s="61" t="s">
        <v>29</v>
      </c>
      <c r="B38" s="6">
        <v>827</v>
      </c>
      <c r="C38" s="5">
        <v>0.95377589149790098</v>
      </c>
      <c r="D38" s="5"/>
      <c r="E38" s="6">
        <v>808</v>
      </c>
      <c r="F38" s="5">
        <v>0.94767830543859444</v>
      </c>
      <c r="G38" s="6">
        <v>17</v>
      </c>
      <c r="H38" s="6">
        <v>17</v>
      </c>
      <c r="I38" s="5">
        <v>1.281085154483798</v>
      </c>
      <c r="J38" s="5"/>
      <c r="K38" s="97">
        <v>2</v>
      </c>
      <c r="L38" s="98">
        <v>1.6666666666666667</v>
      </c>
      <c r="M38" s="5"/>
      <c r="N38" s="98"/>
      <c r="O38" s="98"/>
      <c r="P38" s="120"/>
      <c r="Q38" s="133"/>
      <c r="R38" s="133"/>
      <c r="S38" s="133"/>
      <c r="T38" s="133"/>
      <c r="U38" s="133"/>
      <c r="V38" s="133"/>
      <c r="W38" s="120"/>
      <c r="X38" s="120"/>
      <c r="Y38" s="117"/>
      <c r="Z38" s="117"/>
      <c r="AA38" s="117"/>
      <c r="AB38" s="147"/>
      <c r="AC38" s="142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1:38" ht="14.1" customHeight="1" x14ac:dyDescent="0.25">
      <c r="A39" s="61" t="s">
        <v>30</v>
      </c>
      <c r="B39" s="6">
        <v>5198</v>
      </c>
      <c r="C39" s="5">
        <v>5.9948332333810033</v>
      </c>
      <c r="D39" s="5"/>
      <c r="E39" s="6">
        <v>5096</v>
      </c>
      <c r="F39" s="5">
        <v>5.9769413917265801</v>
      </c>
      <c r="G39" s="6">
        <v>89</v>
      </c>
      <c r="H39" s="6">
        <v>89</v>
      </c>
      <c r="I39" s="5">
        <v>6.706857573474001</v>
      </c>
      <c r="J39" s="5"/>
      <c r="K39" s="97">
        <v>13</v>
      </c>
      <c r="L39" s="98">
        <v>10.833333333333334</v>
      </c>
      <c r="M39" s="5"/>
      <c r="N39" s="98"/>
      <c r="O39" s="98"/>
      <c r="P39" s="120"/>
      <c r="Q39" s="133"/>
      <c r="R39" s="133"/>
      <c r="S39" s="133"/>
      <c r="T39" s="133"/>
      <c r="U39" s="133"/>
      <c r="V39" s="133"/>
      <c r="W39" s="120"/>
      <c r="X39" s="120"/>
      <c r="Y39" s="117"/>
      <c r="Z39" s="146"/>
      <c r="AA39" s="146"/>
      <c r="AB39" s="146"/>
      <c r="AC39" s="142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1:38" ht="14.1" customHeight="1" x14ac:dyDescent="0.25">
      <c r="A40" s="61" t="s">
        <v>31</v>
      </c>
      <c r="B40" s="6">
        <v>131</v>
      </c>
      <c r="C40" s="5">
        <v>0.15108179176085251</v>
      </c>
      <c r="D40" s="5"/>
      <c r="E40" s="6">
        <v>120</v>
      </c>
      <c r="F40" s="5">
        <v>0.14074430278791006</v>
      </c>
      <c r="G40" s="6">
        <v>9</v>
      </c>
      <c r="H40" s="6">
        <v>9</v>
      </c>
      <c r="I40" s="5">
        <v>0.67822155237377535</v>
      </c>
      <c r="J40" s="5"/>
      <c r="K40" s="97">
        <v>2</v>
      </c>
      <c r="L40" s="98">
        <v>1.6666666666666667</v>
      </c>
      <c r="M40" s="5"/>
      <c r="N40" s="98"/>
      <c r="O40" s="98"/>
      <c r="P40" s="120"/>
      <c r="Q40" s="133"/>
      <c r="R40" s="133"/>
      <c r="S40" s="133"/>
      <c r="T40" s="133"/>
      <c r="U40" s="133"/>
      <c r="V40" s="133"/>
      <c r="W40" s="120"/>
      <c r="X40" s="120"/>
      <c r="Y40" s="117"/>
      <c r="Z40" s="146"/>
      <c r="AA40" s="146"/>
      <c r="AB40" s="146"/>
      <c r="AC40" s="142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1:38" ht="14.1" customHeight="1" x14ac:dyDescent="0.25">
      <c r="A41" s="61" t="s">
        <v>32</v>
      </c>
      <c r="B41" s="6">
        <v>5780</v>
      </c>
      <c r="C41" s="5">
        <v>6.5660515754025006</v>
      </c>
      <c r="D41" s="5"/>
      <c r="E41" s="6">
        <v>5523</v>
      </c>
      <c r="F41" s="5">
        <v>6.4777565358135618</v>
      </c>
      <c r="G41" s="6">
        <v>243</v>
      </c>
      <c r="H41" s="6">
        <v>243</v>
      </c>
      <c r="I41" s="5">
        <v>18.311981914091938</v>
      </c>
      <c r="J41" s="5"/>
      <c r="K41" s="97">
        <v>14</v>
      </c>
      <c r="L41" s="98">
        <v>11.666666666666666</v>
      </c>
      <c r="M41" s="5"/>
      <c r="N41" s="98"/>
      <c r="O41" s="98"/>
      <c r="P41" s="120"/>
      <c r="Q41" s="133"/>
      <c r="R41" s="133"/>
      <c r="S41" s="133"/>
      <c r="T41" s="133"/>
      <c r="U41" s="133"/>
      <c r="V41" s="133"/>
      <c r="W41" s="120"/>
      <c r="X41" s="120"/>
      <c r="Y41" s="117"/>
      <c r="Z41" s="146"/>
      <c r="AA41" s="146"/>
      <c r="AB41" s="146"/>
      <c r="AC41" s="142"/>
      <c r="AD41" s="39"/>
      <c r="AE41" s="39"/>
      <c r="AF41" s="39"/>
      <c r="AG41" s="39"/>
      <c r="AH41" s="39"/>
      <c r="AI41" s="39"/>
      <c r="AJ41" s="39"/>
      <c r="AK41" s="39"/>
      <c r="AL41" s="39"/>
    </row>
    <row r="42" spans="1:38" ht="14.1" customHeight="1" x14ac:dyDescent="0.25">
      <c r="A42" s="61" t="s">
        <v>33</v>
      </c>
      <c r="B42" s="6">
        <v>39423</v>
      </c>
      <c r="C42" s="5">
        <v>45.466392951054111</v>
      </c>
      <c r="D42" s="5"/>
      <c r="E42" s="6">
        <v>38794</v>
      </c>
      <c r="F42" s="5">
        <v>45.500287352951524</v>
      </c>
      <c r="G42" s="6">
        <v>571</v>
      </c>
      <c r="H42" s="6">
        <v>571</v>
      </c>
      <c r="I42" s="5">
        <v>43.029389600602862</v>
      </c>
      <c r="J42" s="5"/>
      <c r="K42" s="97">
        <v>58</v>
      </c>
      <c r="L42" s="98">
        <v>48.433333333333337</v>
      </c>
      <c r="M42" s="5"/>
      <c r="N42" s="98"/>
      <c r="O42" s="98"/>
      <c r="P42" s="120"/>
      <c r="Q42" s="133"/>
      <c r="R42" s="133"/>
      <c r="S42" s="133"/>
      <c r="T42" s="133"/>
      <c r="U42" s="133"/>
      <c r="V42" s="133"/>
      <c r="W42" s="120"/>
      <c r="X42" s="120"/>
      <c r="Y42" s="117"/>
      <c r="Z42" s="146"/>
      <c r="AA42" s="146"/>
      <c r="AB42" s="146"/>
      <c r="AC42" s="142"/>
      <c r="AD42" s="39"/>
      <c r="AE42" s="39"/>
      <c r="AF42" s="39"/>
      <c r="AG42" s="39"/>
      <c r="AH42" s="39"/>
      <c r="AI42" s="39"/>
      <c r="AJ42" s="39"/>
      <c r="AK42" s="39"/>
      <c r="AL42" s="39"/>
    </row>
    <row r="43" spans="1:38" ht="14.1" customHeight="1" x14ac:dyDescent="0.25">
      <c r="A43" s="61" t="s">
        <v>34</v>
      </c>
      <c r="B43" s="6">
        <v>4887</v>
      </c>
      <c r="C43" s="5">
        <v>5.6361581399640173</v>
      </c>
      <c r="D43" s="5"/>
      <c r="E43" s="6">
        <v>4713</v>
      </c>
      <c r="F43" s="5">
        <v>5.5277324919951676</v>
      </c>
      <c r="G43" s="6">
        <v>167</v>
      </c>
      <c r="H43" s="6">
        <v>167</v>
      </c>
      <c r="I43" s="5">
        <v>12.584777694046723</v>
      </c>
      <c r="J43" s="5"/>
      <c r="K43" s="97">
        <v>7</v>
      </c>
      <c r="L43" s="98">
        <v>5.833333333333333</v>
      </c>
      <c r="M43" s="5"/>
      <c r="N43" s="98"/>
      <c r="O43" s="98"/>
      <c r="P43" s="120"/>
      <c r="Q43" s="133"/>
      <c r="R43" s="133"/>
      <c r="S43" s="133"/>
      <c r="T43" s="133"/>
      <c r="U43" s="133"/>
      <c r="V43" s="133"/>
      <c r="W43" s="120"/>
      <c r="X43" s="120"/>
      <c r="Y43" s="117"/>
      <c r="Z43" s="146"/>
      <c r="AA43" s="146"/>
      <c r="AB43" s="146"/>
      <c r="AC43" s="142"/>
      <c r="AD43" s="39"/>
      <c r="AE43" s="39"/>
      <c r="AF43" s="39"/>
      <c r="AG43" s="39"/>
      <c r="AH43" s="39"/>
      <c r="AI43" s="39"/>
      <c r="AJ43" s="39"/>
      <c r="AK43" s="39"/>
      <c r="AL43" s="39"/>
    </row>
    <row r="44" spans="1:38" ht="14.1" customHeight="1" x14ac:dyDescent="0.25">
      <c r="A44" s="61" t="s">
        <v>68</v>
      </c>
      <c r="B44" s="6">
        <v>1008</v>
      </c>
      <c r="C44" s="5">
        <v>1.162522489274346</v>
      </c>
      <c r="D44" s="5"/>
      <c r="E44" s="6">
        <v>1001</v>
      </c>
      <c r="F44" s="5">
        <v>1.1740420590891498</v>
      </c>
      <c r="G44" s="6">
        <v>6</v>
      </c>
      <c r="H44" s="6">
        <v>6</v>
      </c>
      <c r="I44" s="5">
        <v>0.45214770158251694</v>
      </c>
      <c r="J44" s="5"/>
      <c r="K44" s="97">
        <v>1</v>
      </c>
      <c r="L44" s="98">
        <v>0.83333333333333337</v>
      </c>
      <c r="M44" s="5"/>
      <c r="N44" s="98"/>
      <c r="O44" s="98"/>
      <c r="P44" s="120"/>
      <c r="Q44" s="133"/>
      <c r="R44" s="133"/>
      <c r="S44" s="133"/>
      <c r="T44" s="133"/>
      <c r="U44" s="133"/>
      <c r="V44" s="133"/>
      <c r="W44" s="120"/>
      <c r="X44" s="120"/>
      <c r="Y44" s="117"/>
      <c r="Z44" s="146"/>
      <c r="AA44" s="146"/>
      <c r="AB44" s="146"/>
      <c r="AC44" s="142"/>
      <c r="AD44" s="39"/>
      <c r="AE44" s="39"/>
      <c r="AF44" s="39"/>
      <c r="AG44" s="39"/>
      <c r="AH44" s="39"/>
      <c r="AI44" s="39"/>
      <c r="AJ44" s="39"/>
      <c r="AK44" s="39"/>
      <c r="AL44" s="39"/>
    </row>
    <row r="45" spans="1:38" ht="14.1" customHeight="1" x14ac:dyDescent="0.25">
      <c r="A45" s="61" t="s">
        <v>69</v>
      </c>
      <c r="B45" s="6">
        <v>9467</v>
      </c>
      <c r="C45" s="5">
        <v>10.918254370992296</v>
      </c>
      <c r="D45" s="5"/>
      <c r="E45" s="6">
        <v>9456</v>
      </c>
      <c r="F45" s="98">
        <v>11.090651059687314</v>
      </c>
      <c r="G45" s="6">
        <v>11</v>
      </c>
      <c r="H45" s="6">
        <v>11</v>
      </c>
      <c r="I45" s="5">
        <v>0.82893745290128118</v>
      </c>
      <c r="J45" s="5"/>
      <c r="K45" s="97">
        <v>0</v>
      </c>
      <c r="L45" s="98">
        <v>0</v>
      </c>
      <c r="M45" s="5"/>
      <c r="N45" s="98"/>
      <c r="O45" s="98"/>
      <c r="P45" s="120"/>
      <c r="Q45" s="133"/>
      <c r="R45" s="133"/>
      <c r="S45" s="133"/>
      <c r="T45" s="133"/>
      <c r="U45" s="133"/>
      <c r="V45" s="133"/>
      <c r="W45" s="120"/>
      <c r="X45" s="120"/>
      <c r="Y45" s="117"/>
      <c r="Z45" s="146"/>
      <c r="AA45" s="146"/>
      <c r="AB45" s="146"/>
      <c r="AC45" s="142"/>
      <c r="AD45" s="39"/>
      <c r="AE45" s="39"/>
      <c r="AF45" s="39"/>
      <c r="AG45" s="39"/>
      <c r="AH45" s="39"/>
      <c r="AI45" s="39"/>
      <c r="AJ45" s="39"/>
      <c r="AK45" s="39"/>
      <c r="AL45" s="39"/>
    </row>
    <row r="46" spans="1:38" ht="14.1" customHeight="1" x14ac:dyDescent="0.25">
      <c r="A46" s="61" t="s">
        <v>35</v>
      </c>
      <c r="B46" s="6">
        <v>1345</v>
      </c>
      <c r="C46" s="5">
        <v>1.55118328181944</v>
      </c>
      <c r="D46" s="5"/>
      <c r="E46" s="6">
        <v>1338</v>
      </c>
      <c r="F46" s="98">
        <v>1.4692989760851971</v>
      </c>
      <c r="G46" s="6">
        <v>7</v>
      </c>
      <c r="H46" s="6">
        <v>7</v>
      </c>
      <c r="I46" s="5">
        <v>0.52750565184626974</v>
      </c>
      <c r="J46" s="5"/>
      <c r="K46" s="97">
        <v>0</v>
      </c>
      <c r="L46" s="98">
        <v>0</v>
      </c>
      <c r="M46" s="5"/>
      <c r="N46" s="98"/>
      <c r="O46" s="98"/>
      <c r="P46" s="120"/>
      <c r="Q46" s="133"/>
      <c r="R46" s="133"/>
      <c r="S46" s="133"/>
      <c r="T46" s="133"/>
      <c r="U46" s="133"/>
      <c r="V46" s="133"/>
      <c r="W46" s="120"/>
      <c r="X46" s="120"/>
      <c r="Y46" s="117"/>
      <c r="Z46" s="146"/>
      <c r="AA46" s="146"/>
      <c r="AB46" s="146"/>
      <c r="AC46" s="142"/>
      <c r="AD46" s="39"/>
      <c r="AE46" s="39"/>
      <c r="AF46" s="39"/>
      <c r="AG46" s="39"/>
      <c r="AH46" s="39"/>
      <c r="AI46" s="39"/>
      <c r="AJ46" s="39"/>
      <c r="AK46" s="39"/>
      <c r="AL46" s="39"/>
    </row>
    <row r="47" spans="1:38" ht="14.1" customHeight="1" x14ac:dyDescent="0.25">
      <c r="A47" s="61" t="s">
        <v>36</v>
      </c>
      <c r="B47" s="6">
        <v>7035</v>
      </c>
      <c r="C47" s="98">
        <v>8.113438206393873</v>
      </c>
      <c r="D47" s="98"/>
      <c r="E47" s="97">
        <v>6950</v>
      </c>
      <c r="F47" s="98">
        <v>8.1514408697997904</v>
      </c>
      <c r="G47" s="97">
        <v>79</v>
      </c>
      <c r="H47" s="97">
        <v>79</v>
      </c>
      <c r="I47" s="98">
        <v>5.9532780708364736</v>
      </c>
      <c r="J47" s="5"/>
      <c r="K47" s="97">
        <v>6</v>
      </c>
      <c r="L47" s="98">
        <v>5</v>
      </c>
      <c r="M47" s="5"/>
      <c r="N47" s="98"/>
      <c r="O47" s="98"/>
      <c r="P47" s="120"/>
      <c r="Q47" s="133"/>
      <c r="R47" s="133"/>
      <c r="S47" s="133"/>
      <c r="T47" s="133"/>
      <c r="U47" s="133"/>
      <c r="V47" s="133"/>
      <c r="W47" s="120"/>
      <c r="X47" s="120"/>
      <c r="Y47" s="117"/>
      <c r="Z47" s="146"/>
      <c r="AA47" s="146"/>
      <c r="AB47" s="146"/>
      <c r="AC47" s="142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1:38" ht="14.1" customHeight="1" x14ac:dyDescent="0.25">
      <c r="A48" s="61" t="s">
        <v>37</v>
      </c>
      <c r="B48" s="6">
        <v>9848</v>
      </c>
      <c r="C48" s="98">
        <v>11.257660192831111</v>
      </c>
      <c r="D48" s="98"/>
      <c r="E48" s="97">
        <v>9786</v>
      </c>
      <c r="F48" s="98">
        <v>11.477697892354065</v>
      </c>
      <c r="G48" s="97">
        <v>58</v>
      </c>
      <c r="H48" s="97">
        <v>58</v>
      </c>
      <c r="I48" s="98">
        <v>4.2707611152976641</v>
      </c>
      <c r="J48" s="5"/>
      <c r="K48" s="97">
        <v>4</v>
      </c>
      <c r="L48" s="98">
        <v>3.3333333333333335</v>
      </c>
      <c r="M48" s="5"/>
      <c r="N48" s="98"/>
      <c r="O48" s="98"/>
      <c r="P48" s="120"/>
      <c r="Q48" s="133"/>
      <c r="R48" s="133"/>
      <c r="S48" s="133"/>
      <c r="T48" s="133"/>
      <c r="U48" s="133"/>
      <c r="V48" s="133"/>
      <c r="W48" s="120"/>
      <c r="X48" s="120"/>
      <c r="Y48" s="117"/>
      <c r="Z48" s="146"/>
      <c r="AA48" s="146"/>
      <c r="AB48" s="146"/>
      <c r="AC48" s="142"/>
      <c r="AD48" s="39"/>
      <c r="AE48" s="39"/>
      <c r="AF48" s="39"/>
      <c r="AG48" s="39"/>
      <c r="AH48" s="39"/>
      <c r="AI48" s="39"/>
      <c r="AJ48" s="39"/>
      <c r="AK48" s="39"/>
      <c r="AL48" s="39"/>
    </row>
    <row r="49" spans="1:38" ht="14.1" customHeight="1" x14ac:dyDescent="0.25">
      <c r="A49" s="61"/>
      <c r="B49" s="6"/>
      <c r="C49" s="5"/>
      <c r="D49" s="5"/>
      <c r="E49" s="6"/>
      <c r="F49" s="5"/>
      <c r="G49" s="5"/>
      <c r="H49" s="6"/>
      <c r="I49" s="5"/>
      <c r="J49" s="5"/>
      <c r="K49" s="6"/>
      <c r="L49" s="5"/>
      <c r="M49" s="5"/>
      <c r="N49" s="98"/>
      <c r="O49" s="98"/>
      <c r="P49" s="120"/>
      <c r="Q49" s="133"/>
      <c r="R49" s="133"/>
      <c r="S49" s="133"/>
      <c r="T49" s="133"/>
      <c r="U49" s="133"/>
      <c r="V49" s="133"/>
      <c r="W49" s="120"/>
      <c r="X49" s="120"/>
      <c r="Y49" s="118"/>
      <c r="Z49" s="118"/>
      <c r="AA49" s="118"/>
      <c r="AB49" s="118"/>
      <c r="AC49" s="142"/>
      <c r="AD49" s="39"/>
      <c r="AE49" s="39"/>
      <c r="AF49" s="39"/>
      <c r="AG49" s="39"/>
      <c r="AH49" s="39"/>
      <c r="AI49" s="39"/>
      <c r="AJ49" s="39"/>
      <c r="AK49" s="39"/>
      <c r="AL49" s="39"/>
    </row>
    <row r="50" spans="1:38" s="35" customFormat="1" ht="14.1" customHeight="1" x14ac:dyDescent="0.25">
      <c r="A50" s="62" t="s">
        <v>58</v>
      </c>
      <c r="B50" s="9">
        <v>30711</v>
      </c>
      <c r="C50" s="15">
        <v>100</v>
      </c>
      <c r="D50" s="15"/>
      <c r="E50" s="9">
        <v>30212</v>
      </c>
      <c r="F50" s="15">
        <v>100</v>
      </c>
      <c r="G50" s="15"/>
      <c r="H50" s="9">
        <v>455</v>
      </c>
      <c r="I50" s="15">
        <v>100</v>
      </c>
      <c r="J50" s="15"/>
      <c r="K50" s="9">
        <v>44</v>
      </c>
      <c r="L50" s="15">
        <v>100</v>
      </c>
      <c r="M50" s="15"/>
      <c r="N50" s="96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17"/>
      <c r="Z50" s="146"/>
      <c r="AA50" s="146"/>
      <c r="AB50" s="146"/>
      <c r="AC50" s="142"/>
      <c r="AD50" s="39"/>
      <c r="AE50" s="39"/>
      <c r="AF50" s="39"/>
      <c r="AG50" s="39"/>
      <c r="AH50" s="39"/>
      <c r="AI50" s="39"/>
      <c r="AJ50" s="39"/>
      <c r="AK50" s="39"/>
      <c r="AL50" s="39"/>
    </row>
    <row r="51" spans="1:38" ht="14.1" customHeight="1" x14ac:dyDescent="0.25">
      <c r="A51" s="61" t="s">
        <v>57</v>
      </c>
      <c r="B51" s="6">
        <v>1024</v>
      </c>
      <c r="C51" s="5">
        <v>3.3343101820194718</v>
      </c>
      <c r="D51" s="5"/>
      <c r="E51" s="6">
        <v>1018</v>
      </c>
      <c r="F51" s="5">
        <v>3.3695220442208393</v>
      </c>
      <c r="G51" s="5"/>
      <c r="H51" s="6">
        <v>4</v>
      </c>
      <c r="I51" s="5">
        <v>0.87912087912087911</v>
      </c>
      <c r="J51" s="5"/>
      <c r="K51" s="6">
        <v>2</v>
      </c>
      <c r="L51" s="5">
        <v>4.5454545454545459</v>
      </c>
      <c r="M51" s="5"/>
      <c r="N51" s="98"/>
      <c r="O51" s="98"/>
      <c r="P51" s="120"/>
      <c r="Q51" s="133"/>
      <c r="R51" s="133"/>
      <c r="S51" s="133"/>
      <c r="T51" s="133"/>
      <c r="U51" s="133"/>
      <c r="V51" s="133"/>
      <c r="W51" s="120"/>
      <c r="X51" s="120"/>
      <c r="Y51" s="117"/>
      <c r="Z51" s="146"/>
      <c r="AA51" s="146"/>
      <c r="AB51" s="146"/>
      <c r="AC51" s="142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ht="14.1" customHeight="1" x14ac:dyDescent="0.25">
      <c r="A52" s="61" t="s">
        <v>29</v>
      </c>
      <c r="B52" s="6">
        <v>1525</v>
      </c>
      <c r="C52" s="5">
        <v>4.965647487870795</v>
      </c>
      <c r="D52" s="5"/>
      <c r="E52" s="6">
        <v>1505</v>
      </c>
      <c r="F52" s="5">
        <v>4.9814643188137167</v>
      </c>
      <c r="G52" s="5"/>
      <c r="H52" s="6">
        <v>20</v>
      </c>
      <c r="I52" s="5">
        <v>4.395604395604396</v>
      </c>
      <c r="J52" s="5"/>
      <c r="K52" s="3" t="s">
        <v>96</v>
      </c>
      <c r="L52" s="3" t="s">
        <v>96</v>
      </c>
      <c r="M52" s="5"/>
      <c r="N52" s="98"/>
      <c r="O52" s="98"/>
      <c r="P52" s="120"/>
      <c r="Q52" s="133"/>
      <c r="R52" s="133"/>
      <c r="S52" s="133"/>
      <c r="T52" s="133"/>
      <c r="U52" s="133"/>
      <c r="V52" s="133"/>
      <c r="W52" s="120"/>
      <c r="X52" s="120"/>
      <c r="Y52" s="118"/>
      <c r="Z52" s="118"/>
      <c r="AA52" s="118"/>
      <c r="AB52" s="118"/>
      <c r="AC52" s="142"/>
      <c r="AD52" s="39"/>
      <c r="AE52" s="39"/>
      <c r="AF52" s="39"/>
      <c r="AG52" s="39"/>
      <c r="AH52" s="39"/>
      <c r="AI52" s="39"/>
      <c r="AJ52" s="39"/>
      <c r="AK52" s="39"/>
      <c r="AL52" s="39"/>
    </row>
    <row r="53" spans="1:38" ht="14.1" customHeight="1" x14ac:dyDescent="0.25">
      <c r="A53" s="61" t="s">
        <v>30</v>
      </c>
      <c r="B53" s="6">
        <v>1950</v>
      </c>
      <c r="C53" s="5">
        <v>6.3495164599003617</v>
      </c>
      <c r="D53" s="5"/>
      <c r="E53" s="6">
        <v>1936</v>
      </c>
      <c r="F53" s="5">
        <v>6.4080497815437578</v>
      </c>
      <c r="G53" s="5"/>
      <c r="H53" s="6">
        <v>12</v>
      </c>
      <c r="I53" s="5">
        <v>2.6373626373626373</v>
      </c>
      <c r="J53" s="5"/>
      <c r="K53" s="3">
        <v>2</v>
      </c>
      <c r="L53" s="16">
        <v>4.5454545454545459</v>
      </c>
      <c r="M53" s="5"/>
      <c r="N53" s="98"/>
      <c r="O53" s="98"/>
      <c r="P53" s="120"/>
      <c r="Q53" s="133"/>
      <c r="R53" s="133"/>
      <c r="S53" s="133"/>
      <c r="T53" s="133"/>
      <c r="U53" s="133"/>
      <c r="V53" s="133"/>
      <c r="W53" s="120"/>
      <c r="X53" s="120"/>
      <c r="Y53" s="117"/>
      <c r="Z53" s="117"/>
      <c r="AA53" s="117"/>
      <c r="AB53" s="117"/>
      <c r="AC53" s="142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ht="14.1" customHeight="1" x14ac:dyDescent="0.25">
      <c r="A54" s="61" t="s">
        <v>31</v>
      </c>
      <c r="B54" s="6">
        <v>43</v>
      </c>
      <c r="C54" s="5">
        <v>0.1400149783465208</v>
      </c>
      <c r="D54" s="5"/>
      <c r="E54" s="6">
        <v>41</v>
      </c>
      <c r="F54" s="5">
        <v>0.13570766582814775</v>
      </c>
      <c r="G54" s="5"/>
      <c r="H54" s="6">
        <v>2</v>
      </c>
      <c r="I54" s="5">
        <v>0.43956043956043955</v>
      </c>
      <c r="J54" s="5"/>
      <c r="K54" s="3" t="s">
        <v>96</v>
      </c>
      <c r="L54" s="3" t="s">
        <v>96</v>
      </c>
      <c r="M54" s="5"/>
      <c r="N54" s="98"/>
      <c r="O54" s="98"/>
      <c r="P54" s="120"/>
      <c r="Q54" s="133"/>
      <c r="R54" s="133"/>
      <c r="S54" s="133"/>
      <c r="T54" s="133"/>
      <c r="U54" s="133"/>
      <c r="V54" s="133"/>
      <c r="W54" s="120"/>
      <c r="X54" s="120"/>
      <c r="Y54" s="117"/>
      <c r="Z54" s="146"/>
      <c r="AA54" s="146"/>
      <c r="AB54" s="146"/>
      <c r="AC54" s="142"/>
      <c r="AD54" s="39"/>
      <c r="AE54" s="39"/>
      <c r="AF54" s="39"/>
      <c r="AG54" s="39"/>
      <c r="AH54" s="39"/>
      <c r="AI54" s="39"/>
      <c r="AJ54" s="39"/>
      <c r="AK54" s="39"/>
      <c r="AL54" s="39"/>
    </row>
    <row r="55" spans="1:38" ht="14.1" customHeight="1" x14ac:dyDescent="0.25">
      <c r="A55" s="61" t="s">
        <v>32</v>
      </c>
      <c r="B55" s="6">
        <v>1252</v>
      </c>
      <c r="C55" s="5">
        <v>4.0767151834847448</v>
      </c>
      <c r="D55" s="5"/>
      <c r="E55" s="6">
        <v>1184</v>
      </c>
      <c r="F55" s="5">
        <v>3.9189725936713891</v>
      </c>
      <c r="G55" s="5"/>
      <c r="H55" s="6">
        <v>66</v>
      </c>
      <c r="I55" s="5">
        <v>14.505494505494507</v>
      </c>
      <c r="J55" s="5"/>
      <c r="K55" s="6">
        <v>2</v>
      </c>
      <c r="L55" s="5">
        <v>4.5454545454545459</v>
      </c>
      <c r="M55" s="5"/>
      <c r="N55" s="98"/>
      <c r="O55" s="98"/>
      <c r="P55" s="120"/>
      <c r="Q55" s="133"/>
      <c r="R55" s="133"/>
      <c r="S55" s="133"/>
      <c r="T55" s="133"/>
      <c r="U55" s="133"/>
      <c r="V55" s="133"/>
      <c r="W55" s="120"/>
      <c r="X55" s="120"/>
      <c r="Y55" s="117"/>
      <c r="Z55" s="146"/>
      <c r="AA55" s="146"/>
      <c r="AB55" s="146"/>
      <c r="AC55" s="142"/>
      <c r="AD55" s="39"/>
      <c r="AE55" s="39"/>
      <c r="AF55" s="39"/>
      <c r="AG55" s="39"/>
      <c r="AH55" s="39"/>
      <c r="AI55" s="39"/>
      <c r="AJ55" s="39"/>
      <c r="AK55" s="39"/>
      <c r="AL55" s="39"/>
    </row>
    <row r="56" spans="1:38" ht="14.1" customHeight="1" x14ac:dyDescent="0.25">
      <c r="A56" s="61" t="s">
        <v>33</v>
      </c>
      <c r="B56" s="6">
        <v>11579</v>
      </c>
      <c r="C56" s="5">
        <v>37.703103122659634</v>
      </c>
      <c r="D56" s="5"/>
      <c r="E56" s="6">
        <v>11321</v>
      </c>
      <c r="F56" s="5">
        <v>37.471865483913675</v>
      </c>
      <c r="G56" s="5"/>
      <c r="H56" s="6">
        <v>232</v>
      </c>
      <c r="I56" s="5">
        <v>50.989010989010985</v>
      </c>
      <c r="J56" s="5"/>
      <c r="K56" s="6">
        <v>26</v>
      </c>
      <c r="L56" s="5">
        <v>59.090909090909093</v>
      </c>
      <c r="M56" s="5"/>
      <c r="N56" s="98"/>
      <c r="O56" s="98"/>
      <c r="P56" s="120"/>
      <c r="Q56" s="133"/>
      <c r="R56" s="133"/>
      <c r="S56" s="133"/>
      <c r="T56" s="133"/>
      <c r="U56" s="133"/>
      <c r="V56" s="133"/>
      <c r="W56" s="120"/>
      <c r="X56" s="120"/>
      <c r="Y56" s="117"/>
      <c r="Z56" s="146"/>
      <c r="AA56" s="146"/>
      <c r="AB56" s="146"/>
      <c r="AC56" s="142"/>
      <c r="AD56" s="39"/>
      <c r="AE56" s="39"/>
      <c r="AF56" s="39"/>
      <c r="AG56" s="39"/>
      <c r="AH56" s="39"/>
      <c r="AI56" s="39"/>
      <c r="AJ56" s="39"/>
      <c r="AK56" s="39"/>
      <c r="AL56" s="39"/>
    </row>
    <row r="57" spans="1:38" ht="14.1" customHeight="1" x14ac:dyDescent="0.25">
      <c r="A57" s="61" t="s">
        <v>34</v>
      </c>
      <c r="B57" s="6">
        <v>2565</v>
      </c>
      <c r="C57" s="5">
        <v>8.3520562664843219</v>
      </c>
      <c r="D57" s="5"/>
      <c r="E57" s="6">
        <v>2497</v>
      </c>
      <c r="F57" s="5">
        <v>8.2649278432410966</v>
      </c>
      <c r="G57" s="5"/>
      <c r="H57" s="6">
        <v>63</v>
      </c>
      <c r="I57" s="5">
        <v>13.846153846153847</v>
      </c>
      <c r="J57" s="5"/>
      <c r="K57" s="6">
        <v>5</v>
      </c>
      <c r="L57" s="5">
        <v>11.363636363636363</v>
      </c>
      <c r="M57" s="5"/>
      <c r="N57" s="98"/>
      <c r="O57" s="98"/>
      <c r="P57" s="120"/>
      <c r="Q57" s="133"/>
      <c r="R57" s="133"/>
      <c r="S57" s="133"/>
      <c r="T57" s="133"/>
      <c r="U57" s="133"/>
      <c r="V57" s="133"/>
      <c r="W57" s="120"/>
      <c r="X57" s="120"/>
      <c r="Y57" s="117"/>
      <c r="Z57" s="146"/>
      <c r="AA57" s="146"/>
      <c r="AB57" s="146"/>
      <c r="AC57" s="142"/>
      <c r="AD57" s="39"/>
      <c r="AE57" s="39"/>
      <c r="AF57" s="39"/>
      <c r="AG57" s="39"/>
      <c r="AH57" s="39"/>
      <c r="AI57" s="39"/>
      <c r="AJ57" s="39"/>
      <c r="AK57" s="39"/>
      <c r="AL57" s="39"/>
    </row>
    <row r="58" spans="1:38" ht="14.1" customHeight="1" x14ac:dyDescent="0.25">
      <c r="A58" s="61" t="s">
        <v>68</v>
      </c>
      <c r="B58" s="6">
        <v>789</v>
      </c>
      <c r="C58" s="98">
        <v>2.5691120445442999</v>
      </c>
      <c r="D58" s="98"/>
      <c r="E58" s="97">
        <v>786</v>
      </c>
      <c r="F58" s="98">
        <v>2.6016152522176617</v>
      </c>
      <c r="G58" s="98"/>
      <c r="H58" s="97">
        <v>3</v>
      </c>
      <c r="I58" s="98">
        <v>0.65934065934065933</v>
      </c>
      <c r="J58" s="98"/>
      <c r="K58" s="89" t="s">
        <v>96</v>
      </c>
      <c r="L58" s="89" t="s">
        <v>96</v>
      </c>
      <c r="M58" s="6"/>
      <c r="N58" s="97"/>
      <c r="O58" s="98"/>
      <c r="P58" s="120"/>
      <c r="Q58" s="133"/>
      <c r="R58" s="133"/>
      <c r="S58" s="133"/>
      <c r="T58" s="133"/>
      <c r="U58" s="133"/>
      <c r="V58" s="133"/>
      <c r="W58" s="120"/>
      <c r="X58" s="120"/>
      <c r="Y58" s="117"/>
      <c r="Z58" s="146"/>
      <c r="AA58" s="146"/>
      <c r="AB58" s="146"/>
      <c r="AC58" s="142"/>
      <c r="AD58" s="39"/>
      <c r="AE58" s="39"/>
      <c r="AF58" s="39"/>
      <c r="AG58" s="39"/>
      <c r="AH58" s="39"/>
      <c r="AI58" s="39"/>
      <c r="AJ58" s="39"/>
      <c r="AK58" s="39"/>
      <c r="AL58" s="39"/>
    </row>
    <row r="59" spans="1:38" ht="14.1" customHeight="1" x14ac:dyDescent="0.25">
      <c r="A59" s="61" t="s">
        <v>69</v>
      </c>
      <c r="B59" s="6">
        <v>2846</v>
      </c>
      <c r="C59" s="98">
        <v>9.1670378691673999</v>
      </c>
      <c r="D59" s="98"/>
      <c r="E59" s="97">
        <v>2842</v>
      </c>
      <c r="F59" s="98">
        <v>9.406858202038924</v>
      </c>
      <c r="G59" s="98"/>
      <c r="H59" s="97">
        <v>4</v>
      </c>
      <c r="I59" s="98">
        <v>0.87912087912087911</v>
      </c>
      <c r="J59" s="98"/>
      <c r="K59" s="89" t="s">
        <v>96</v>
      </c>
      <c r="L59" s="89" t="s">
        <v>96</v>
      </c>
      <c r="M59" s="5"/>
      <c r="N59" s="98"/>
      <c r="O59" s="98"/>
      <c r="P59" s="120"/>
      <c r="Q59" s="133"/>
      <c r="R59" s="133"/>
      <c r="S59" s="133"/>
      <c r="T59" s="133"/>
      <c r="U59" s="133"/>
      <c r="V59" s="133"/>
      <c r="W59" s="120"/>
      <c r="X59" s="120"/>
      <c r="Y59" s="117"/>
      <c r="Z59" s="146"/>
      <c r="AA59" s="146"/>
      <c r="AB59" s="146"/>
      <c r="AC59" s="142"/>
      <c r="AD59" s="39"/>
      <c r="AE59" s="39"/>
      <c r="AF59" s="39"/>
      <c r="AG59" s="39"/>
      <c r="AH59" s="39"/>
      <c r="AI59" s="39"/>
      <c r="AJ59" s="39"/>
      <c r="AK59" s="39"/>
      <c r="AL59" s="39"/>
    </row>
    <row r="60" spans="1:38" ht="14.1" customHeight="1" x14ac:dyDescent="0.25">
      <c r="A60" s="61" t="s">
        <v>35</v>
      </c>
      <c r="B60" s="6">
        <v>456</v>
      </c>
      <c r="C60" s="98">
        <v>1.484810002930546</v>
      </c>
      <c r="D60" s="98"/>
      <c r="E60" s="97">
        <v>452</v>
      </c>
      <c r="F60" s="98">
        <v>1.4960942671786044</v>
      </c>
      <c r="G60" s="98"/>
      <c r="H60" s="97">
        <v>3</v>
      </c>
      <c r="I60" s="98">
        <v>0.65934065934065933</v>
      </c>
      <c r="J60" s="98"/>
      <c r="K60" s="97">
        <v>1</v>
      </c>
      <c r="L60" s="98">
        <v>2.372727272727273</v>
      </c>
      <c r="M60" s="5"/>
      <c r="N60" s="98"/>
      <c r="O60" s="98"/>
      <c r="P60" s="120"/>
      <c r="Q60" s="133"/>
      <c r="R60" s="133"/>
      <c r="S60" s="133"/>
      <c r="T60" s="133"/>
      <c r="U60" s="133"/>
      <c r="V60" s="133"/>
      <c r="W60" s="120"/>
      <c r="X60" s="120"/>
      <c r="Y60" s="117"/>
      <c r="Z60" s="146"/>
      <c r="AA60" s="146"/>
      <c r="AB60" s="146"/>
      <c r="AC60" s="142"/>
      <c r="AD60" s="39"/>
      <c r="AE60" s="39"/>
      <c r="AF60" s="39"/>
      <c r="AG60" s="39"/>
      <c r="AH60" s="39"/>
      <c r="AI60" s="39"/>
      <c r="AJ60" s="39"/>
      <c r="AK60" s="39"/>
      <c r="AL60" s="39"/>
    </row>
    <row r="61" spans="1:38" ht="14.1" customHeight="1" x14ac:dyDescent="0.25">
      <c r="A61" s="61" t="s">
        <v>36</v>
      </c>
      <c r="B61" s="6">
        <v>3124</v>
      </c>
      <c r="C61" s="98">
        <v>10.172250984989093</v>
      </c>
      <c r="D61" s="98"/>
      <c r="E61" s="97">
        <v>3083</v>
      </c>
      <c r="F61" s="98">
        <v>10.204554481662916</v>
      </c>
      <c r="G61" s="98"/>
      <c r="H61" s="97">
        <v>39</v>
      </c>
      <c r="I61" s="98">
        <v>8.5714285714285712</v>
      </c>
      <c r="J61" s="98"/>
      <c r="K61" s="97">
        <v>2</v>
      </c>
      <c r="L61" s="98">
        <v>4.5454545454545459</v>
      </c>
      <c r="M61" s="5"/>
      <c r="N61" s="98"/>
      <c r="O61" s="98"/>
      <c r="P61" s="120"/>
      <c r="Q61" s="133"/>
      <c r="R61" s="133"/>
      <c r="S61" s="133"/>
      <c r="T61" s="133"/>
      <c r="U61" s="133"/>
      <c r="V61" s="133"/>
      <c r="W61" s="120"/>
      <c r="X61" s="120"/>
      <c r="Y61" s="117"/>
      <c r="Z61" s="146"/>
      <c r="AA61" s="146"/>
      <c r="AB61" s="146"/>
      <c r="AC61" s="142"/>
      <c r="AD61" s="39"/>
      <c r="AE61" s="39"/>
      <c r="AF61" s="39"/>
      <c r="AG61" s="39"/>
      <c r="AH61" s="39"/>
      <c r="AI61" s="39"/>
      <c r="AJ61" s="39"/>
      <c r="AK61" s="39"/>
      <c r="AL61" s="39"/>
    </row>
    <row r="62" spans="1:38" ht="14.1" customHeight="1" x14ac:dyDescent="0.25">
      <c r="A62" s="61" t="s">
        <v>37</v>
      </c>
      <c r="B62" s="6">
        <v>3558</v>
      </c>
      <c r="C62" s="5">
        <v>11.585425417602814</v>
      </c>
      <c r="D62" s="5"/>
      <c r="E62" s="6">
        <v>3547</v>
      </c>
      <c r="F62" s="5">
        <v>11.740368065669271</v>
      </c>
      <c r="G62" s="5"/>
      <c r="H62" s="6">
        <v>7</v>
      </c>
      <c r="I62" s="5">
        <v>1.5384615384615385</v>
      </c>
      <c r="J62" s="5"/>
      <c r="K62" s="6">
        <v>4</v>
      </c>
      <c r="L62" s="5">
        <v>9.0909090909090917</v>
      </c>
      <c r="M62" s="5"/>
      <c r="N62" s="98"/>
      <c r="O62" s="98"/>
      <c r="P62" s="120"/>
      <c r="Q62" s="133"/>
      <c r="R62" s="133"/>
      <c r="S62" s="133"/>
      <c r="T62" s="133"/>
      <c r="U62" s="133"/>
      <c r="V62" s="133"/>
      <c r="W62" s="120"/>
      <c r="X62" s="120"/>
      <c r="Y62" s="117"/>
      <c r="Z62" s="146"/>
      <c r="AA62" s="146"/>
      <c r="AB62" s="146"/>
      <c r="AC62" s="142"/>
      <c r="AD62" s="39"/>
      <c r="AE62" s="39"/>
      <c r="AF62" s="39"/>
      <c r="AG62" s="39"/>
      <c r="AH62" s="39"/>
      <c r="AI62" s="39"/>
      <c r="AJ62" s="39"/>
      <c r="AK62" s="39"/>
      <c r="AL62" s="39"/>
    </row>
    <row r="63" spans="1:38" ht="14.1" customHeight="1" x14ac:dyDescent="0.25">
      <c r="A63" s="61"/>
      <c r="B63" s="6"/>
      <c r="C63" s="5"/>
      <c r="D63" s="5"/>
      <c r="E63" s="6"/>
      <c r="F63" s="5"/>
      <c r="G63" s="5"/>
      <c r="H63" s="6"/>
      <c r="I63" s="5"/>
      <c r="J63" s="5"/>
      <c r="K63" s="6"/>
      <c r="L63" s="5"/>
      <c r="M63" s="5"/>
      <c r="N63" s="98"/>
      <c r="O63" s="98"/>
      <c r="P63" s="120"/>
      <c r="Q63" s="133"/>
      <c r="R63" s="133"/>
      <c r="S63" s="133"/>
      <c r="T63" s="133"/>
      <c r="U63" s="133"/>
      <c r="V63" s="133"/>
      <c r="W63" s="120"/>
      <c r="X63" s="120"/>
      <c r="Y63" s="118"/>
      <c r="Z63" s="118"/>
      <c r="AA63" s="118"/>
      <c r="AB63" s="118"/>
      <c r="AC63" s="142"/>
      <c r="AD63" s="39"/>
      <c r="AE63" s="39"/>
      <c r="AF63" s="39"/>
      <c r="AG63" s="39"/>
      <c r="AH63" s="39"/>
      <c r="AI63" s="39"/>
      <c r="AJ63" s="39"/>
      <c r="AK63" s="39"/>
      <c r="AL63" s="39"/>
    </row>
    <row r="64" spans="1:38" s="35" customFormat="1" ht="14.1" customHeight="1" x14ac:dyDescent="0.25">
      <c r="A64" s="62" t="s">
        <v>20</v>
      </c>
      <c r="B64" s="9">
        <v>164620</v>
      </c>
      <c r="C64" s="15">
        <v>100</v>
      </c>
      <c r="D64" s="15"/>
      <c r="E64" s="9">
        <v>161063</v>
      </c>
      <c r="F64" s="15">
        <v>100</v>
      </c>
      <c r="G64" s="15"/>
      <c r="H64" s="9">
        <v>3093</v>
      </c>
      <c r="I64" s="15">
        <v>100</v>
      </c>
      <c r="J64" s="15"/>
      <c r="K64" s="9">
        <v>464</v>
      </c>
      <c r="L64" s="15">
        <v>100</v>
      </c>
      <c r="M64" s="15"/>
      <c r="N64" s="96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117"/>
      <c r="Z64" s="146"/>
      <c r="AA64" s="146"/>
      <c r="AB64" s="146"/>
      <c r="AC64" s="142"/>
      <c r="AD64" s="39"/>
      <c r="AE64" s="39"/>
      <c r="AF64" s="39"/>
      <c r="AG64" s="39"/>
      <c r="AH64" s="39"/>
      <c r="AI64" s="39"/>
      <c r="AJ64" s="39"/>
      <c r="AK64" s="39"/>
      <c r="AL64" s="39"/>
    </row>
    <row r="65" spans="1:38" ht="14.1" customHeight="1" x14ac:dyDescent="0.25">
      <c r="A65" s="61" t="s">
        <v>57</v>
      </c>
      <c r="B65" s="6">
        <v>2615</v>
      </c>
      <c r="C65" s="98">
        <v>1.4885068642935244</v>
      </c>
      <c r="D65" s="5"/>
      <c r="E65" s="6">
        <v>2464</v>
      </c>
      <c r="F65" s="5">
        <v>1.5298361510713199</v>
      </c>
      <c r="G65" s="5"/>
      <c r="H65" s="6">
        <v>129</v>
      </c>
      <c r="I65" s="16">
        <v>4.1707080504364695</v>
      </c>
      <c r="J65" s="5"/>
      <c r="K65" s="6">
        <v>22</v>
      </c>
      <c r="L65" s="5">
        <v>4.7413793103448274</v>
      </c>
      <c r="M65" s="5"/>
      <c r="N65" s="98"/>
      <c r="O65" s="98"/>
      <c r="P65" s="120"/>
      <c r="Q65" s="133"/>
      <c r="R65" s="133"/>
      <c r="S65" s="133"/>
      <c r="T65" s="133"/>
      <c r="U65" s="133"/>
      <c r="V65" s="133"/>
      <c r="W65" s="120"/>
      <c r="X65" s="120"/>
      <c r="Y65" s="117"/>
      <c r="Z65" s="146"/>
      <c r="AA65" s="146"/>
      <c r="AB65" s="146"/>
      <c r="AC65" s="142"/>
      <c r="AD65" s="39"/>
      <c r="AE65" s="39"/>
      <c r="AF65" s="39"/>
      <c r="AG65" s="39"/>
      <c r="AH65" s="39"/>
      <c r="AI65" s="39"/>
      <c r="AJ65" s="39"/>
      <c r="AK65" s="39"/>
      <c r="AL65" s="39"/>
    </row>
    <row r="66" spans="1:38" ht="14.1" customHeight="1" x14ac:dyDescent="0.25">
      <c r="A66" s="61" t="s">
        <v>29</v>
      </c>
      <c r="B66" s="6">
        <v>4228</v>
      </c>
      <c r="C66" s="98">
        <v>2.5683392054428382</v>
      </c>
      <c r="D66" s="5"/>
      <c r="E66" s="6">
        <v>4114</v>
      </c>
      <c r="F66" s="5">
        <v>2.5542800022351502</v>
      </c>
      <c r="G66" s="5"/>
      <c r="H66" s="6">
        <v>95</v>
      </c>
      <c r="I66" s="16">
        <v>3.0714516650501134</v>
      </c>
      <c r="J66" s="5"/>
      <c r="K66" s="6">
        <v>19</v>
      </c>
      <c r="L66" s="5">
        <v>4.0948275862068968</v>
      </c>
      <c r="M66" s="5"/>
      <c r="N66" s="98"/>
      <c r="O66" s="98"/>
      <c r="P66" s="120"/>
      <c r="Q66" s="133"/>
      <c r="R66" s="133"/>
      <c r="S66" s="133"/>
      <c r="T66" s="133"/>
      <c r="U66" s="133"/>
      <c r="V66" s="133"/>
      <c r="W66" s="120"/>
      <c r="X66" s="120"/>
      <c r="Y66" s="117"/>
      <c r="Z66" s="146"/>
      <c r="AA66" s="146"/>
      <c r="AB66" s="146"/>
      <c r="AC66" s="142"/>
      <c r="AD66" s="39"/>
      <c r="AE66" s="39"/>
      <c r="AF66" s="39"/>
      <c r="AG66" s="39"/>
      <c r="AH66" s="39"/>
      <c r="AI66" s="39"/>
      <c r="AJ66" s="39"/>
      <c r="AK66" s="39"/>
      <c r="AL66" s="39"/>
    </row>
    <row r="67" spans="1:38" ht="14.1" customHeight="1" x14ac:dyDescent="0.25">
      <c r="A67" s="61" t="s">
        <v>30</v>
      </c>
      <c r="B67" s="6">
        <v>12695</v>
      </c>
      <c r="C67" s="98">
        <v>7.7116996719718136</v>
      </c>
      <c r="D67" s="5"/>
      <c r="E67" s="6">
        <v>12350</v>
      </c>
      <c r="F67" s="5">
        <v>7.6678070071959423</v>
      </c>
      <c r="G67" s="5"/>
      <c r="H67" s="6">
        <v>284</v>
      </c>
      <c r="I67" s="16">
        <v>9.1820239249919169</v>
      </c>
      <c r="J67" s="5"/>
      <c r="K67" s="6">
        <v>61</v>
      </c>
      <c r="L67" s="5">
        <v>13.146551724137931</v>
      </c>
      <c r="M67" s="5"/>
      <c r="N67" s="98"/>
      <c r="O67" s="98"/>
      <c r="P67" s="120"/>
      <c r="Q67" s="133"/>
      <c r="R67" s="133"/>
      <c r="S67" s="133"/>
      <c r="T67" s="133"/>
      <c r="U67" s="133"/>
      <c r="V67" s="133"/>
      <c r="W67" s="120"/>
      <c r="X67" s="120"/>
      <c r="Y67" s="118"/>
      <c r="Z67" s="118"/>
      <c r="AA67" s="118"/>
      <c r="AB67" s="118"/>
      <c r="AC67" s="142"/>
      <c r="AD67" s="39"/>
      <c r="AE67" s="39"/>
      <c r="AF67" s="39"/>
      <c r="AG67" s="39"/>
      <c r="AH67" s="39"/>
      <c r="AI67" s="39"/>
      <c r="AJ67" s="39"/>
      <c r="AK67" s="39"/>
      <c r="AL67" s="39"/>
    </row>
    <row r="68" spans="1:38" ht="14.1" customHeight="1" x14ac:dyDescent="0.25">
      <c r="A68" s="61" t="s">
        <v>31</v>
      </c>
      <c r="B68" s="6">
        <v>292</v>
      </c>
      <c r="C68" s="98">
        <v>0.17737820434941076</v>
      </c>
      <c r="D68" s="5"/>
      <c r="E68" s="6">
        <v>280</v>
      </c>
      <c r="F68" s="5">
        <v>0.17384501716719544</v>
      </c>
      <c r="G68" s="5"/>
      <c r="H68" s="6">
        <v>8</v>
      </c>
      <c r="I68" s="16">
        <v>0.25864856126737795</v>
      </c>
      <c r="J68" s="5"/>
      <c r="K68" s="6">
        <v>4</v>
      </c>
      <c r="L68" s="5">
        <v>0.86206896551724133</v>
      </c>
      <c r="M68" s="5"/>
      <c r="N68" s="98"/>
      <c r="O68" s="98"/>
      <c r="P68" s="120"/>
      <c r="Q68" s="133"/>
      <c r="R68" s="133"/>
      <c r="S68" s="133"/>
      <c r="T68" s="133"/>
      <c r="U68" s="133"/>
      <c r="V68" s="133"/>
      <c r="W68" s="120"/>
      <c r="X68" s="120"/>
      <c r="Y68" s="146"/>
      <c r="Z68" s="146"/>
      <c r="AA68" s="146"/>
      <c r="AB68" s="117"/>
      <c r="AC68" s="142"/>
      <c r="AD68" s="39"/>
      <c r="AE68" s="39"/>
      <c r="AF68" s="39"/>
      <c r="AG68" s="39"/>
      <c r="AH68" s="39"/>
      <c r="AI68" s="39"/>
      <c r="AJ68" s="39"/>
      <c r="AK68" s="39"/>
      <c r="AL68" s="39"/>
    </row>
    <row r="69" spans="1:38" ht="14.1" customHeight="1" x14ac:dyDescent="0.25">
      <c r="A69" s="61" t="s">
        <v>32</v>
      </c>
      <c r="B69" s="6">
        <v>4029</v>
      </c>
      <c r="C69" s="98">
        <v>2.4474547442595069</v>
      </c>
      <c r="D69" s="5"/>
      <c r="E69" s="6">
        <v>3756</v>
      </c>
      <c r="F69" s="5">
        <v>2.3320067302856646</v>
      </c>
      <c r="G69" s="5"/>
      <c r="H69" s="6">
        <v>247</v>
      </c>
      <c r="I69" s="16">
        <v>7.7857743291302945</v>
      </c>
      <c r="J69" s="5"/>
      <c r="K69" s="6">
        <v>26</v>
      </c>
      <c r="L69" s="5">
        <v>5.6034482758620694</v>
      </c>
      <c r="M69" s="5"/>
      <c r="N69" s="98"/>
      <c r="O69" s="98"/>
      <c r="P69" s="120"/>
      <c r="Q69" s="133"/>
      <c r="R69" s="133"/>
      <c r="S69" s="133"/>
      <c r="T69" s="133"/>
      <c r="U69" s="133"/>
      <c r="V69" s="133"/>
      <c r="W69" s="120"/>
      <c r="X69" s="120"/>
      <c r="Y69" s="146"/>
      <c r="Z69" s="146"/>
      <c r="AA69" s="146"/>
      <c r="AB69" s="116"/>
      <c r="AC69" s="142"/>
      <c r="AD69" s="39"/>
      <c r="AE69" s="39"/>
      <c r="AF69" s="39"/>
      <c r="AG69" s="39"/>
      <c r="AH69" s="39"/>
      <c r="AI69" s="39"/>
      <c r="AJ69" s="39"/>
      <c r="AK69" s="39"/>
      <c r="AL69" s="39"/>
    </row>
    <row r="70" spans="1:38" ht="14.1" customHeight="1" x14ac:dyDescent="0.25">
      <c r="A70" s="61" t="s">
        <v>33</v>
      </c>
      <c r="B70" s="6">
        <v>73015</v>
      </c>
      <c r="C70" s="98">
        <v>44.353662981411738</v>
      </c>
      <c r="D70" s="5"/>
      <c r="E70" s="6">
        <v>71570</v>
      </c>
      <c r="F70" s="5">
        <v>44.436028138057779</v>
      </c>
      <c r="G70" s="5"/>
      <c r="H70" s="6">
        <v>1244</v>
      </c>
      <c r="I70" s="16">
        <v>40.219851277077275</v>
      </c>
      <c r="J70" s="5"/>
      <c r="K70" s="6">
        <v>201</v>
      </c>
      <c r="L70" s="5">
        <v>43.318965517241381</v>
      </c>
      <c r="M70" s="5"/>
      <c r="N70" s="98"/>
      <c r="O70" s="98"/>
      <c r="P70" s="120"/>
      <c r="Q70" s="133"/>
      <c r="R70" s="133"/>
      <c r="S70" s="133"/>
      <c r="T70" s="133"/>
      <c r="U70" s="133"/>
      <c r="V70" s="133"/>
      <c r="W70" s="120"/>
      <c r="X70" s="120"/>
      <c r="Y70" s="146"/>
      <c r="Z70" s="146"/>
      <c r="AA70" s="146"/>
      <c r="AB70" s="116"/>
      <c r="AC70" s="142"/>
      <c r="AD70" s="39"/>
      <c r="AE70" s="39"/>
      <c r="AF70" s="39"/>
      <c r="AG70" s="39"/>
      <c r="AH70" s="39"/>
      <c r="AI70" s="39"/>
      <c r="AJ70" s="39"/>
      <c r="AK70" s="39"/>
      <c r="AL70" s="39"/>
    </row>
    <row r="71" spans="1:38" ht="14.1" customHeight="1" x14ac:dyDescent="0.25">
      <c r="A71" s="61" t="s">
        <v>34</v>
      </c>
      <c r="B71" s="6">
        <v>10987</v>
      </c>
      <c r="C71" s="98">
        <v>6.6741586684485483</v>
      </c>
      <c r="D71" s="5"/>
      <c r="E71" s="6">
        <v>10472</v>
      </c>
      <c r="F71" s="5">
        <v>6.50180364205311</v>
      </c>
      <c r="G71" s="5"/>
      <c r="H71" s="6">
        <v>463</v>
      </c>
      <c r="I71" s="16">
        <v>14.969285483349498</v>
      </c>
      <c r="J71" s="5"/>
      <c r="K71" s="6">
        <v>52</v>
      </c>
      <c r="L71" s="5">
        <v>11.206896551724139</v>
      </c>
      <c r="M71" s="5"/>
      <c r="N71" s="98"/>
      <c r="O71" s="98"/>
      <c r="P71" s="120"/>
      <c r="Q71" s="133"/>
      <c r="R71" s="133"/>
      <c r="S71" s="133"/>
      <c r="T71" s="133"/>
      <c r="U71" s="133"/>
      <c r="V71" s="133"/>
      <c r="W71" s="120"/>
      <c r="X71" s="120"/>
      <c r="Y71" s="146"/>
      <c r="Z71" s="146"/>
      <c r="AA71" s="146"/>
      <c r="AB71" s="116"/>
      <c r="AC71" s="142"/>
      <c r="AD71" s="39"/>
      <c r="AE71" s="39"/>
      <c r="AF71" s="39"/>
      <c r="AG71" s="39"/>
      <c r="AH71" s="39"/>
      <c r="AI71" s="39"/>
      <c r="AJ71" s="39"/>
      <c r="AK71" s="39"/>
      <c r="AL71" s="39"/>
    </row>
    <row r="72" spans="1:38" ht="14.1" customHeight="1" x14ac:dyDescent="0.25">
      <c r="A72" s="61" t="s">
        <v>68</v>
      </c>
      <c r="B72" s="6">
        <v>1913</v>
      </c>
      <c r="C72" s="98">
        <v>1.1620702223302151</v>
      </c>
      <c r="D72" s="5"/>
      <c r="E72" s="6">
        <v>1891</v>
      </c>
      <c r="F72" s="5">
        <v>1.1740747409398806</v>
      </c>
      <c r="G72" s="5"/>
      <c r="H72" s="6">
        <v>22</v>
      </c>
      <c r="I72" s="16">
        <v>0.71128354348528933</v>
      </c>
      <c r="J72" s="5"/>
      <c r="K72" s="3" t="s">
        <v>96</v>
      </c>
      <c r="L72" s="3" t="s">
        <v>96</v>
      </c>
      <c r="M72" s="5"/>
      <c r="N72" s="98"/>
      <c r="O72" s="98"/>
      <c r="P72" s="120"/>
      <c r="Q72" s="133"/>
      <c r="R72" s="133"/>
      <c r="S72" s="133"/>
      <c r="T72" s="133"/>
      <c r="U72" s="133"/>
      <c r="V72" s="133"/>
      <c r="W72" s="120"/>
      <c r="X72" s="120"/>
      <c r="Y72" s="146"/>
      <c r="Z72" s="146"/>
      <c r="AA72" s="146"/>
      <c r="AB72" s="116"/>
      <c r="AC72" s="142"/>
      <c r="AD72" s="39"/>
      <c r="AE72" s="39"/>
      <c r="AF72" s="39"/>
      <c r="AG72" s="39"/>
      <c r="AH72" s="39"/>
      <c r="AI72" s="39"/>
      <c r="AJ72" s="39"/>
      <c r="AK72" s="39"/>
      <c r="AL72" s="39"/>
    </row>
    <row r="73" spans="1:38" ht="14.1" customHeight="1" x14ac:dyDescent="0.25">
      <c r="A73" s="61" t="s">
        <v>69</v>
      </c>
      <c r="B73" s="6">
        <v>13416</v>
      </c>
      <c r="C73" s="98">
        <v>8.1496780464099139</v>
      </c>
      <c r="D73" s="5"/>
      <c r="E73" s="6">
        <v>13340</v>
      </c>
      <c r="F73" s="5">
        <v>8.2824733178942402</v>
      </c>
      <c r="G73" s="5"/>
      <c r="H73" s="6">
        <v>74</v>
      </c>
      <c r="I73" s="16">
        <v>2.3924991917232461</v>
      </c>
      <c r="J73" s="5"/>
      <c r="K73" s="6">
        <v>2</v>
      </c>
      <c r="L73" s="98">
        <v>0.53103448275862064</v>
      </c>
      <c r="M73" s="5"/>
      <c r="N73" s="98"/>
      <c r="O73" s="98"/>
      <c r="P73" s="120"/>
      <c r="Q73" s="133"/>
      <c r="R73" s="133"/>
      <c r="S73" s="133"/>
      <c r="T73" s="133"/>
      <c r="U73" s="133"/>
      <c r="V73" s="133"/>
      <c r="W73" s="120"/>
      <c r="X73" s="120"/>
      <c r="Y73" s="146"/>
      <c r="Z73" s="146"/>
      <c r="AA73" s="146"/>
      <c r="AB73" s="116"/>
      <c r="AC73" s="142"/>
      <c r="AD73" s="39"/>
      <c r="AE73" s="39"/>
      <c r="AF73" s="39"/>
      <c r="AG73" s="39"/>
      <c r="AH73" s="39"/>
      <c r="AI73" s="39"/>
      <c r="AJ73" s="39"/>
      <c r="AK73" s="39"/>
      <c r="AL73" s="39"/>
    </row>
    <row r="74" spans="1:38" ht="14.1" customHeight="1" x14ac:dyDescent="0.25">
      <c r="A74" s="61" t="s">
        <v>35</v>
      </c>
      <c r="B74" s="6">
        <v>2992</v>
      </c>
      <c r="C74" s="98">
        <v>1.8175191349775239</v>
      </c>
      <c r="D74" s="5"/>
      <c r="E74" s="6">
        <v>2929</v>
      </c>
      <c r="F74" s="98">
        <v>1.7185430545811267</v>
      </c>
      <c r="G74" s="5"/>
      <c r="H74" s="6">
        <v>58</v>
      </c>
      <c r="I74" s="16">
        <v>1.8752020691884901</v>
      </c>
      <c r="J74" s="5"/>
      <c r="K74" s="6">
        <v>5</v>
      </c>
      <c r="L74" s="5">
        <v>1.0775862068965518</v>
      </c>
      <c r="M74" s="5"/>
      <c r="N74" s="98"/>
      <c r="O74" s="98"/>
      <c r="P74" s="120"/>
      <c r="Q74" s="133"/>
      <c r="R74" s="133"/>
      <c r="S74" s="133"/>
      <c r="T74" s="133"/>
      <c r="U74" s="133"/>
      <c r="V74" s="133"/>
      <c r="W74" s="120"/>
      <c r="X74" s="120"/>
      <c r="Y74" s="146"/>
      <c r="Z74" s="146"/>
      <c r="AA74" s="146"/>
      <c r="AB74" s="116"/>
      <c r="AC74" s="142"/>
      <c r="AD74" s="39"/>
      <c r="AE74" s="39"/>
      <c r="AF74" s="39"/>
      <c r="AG74" s="39"/>
      <c r="AH74" s="39"/>
      <c r="AI74" s="39"/>
      <c r="AJ74" s="39"/>
      <c r="AK74" s="39"/>
      <c r="AL74" s="39"/>
    </row>
    <row r="75" spans="1:38" ht="14.1" customHeight="1" x14ac:dyDescent="0.25">
      <c r="A75" s="61" t="s">
        <v>36</v>
      </c>
      <c r="B75" s="6">
        <v>12783</v>
      </c>
      <c r="C75" s="98">
        <v>7.7651561171182122</v>
      </c>
      <c r="D75" s="5"/>
      <c r="E75" s="6">
        <v>12502</v>
      </c>
      <c r="F75" s="5">
        <v>7.762180016515277</v>
      </c>
      <c r="G75" s="5"/>
      <c r="H75" s="6">
        <v>260</v>
      </c>
      <c r="I75" s="16">
        <v>8.4060782411897836</v>
      </c>
      <c r="J75" s="5"/>
      <c r="K75" s="6">
        <v>21</v>
      </c>
      <c r="L75" s="5">
        <v>4.5258620689655169</v>
      </c>
      <c r="M75" s="5"/>
      <c r="N75" s="98"/>
      <c r="O75" s="98"/>
      <c r="P75" s="120"/>
      <c r="Q75" s="133"/>
      <c r="R75" s="133"/>
      <c r="S75" s="133"/>
      <c r="T75" s="133"/>
      <c r="U75" s="133"/>
      <c r="V75" s="133"/>
      <c r="W75" s="120"/>
      <c r="X75" s="120"/>
      <c r="Y75" s="146"/>
      <c r="Z75" s="146"/>
      <c r="AA75" s="146"/>
      <c r="AB75" s="116"/>
      <c r="AC75" s="142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1:38" ht="14.1" customHeight="1" x14ac:dyDescent="0.25">
      <c r="A76" s="61" t="s">
        <v>37</v>
      </c>
      <c r="B76" s="6">
        <v>25655</v>
      </c>
      <c r="C76" s="98">
        <v>15.584376138986759</v>
      </c>
      <c r="D76" s="5"/>
      <c r="E76" s="6">
        <v>25395</v>
      </c>
      <c r="F76" s="5">
        <v>15.767122182003316</v>
      </c>
      <c r="G76" s="5"/>
      <c r="H76" s="6">
        <v>209</v>
      </c>
      <c r="I76" s="16">
        <v>6.7571936631102485</v>
      </c>
      <c r="J76" s="5"/>
      <c r="K76" s="6">
        <v>51</v>
      </c>
      <c r="L76" s="5">
        <v>10.991379310344827</v>
      </c>
      <c r="M76" s="5"/>
      <c r="N76" s="98"/>
      <c r="O76" s="98"/>
      <c r="P76" s="120"/>
      <c r="Q76" s="133"/>
      <c r="R76" s="133"/>
      <c r="S76" s="133"/>
      <c r="T76" s="133"/>
      <c r="U76" s="133"/>
      <c r="V76" s="133"/>
      <c r="W76" s="120"/>
      <c r="X76" s="120"/>
      <c r="Y76" s="146"/>
      <c r="Z76" s="146"/>
      <c r="AA76" s="146"/>
      <c r="AB76" s="116"/>
      <c r="AC76" s="142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1:38" ht="14.1" customHeight="1" x14ac:dyDescent="0.25">
      <c r="A77" s="61"/>
      <c r="B77" s="6"/>
      <c r="C77" s="5"/>
      <c r="D77" s="5"/>
      <c r="E77" s="6"/>
      <c r="F77" s="5"/>
      <c r="G77" s="5"/>
      <c r="H77" s="6"/>
      <c r="I77" s="5"/>
      <c r="J77" s="5"/>
      <c r="K77" s="6"/>
      <c r="L77" s="5"/>
      <c r="M77" s="5"/>
      <c r="N77" s="98"/>
      <c r="O77" s="98"/>
      <c r="P77" s="120"/>
      <c r="Q77" s="133"/>
      <c r="R77" s="133"/>
      <c r="S77" s="133"/>
      <c r="T77" s="133"/>
      <c r="U77" s="133"/>
      <c r="V77" s="133"/>
      <c r="W77" s="120"/>
      <c r="X77" s="120"/>
      <c r="Y77" s="118"/>
      <c r="Z77" s="118"/>
      <c r="AA77" s="118"/>
      <c r="AB77" s="118"/>
      <c r="AC77" s="142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1:38" s="35" customFormat="1" ht="14.1" customHeight="1" x14ac:dyDescent="0.25">
      <c r="A78" s="62" t="s">
        <v>19</v>
      </c>
      <c r="B78" s="9">
        <v>40151</v>
      </c>
      <c r="C78" s="15">
        <v>100</v>
      </c>
      <c r="D78" s="15"/>
      <c r="E78" s="9">
        <v>39441</v>
      </c>
      <c r="F78" s="15">
        <v>100</v>
      </c>
      <c r="G78" s="15"/>
      <c r="H78" s="9">
        <v>633</v>
      </c>
      <c r="I78" s="96">
        <v>100</v>
      </c>
      <c r="J78" s="15"/>
      <c r="K78" s="9">
        <v>77</v>
      </c>
      <c r="L78" s="15">
        <v>100</v>
      </c>
      <c r="M78" s="15"/>
      <c r="N78" s="96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146"/>
      <c r="Z78" s="146"/>
      <c r="AA78" s="146"/>
      <c r="AB78" s="116"/>
      <c r="AC78" s="142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1:38" ht="14.1" customHeight="1" x14ac:dyDescent="0.25">
      <c r="A79" s="61" t="s">
        <v>57</v>
      </c>
      <c r="B79" s="6">
        <v>1122</v>
      </c>
      <c r="C79" s="5">
        <v>2.7944509476725363</v>
      </c>
      <c r="D79" s="5"/>
      <c r="E79" s="6">
        <v>1108</v>
      </c>
      <c r="F79" s="5">
        <v>2.80925940011663</v>
      </c>
      <c r="G79" s="5"/>
      <c r="H79" s="6">
        <v>12</v>
      </c>
      <c r="I79" s="5">
        <v>1.8957345971563981</v>
      </c>
      <c r="J79" s="5"/>
      <c r="K79" s="6">
        <v>2</v>
      </c>
      <c r="L79" s="5">
        <v>2.5974025974025974</v>
      </c>
      <c r="M79" s="5"/>
      <c r="N79" s="98"/>
      <c r="O79" s="98"/>
      <c r="P79" s="120"/>
      <c r="Q79" s="133"/>
      <c r="R79" s="133"/>
      <c r="S79" s="133"/>
      <c r="T79" s="133"/>
      <c r="U79" s="133"/>
      <c r="V79" s="133"/>
      <c r="W79" s="120"/>
      <c r="X79" s="120"/>
      <c r="Y79" s="146"/>
      <c r="Z79" s="146"/>
      <c r="AA79" s="146"/>
      <c r="AB79" s="116"/>
      <c r="AC79" s="142"/>
      <c r="AD79" s="39"/>
      <c r="AE79" s="39"/>
      <c r="AF79" s="39"/>
      <c r="AG79" s="39"/>
      <c r="AH79" s="39"/>
      <c r="AI79" s="39"/>
      <c r="AJ79" s="39"/>
      <c r="AK79" s="39"/>
      <c r="AL79" s="39"/>
    </row>
    <row r="80" spans="1:38" ht="14.1" customHeight="1" x14ac:dyDescent="0.25">
      <c r="A80" s="61" t="s">
        <v>29</v>
      </c>
      <c r="B80" s="6">
        <v>609</v>
      </c>
      <c r="C80" s="5">
        <v>1.516774177480013</v>
      </c>
      <c r="D80" s="5"/>
      <c r="E80" s="6">
        <v>600</v>
      </c>
      <c r="F80" s="5">
        <v>1.5212596029512435</v>
      </c>
      <c r="G80" s="5"/>
      <c r="H80" s="6">
        <v>8</v>
      </c>
      <c r="I80" s="5">
        <v>1.2638230647709321</v>
      </c>
      <c r="J80" s="5"/>
      <c r="K80" s="6">
        <v>1</v>
      </c>
      <c r="L80" s="5">
        <v>1.2987012987012987</v>
      </c>
      <c r="M80" s="5"/>
      <c r="N80" s="98"/>
      <c r="O80" s="98"/>
      <c r="P80" s="120"/>
      <c r="Q80" s="133"/>
      <c r="R80" s="133"/>
      <c r="S80" s="133"/>
      <c r="T80" s="133"/>
      <c r="U80" s="133"/>
      <c r="V80" s="133"/>
      <c r="W80" s="120"/>
      <c r="X80" s="120"/>
      <c r="Y80" s="146"/>
      <c r="Z80" s="146"/>
      <c r="AA80" s="146"/>
      <c r="AB80" s="116"/>
      <c r="AC80" s="142"/>
      <c r="AD80" s="39"/>
      <c r="AE80" s="39"/>
      <c r="AF80" s="39"/>
      <c r="AG80" s="39"/>
      <c r="AH80" s="39"/>
      <c r="AI80" s="39"/>
      <c r="AJ80" s="39"/>
      <c r="AK80" s="39"/>
      <c r="AL80" s="39"/>
    </row>
    <row r="81" spans="1:38" ht="14.1" customHeight="1" x14ac:dyDescent="0.25">
      <c r="A81" s="61" t="s">
        <v>30</v>
      </c>
      <c r="B81" s="6">
        <v>2490</v>
      </c>
      <c r="C81" s="5">
        <v>6.201589001519265</v>
      </c>
      <c r="D81" s="5"/>
      <c r="E81" s="6">
        <v>2466</v>
      </c>
      <c r="F81" s="5">
        <v>6.2523769681296111</v>
      </c>
      <c r="G81" s="5"/>
      <c r="H81" s="6">
        <v>23</v>
      </c>
      <c r="I81" s="5">
        <v>3.6334913112164293</v>
      </c>
      <c r="J81" s="5"/>
      <c r="K81" s="6">
        <v>1</v>
      </c>
      <c r="L81" s="5">
        <v>1.2987012987012987</v>
      </c>
      <c r="M81" s="5"/>
      <c r="N81" s="98"/>
      <c r="O81" s="98"/>
      <c r="P81" s="120"/>
      <c r="Q81" s="133"/>
      <c r="R81" s="133"/>
      <c r="S81" s="133"/>
      <c r="T81" s="133"/>
      <c r="U81" s="133"/>
      <c r="V81" s="133"/>
      <c r="W81" s="120"/>
      <c r="X81" s="120"/>
      <c r="Y81" s="146"/>
      <c r="Z81" s="146"/>
      <c r="AA81" s="146"/>
      <c r="AB81" s="116"/>
      <c r="AC81" s="142"/>
      <c r="AD81" s="39"/>
      <c r="AE81" s="39"/>
      <c r="AF81" s="39"/>
      <c r="AG81" s="39"/>
      <c r="AH81" s="39"/>
      <c r="AI81" s="39"/>
      <c r="AJ81" s="39"/>
      <c r="AK81" s="39"/>
      <c r="AL81" s="39"/>
    </row>
    <row r="82" spans="1:38" ht="14.1" customHeight="1" x14ac:dyDescent="0.25">
      <c r="A82" s="61" t="s">
        <v>31</v>
      </c>
      <c r="B82" s="6">
        <v>47</v>
      </c>
      <c r="C82" s="5">
        <v>0.11705810565116684</v>
      </c>
      <c r="D82" s="5"/>
      <c r="E82" s="6">
        <v>45</v>
      </c>
      <c r="F82" s="5">
        <v>0.11409447022134327</v>
      </c>
      <c r="G82" s="5"/>
      <c r="H82" s="3" t="s">
        <v>96</v>
      </c>
      <c r="I82" s="16" t="s">
        <v>96</v>
      </c>
      <c r="J82" s="5"/>
      <c r="K82" s="6">
        <v>2</v>
      </c>
      <c r="L82" s="5">
        <v>2.5974025974025974</v>
      </c>
      <c r="M82" s="5"/>
      <c r="N82" s="98"/>
      <c r="O82" s="98"/>
      <c r="P82" s="120"/>
      <c r="Q82" s="133"/>
      <c r="R82" s="133"/>
      <c r="S82" s="133"/>
      <c r="T82" s="133"/>
      <c r="U82" s="133"/>
      <c r="V82" s="133"/>
      <c r="W82" s="120"/>
      <c r="X82" s="120"/>
      <c r="Y82" s="146"/>
      <c r="Z82" s="146"/>
      <c r="AA82" s="146"/>
      <c r="AB82" s="118"/>
      <c r="AC82" s="142"/>
      <c r="AD82" s="39"/>
      <c r="AE82" s="39"/>
      <c r="AF82" s="39"/>
      <c r="AG82" s="39"/>
      <c r="AH82" s="39"/>
      <c r="AI82" s="39"/>
      <c r="AJ82" s="39"/>
      <c r="AK82" s="39"/>
      <c r="AL82" s="39"/>
    </row>
    <row r="83" spans="1:38" ht="14.1" customHeight="1" x14ac:dyDescent="0.25">
      <c r="A83" s="61" t="s">
        <v>32</v>
      </c>
      <c r="B83" s="6">
        <v>1249</v>
      </c>
      <c r="C83" s="5">
        <v>3.1107568927299445</v>
      </c>
      <c r="D83" s="5"/>
      <c r="E83" s="6">
        <v>1156</v>
      </c>
      <c r="F83" s="5">
        <v>2.9309601683527293</v>
      </c>
      <c r="G83" s="5"/>
      <c r="H83" s="6">
        <v>81</v>
      </c>
      <c r="I83" s="5">
        <v>12.796208530805686</v>
      </c>
      <c r="J83" s="5"/>
      <c r="K83" s="6">
        <v>12</v>
      </c>
      <c r="L83" s="5">
        <v>15.584415584415584</v>
      </c>
      <c r="M83" s="5"/>
      <c r="N83" s="98"/>
      <c r="O83" s="98"/>
      <c r="P83" s="120"/>
      <c r="Q83" s="133"/>
      <c r="R83" s="133"/>
      <c r="S83" s="133"/>
      <c r="T83" s="133"/>
      <c r="U83" s="133"/>
      <c r="V83" s="133"/>
      <c r="W83" s="120"/>
      <c r="X83" s="120"/>
      <c r="Y83" s="117"/>
      <c r="Z83" s="117"/>
      <c r="AA83" s="117"/>
      <c r="AB83" s="117"/>
      <c r="AC83" s="142"/>
      <c r="AD83" s="39"/>
      <c r="AE83" s="39"/>
      <c r="AF83" s="39"/>
      <c r="AG83" s="39"/>
      <c r="AH83" s="39"/>
      <c r="AI83" s="39"/>
      <c r="AJ83" s="39"/>
      <c r="AK83" s="39"/>
      <c r="AL83" s="39"/>
    </row>
    <row r="84" spans="1:38" ht="14.1" customHeight="1" x14ac:dyDescent="0.25">
      <c r="A84" s="61" t="s">
        <v>33</v>
      </c>
      <c r="B84" s="6">
        <v>16610</v>
      </c>
      <c r="C84" s="5">
        <v>41.368832656720876</v>
      </c>
      <c r="D84" s="5"/>
      <c r="E84" s="6">
        <v>16222</v>
      </c>
      <c r="F84" s="5">
        <v>41.129788798458456</v>
      </c>
      <c r="G84" s="5"/>
      <c r="H84" s="6">
        <v>340</v>
      </c>
      <c r="I84" s="5">
        <v>53.612480252764612</v>
      </c>
      <c r="J84" s="5"/>
      <c r="K84" s="6">
        <v>48</v>
      </c>
      <c r="L84" s="5">
        <v>62.337662337662337</v>
      </c>
      <c r="M84" s="5"/>
      <c r="N84" s="98"/>
      <c r="O84" s="98"/>
      <c r="P84" s="120"/>
      <c r="Q84" s="133"/>
      <c r="R84" s="133"/>
      <c r="S84" s="133"/>
      <c r="T84" s="133"/>
      <c r="U84" s="133"/>
      <c r="V84" s="133"/>
      <c r="W84" s="120"/>
      <c r="X84" s="120"/>
      <c r="Y84" s="117"/>
      <c r="Z84" s="118"/>
      <c r="AA84" s="118"/>
      <c r="AB84" s="146"/>
      <c r="AC84" s="142"/>
      <c r="AD84" s="39"/>
      <c r="AE84" s="39"/>
      <c r="AF84" s="39"/>
      <c r="AG84" s="39"/>
      <c r="AH84" s="39"/>
      <c r="AI84" s="39"/>
      <c r="AJ84" s="39"/>
      <c r="AK84" s="39"/>
      <c r="AL84" s="39"/>
    </row>
    <row r="85" spans="1:38" ht="14.1" customHeight="1" x14ac:dyDescent="0.25">
      <c r="A85" s="61" t="s">
        <v>34</v>
      </c>
      <c r="B85" s="6">
        <v>2338</v>
      </c>
      <c r="C85" s="5">
        <v>5.8230181066474058</v>
      </c>
      <c r="D85" s="5"/>
      <c r="E85" s="6">
        <v>2278</v>
      </c>
      <c r="F85" s="5">
        <v>5.7757156258715554</v>
      </c>
      <c r="G85" s="5"/>
      <c r="H85" s="6">
        <v>55</v>
      </c>
      <c r="I85" s="5">
        <v>8.6887835703001581</v>
      </c>
      <c r="J85" s="5"/>
      <c r="K85" s="6">
        <v>5</v>
      </c>
      <c r="L85" s="5">
        <v>6.4935064935064926</v>
      </c>
      <c r="M85" s="5"/>
      <c r="N85" s="98"/>
      <c r="O85" s="98"/>
      <c r="P85" s="120"/>
      <c r="Q85" s="133"/>
      <c r="R85" s="133"/>
      <c r="S85" s="133"/>
      <c r="T85" s="133"/>
      <c r="U85" s="133"/>
      <c r="V85" s="133"/>
      <c r="W85" s="120"/>
      <c r="X85" s="120"/>
      <c r="Y85" s="117"/>
      <c r="Z85" s="118"/>
      <c r="AA85" s="118"/>
      <c r="AB85" s="146"/>
      <c r="AC85" s="142"/>
      <c r="AD85" s="39"/>
      <c r="AE85" s="39"/>
      <c r="AF85" s="39"/>
      <c r="AG85" s="39"/>
      <c r="AH85" s="39"/>
      <c r="AI85" s="39"/>
      <c r="AJ85" s="39"/>
      <c r="AK85" s="39"/>
      <c r="AL85" s="39"/>
    </row>
    <row r="86" spans="1:38" ht="14.1" customHeight="1" x14ac:dyDescent="0.25">
      <c r="A86" s="61" t="s">
        <v>68</v>
      </c>
      <c r="B86" s="6">
        <v>653</v>
      </c>
      <c r="C86" s="5">
        <v>1.6263604891534458</v>
      </c>
      <c r="D86" s="5"/>
      <c r="E86" s="6">
        <v>652</v>
      </c>
      <c r="F86" s="5">
        <v>1.6531021018736849</v>
      </c>
      <c r="G86" s="5"/>
      <c r="H86" s="6">
        <v>1</v>
      </c>
      <c r="I86" s="5">
        <v>0.15797788309636651</v>
      </c>
      <c r="J86" s="5"/>
      <c r="K86" s="3" t="s">
        <v>96</v>
      </c>
      <c r="L86" s="3" t="s">
        <v>96</v>
      </c>
      <c r="M86" s="5"/>
      <c r="N86" s="98"/>
      <c r="O86" s="98"/>
      <c r="P86" s="120"/>
      <c r="Q86" s="133"/>
      <c r="R86" s="133"/>
      <c r="S86" s="133"/>
      <c r="T86" s="133"/>
      <c r="U86" s="133"/>
      <c r="V86" s="133"/>
      <c r="W86" s="120"/>
      <c r="X86" s="120"/>
      <c r="Y86" s="117"/>
      <c r="Z86" s="118"/>
      <c r="AA86" s="118"/>
      <c r="AB86" s="146"/>
      <c r="AC86" s="142"/>
      <c r="AD86" s="39"/>
      <c r="AE86" s="39"/>
      <c r="AF86" s="39"/>
      <c r="AG86" s="39"/>
      <c r="AH86" s="39"/>
      <c r="AI86" s="39"/>
      <c r="AJ86" s="39"/>
      <c r="AK86" s="39"/>
      <c r="AL86" s="39"/>
    </row>
    <row r="87" spans="1:38" ht="14.1" customHeight="1" x14ac:dyDescent="0.25">
      <c r="A87" s="61" t="s">
        <v>69</v>
      </c>
      <c r="B87" s="6">
        <v>3418</v>
      </c>
      <c r="C87" s="5">
        <v>8.5128639386316642</v>
      </c>
      <c r="D87" s="5"/>
      <c r="E87" s="6">
        <v>3415</v>
      </c>
      <c r="F87" s="5">
        <v>8.6585025734641619</v>
      </c>
      <c r="G87" s="5"/>
      <c r="H87" s="6">
        <v>3</v>
      </c>
      <c r="I87" s="5">
        <v>0.47393364928909953</v>
      </c>
      <c r="J87" s="5"/>
      <c r="K87" s="3" t="s">
        <v>96</v>
      </c>
      <c r="L87" s="3" t="s">
        <v>96</v>
      </c>
      <c r="M87" s="3"/>
      <c r="N87" s="98"/>
      <c r="O87" s="98"/>
      <c r="P87" s="120"/>
      <c r="Q87" s="133"/>
      <c r="R87" s="133"/>
      <c r="S87" s="133"/>
      <c r="T87" s="133"/>
      <c r="U87" s="133"/>
      <c r="V87" s="133"/>
      <c r="W87" s="120"/>
      <c r="X87" s="120"/>
      <c r="Y87" s="117"/>
      <c r="Z87" s="118"/>
      <c r="AA87" s="118"/>
      <c r="AB87" s="146"/>
      <c r="AC87" s="142"/>
      <c r="AD87" s="39"/>
      <c r="AE87" s="39"/>
      <c r="AF87" s="39"/>
      <c r="AG87" s="39"/>
      <c r="AH87" s="39"/>
      <c r="AI87" s="39"/>
      <c r="AJ87" s="39"/>
      <c r="AK87" s="39"/>
      <c r="AL87" s="39"/>
    </row>
    <row r="88" spans="1:38" ht="14.1" customHeight="1" x14ac:dyDescent="0.25">
      <c r="A88" s="61" t="s">
        <v>35</v>
      </c>
      <c r="B88" s="6">
        <v>594</v>
      </c>
      <c r="C88" s="5">
        <v>1.4794152075913427</v>
      </c>
      <c r="D88" s="5"/>
      <c r="E88" s="6">
        <v>581</v>
      </c>
      <c r="F88" s="5">
        <v>1.4730863821911209</v>
      </c>
      <c r="G88" s="5"/>
      <c r="H88" s="6">
        <v>12</v>
      </c>
      <c r="I88" s="5">
        <v>1.8957345971563981</v>
      </c>
      <c r="J88" s="5"/>
      <c r="K88" s="6">
        <v>1</v>
      </c>
      <c r="L88" s="5">
        <v>1.2987012987012987</v>
      </c>
      <c r="M88" s="5"/>
      <c r="N88" s="98"/>
      <c r="O88" s="98"/>
      <c r="P88" s="120"/>
      <c r="Q88" s="133"/>
      <c r="R88" s="133"/>
      <c r="S88" s="133"/>
      <c r="T88" s="133"/>
      <c r="U88" s="133"/>
      <c r="V88" s="133"/>
      <c r="W88" s="120"/>
      <c r="X88" s="120"/>
      <c r="Y88" s="117"/>
      <c r="Z88" s="118"/>
      <c r="AA88" s="118"/>
      <c r="AB88" s="146"/>
      <c r="AC88" s="142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1:38" ht="14.1" customHeight="1" x14ac:dyDescent="0.25">
      <c r="A89" s="61" t="s">
        <v>36</v>
      </c>
      <c r="B89" s="6">
        <v>4078</v>
      </c>
      <c r="C89" s="5">
        <v>10.156658613733157</v>
      </c>
      <c r="D89" s="5"/>
      <c r="E89" s="6">
        <v>3999</v>
      </c>
      <c r="F89" s="5">
        <v>10.139195253670039</v>
      </c>
      <c r="G89" s="5"/>
      <c r="H89" s="6">
        <v>76</v>
      </c>
      <c r="I89" s="5">
        <v>12.006319115323855</v>
      </c>
      <c r="J89" s="5"/>
      <c r="K89" s="6">
        <v>3</v>
      </c>
      <c r="L89" s="5">
        <v>3.8961038961038961</v>
      </c>
      <c r="M89" s="5"/>
      <c r="N89" s="98"/>
      <c r="O89" s="98"/>
      <c r="P89" s="120"/>
      <c r="Q89" s="133"/>
      <c r="R89" s="133"/>
      <c r="S89" s="133"/>
      <c r="T89" s="133"/>
      <c r="U89" s="133"/>
      <c r="V89" s="133"/>
      <c r="W89" s="120"/>
      <c r="X89" s="120"/>
      <c r="Y89" s="117"/>
      <c r="Z89" s="118"/>
      <c r="AA89" s="118"/>
      <c r="AB89" s="146"/>
      <c r="AC89" s="142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1:38" ht="14.1" customHeight="1" x14ac:dyDescent="0.25">
      <c r="A90" s="61" t="s">
        <v>37</v>
      </c>
      <c r="B90" s="6">
        <v>6943</v>
      </c>
      <c r="C90" s="5">
        <v>17.29222186246918</v>
      </c>
      <c r="D90" s="5"/>
      <c r="E90" s="6">
        <v>6919</v>
      </c>
      <c r="F90" s="5">
        <v>17.542658654699427</v>
      </c>
      <c r="G90" s="5"/>
      <c r="H90" s="6">
        <v>22</v>
      </c>
      <c r="I90" s="5">
        <v>3.4755134281200633</v>
      </c>
      <c r="J90" s="5"/>
      <c r="K90" s="6">
        <v>2</v>
      </c>
      <c r="L90" s="5">
        <v>2.5974025974025974</v>
      </c>
      <c r="M90" s="5"/>
      <c r="N90" s="98"/>
      <c r="O90" s="98"/>
      <c r="P90" s="120"/>
      <c r="Q90" s="133"/>
      <c r="R90" s="133"/>
      <c r="S90" s="133"/>
      <c r="T90" s="133"/>
      <c r="U90" s="133"/>
      <c r="V90" s="133"/>
      <c r="W90" s="120"/>
      <c r="X90" s="120"/>
      <c r="Y90" s="117"/>
      <c r="Z90" s="118"/>
      <c r="AA90" s="118"/>
      <c r="AB90" s="146"/>
      <c r="AC90" s="142"/>
      <c r="AD90" s="39"/>
      <c r="AE90" s="39"/>
      <c r="AF90" s="39"/>
      <c r="AG90" s="39"/>
      <c r="AH90" s="39"/>
      <c r="AI90" s="39"/>
      <c r="AJ90" s="39"/>
      <c r="AK90" s="39"/>
      <c r="AL90" s="39"/>
    </row>
    <row r="91" spans="1:38" ht="14.1" customHeight="1" x14ac:dyDescent="0.25">
      <c r="A91" s="61"/>
      <c r="B91" s="6"/>
      <c r="C91" s="5"/>
      <c r="D91" s="5"/>
      <c r="E91" s="6"/>
      <c r="F91" s="5"/>
      <c r="G91" s="5"/>
      <c r="H91" s="6"/>
      <c r="I91" s="5"/>
      <c r="J91" s="5"/>
      <c r="K91" s="6"/>
      <c r="L91" s="5"/>
      <c r="M91" s="5"/>
      <c r="N91" s="98"/>
      <c r="O91" s="98"/>
      <c r="P91" s="120"/>
      <c r="Q91" s="133"/>
      <c r="R91" s="133"/>
      <c r="S91" s="133"/>
      <c r="T91" s="133"/>
      <c r="U91" s="133"/>
      <c r="V91" s="133"/>
      <c r="W91" s="120"/>
      <c r="X91" s="120"/>
      <c r="Y91" s="118"/>
      <c r="Z91" s="118"/>
      <c r="AA91" s="118"/>
      <c r="AB91" s="118"/>
      <c r="AC91" s="142"/>
      <c r="AD91" s="39"/>
      <c r="AE91" s="39"/>
      <c r="AF91" s="39"/>
      <c r="AG91" s="39"/>
      <c r="AH91" s="39"/>
      <c r="AI91" s="39"/>
      <c r="AJ91" s="39"/>
      <c r="AK91" s="39"/>
      <c r="AL91" s="39"/>
    </row>
    <row r="92" spans="1:38" s="35" customFormat="1" ht="14.1" customHeight="1" x14ac:dyDescent="0.25">
      <c r="A92" s="62" t="s">
        <v>18</v>
      </c>
      <c r="B92" s="9">
        <v>72711</v>
      </c>
      <c r="C92" s="15">
        <v>100</v>
      </c>
      <c r="D92" s="15"/>
      <c r="E92" s="9">
        <v>71311</v>
      </c>
      <c r="F92" s="96">
        <v>100</v>
      </c>
      <c r="G92" s="15"/>
      <c r="H92" s="9">
        <v>1204</v>
      </c>
      <c r="I92" s="96">
        <v>100</v>
      </c>
      <c r="J92" s="15"/>
      <c r="K92" s="9">
        <v>196</v>
      </c>
      <c r="L92" s="96">
        <v>100</v>
      </c>
      <c r="M92" s="15"/>
      <c r="N92" s="96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117"/>
      <c r="Z92" s="118"/>
      <c r="AA92" s="118"/>
      <c r="AB92" s="146"/>
      <c r="AC92" s="142"/>
      <c r="AD92" s="39"/>
      <c r="AE92" s="39"/>
      <c r="AF92" s="39"/>
      <c r="AG92" s="39"/>
      <c r="AH92" s="39"/>
      <c r="AI92" s="39"/>
      <c r="AJ92" s="39"/>
      <c r="AK92" s="39"/>
      <c r="AL92" s="39"/>
    </row>
    <row r="93" spans="1:38" ht="14.1" customHeight="1" x14ac:dyDescent="0.25">
      <c r="A93" s="61" t="s">
        <v>57</v>
      </c>
      <c r="B93" s="6">
        <v>1688</v>
      </c>
      <c r="C93" s="5">
        <v>2.3215194399746943</v>
      </c>
      <c r="D93" s="5"/>
      <c r="E93" s="6">
        <v>1629</v>
      </c>
      <c r="F93" s="5">
        <v>2.2843600566532514</v>
      </c>
      <c r="G93" s="5"/>
      <c r="H93" s="6">
        <v>41</v>
      </c>
      <c r="I93" s="5">
        <v>3.4053156146179404</v>
      </c>
      <c r="J93" s="5"/>
      <c r="K93" s="6">
        <v>18</v>
      </c>
      <c r="L93" s="5">
        <v>9.183673469387756</v>
      </c>
      <c r="M93" s="5"/>
      <c r="N93" s="98"/>
      <c r="O93" s="98"/>
      <c r="P93" s="120"/>
      <c r="Q93" s="133"/>
      <c r="R93" s="133"/>
      <c r="S93" s="133"/>
      <c r="T93" s="133"/>
      <c r="U93" s="133"/>
      <c r="V93" s="133"/>
      <c r="W93" s="120"/>
      <c r="X93" s="120"/>
      <c r="Y93" s="117"/>
      <c r="Z93" s="118"/>
      <c r="AA93" s="118"/>
      <c r="AB93" s="146"/>
      <c r="AC93" s="142"/>
      <c r="AD93" s="39"/>
      <c r="AE93" s="39"/>
      <c r="AF93" s="39"/>
      <c r="AG93" s="39"/>
      <c r="AH93" s="39"/>
      <c r="AI93" s="39"/>
      <c r="AJ93" s="39"/>
      <c r="AK93" s="39"/>
      <c r="AL93" s="39"/>
    </row>
    <row r="94" spans="1:38" ht="14.1" customHeight="1" x14ac:dyDescent="0.25">
      <c r="A94" s="61" t="s">
        <v>29</v>
      </c>
      <c r="B94" s="6">
        <v>594</v>
      </c>
      <c r="C94" s="5">
        <v>0.81693278871147412</v>
      </c>
      <c r="D94" s="5"/>
      <c r="E94" s="6">
        <v>573</v>
      </c>
      <c r="F94" s="5">
        <v>0.80352259819663174</v>
      </c>
      <c r="G94" s="5"/>
      <c r="H94" s="6">
        <v>20</v>
      </c>
      <c r="I94" s="5">
        <v>1.6611295681063125</v>
      </c>
      <c r="J94" s="5"/>
      <c r="K94" s="6">
        <v>1</v>
      </c>
      <c r="L94" s="5">
        <v>0.51020408163265307</v>
      </c>
      <c r="M94" s="5"/>
      <c r="N94" s="98"/>
      <c r="O94" s="98"/>
      <c r="P94" s="120"/>
      <c r="Q94" s="133"/>
      <c r="R94" s="133"/>
      <c r="S94" s="133"/>
      <c r="T94" s="133"/>
      <c r="U94" s="133"/>
      <c r="V94" s="133"/>
      <c r="W94" s="120"/>
      <c r="X94" s="120"/>
      <c r="Y94" s="117"/>
      <c r="Z94" s="118"/>
      <c r="AA94" s="118"/>
      <c r="AB94" s="146"/>
      <c r="AC94" s="142"/>
      <c r="AD94" s="39"/>
      <c r="AE94" s="39"/>
      <c r="AF94" s="39"/>
      <c r="AG94" s="39"/>
      <c r="AH94" s="39"/>
      <c r="AI94" s="39"/>
      <c r="AJ94" s="39"/>
      <c r="AK94" s="39"/>
      <c r="AL94" s="39"/>
    </row>
    <row r="95" spans="1:38" ht="14.1" customHeight="1" x14ac:dyDescent="0.25">
      <c r="A95" s="61" t="s">
        <v>30</v>
      </c>
      <c r="B95" s="6">
        <v>4989</v>
      </c>
      <c r="C95" s="5">
        <v>6.8614102405413213</v>
      </c>
      <c r="D95" s="5"/>
      <c r="E95" s="6">
        <v>4936</v>
      </c>
      <c r="F95" s="5">
        <v>6.9217932717252602</v>
      </c>
      <c r="G95" s="5"/>
      <c r="H95" s="6">
        <v>47</v>
      </c>
      <c r="I95" s="5">
        <v>3.9036544850498336</v>
      </c>
      <c r="J95" s="5"/>
      <c r="K95" s="6">
        <v>6</v>
      </c>
      <c r="L95" s="5">
        <v>3.0612244897959182</v>
      </c>
      <c r="M95" s="5"/>
      <c r="N95" s="98"/>
      <c r="O95" s="98"/>
      <c r="P95" s="120"/>
      <c r="Q95" s="133"/>
      <c r="R95" s="133"/>
      <c r="S95" s="133"/>
      <c r="T95" s="133"/>
      <c r="U95" s="133"/>
      <c r="V95" s="133"/>
      <c r="W95" s="120"/>
      <c r="X95" s="120"/>
      <c r="Y95" s="117"/>
      <c r="Z95" s="118"/>
      <c r="AA95" s="118"/>
      <c r="AB95" s="146"/>
      <c r="AC95" s="142"/>
      <c r="AD95" s="39"/>
      <c r="AE95" s="39"/>
      <c r="AF95" s="39"/>
      <c r="AG95" s="39"/>
      <c r="AH95" s="39"/>
      <c r="AI95" s="39"/>
      <c r="AJ95" s="39"/>
      <c r="AK95" s="39"/>
      <c r="AL95" s="39"/>
    </row>
    <row r="96" spans="1:38" ht="14.1" customHeight="1" x14ac:dyDescent="0.25">
      <c r="A96" s="61" t="s">
        <v>31</v>
      </c>
      <c r="B96" s="6">
        <v>129</v>
      </c>
      <c r="C96" s="5">
        <v>0.17741469653835046</v>
      </c>
      <c r="D96" s="5"/>
      <c r="E96" s="6">
        <v>118</v>
      </c>
      <c r="F96" s="5">
        <v>0.16547236751693287</v>
      </c>
      <c r="G96" s="5"/>
      <c r="H96" s="6">
        <v>6</v>
      </c>
      <c r="I96" s="5">
        <v>0.49833887043189368</v>
      </c>
      <c r="J96" s="5"/>
      <c r="K96" s="6">
        <v>5</v>
      </c>
      <c r="L96" s="5">
        <v>2.5510204081632653</v>
      </c>
      <c r="M96" s="5"/>
      <c r="N96" s="98"/>
      <c r="O96" s="98"/>
      <c r="P96" s="120"/>
      <c r="Q96" s="133"/>
      <c r="R96" s="133"/>
      <c r="S96" s="133"/>
      <c r="T96" s="133"/>
      <c r="U96" s="133"/>
      <c r="V96" s="133"/>
      <c r="W96" s="120"/>
      <c r="X96" s="120"/>
      <c r="Y96" s="117"/>
      <c r="Z96" s="118"/>
      <c r="AA96" s="118"/>
      <c r="AB96" s="146"/>
      <c r="AC96" s="142"/>
      <c r="AD96" s="39"/>
      <c r="AE96" s="39"/>
      <c r="AF96" s="39"/>
      <c r="AG96" s="39"/>
      <c r="AH96" s="39"/>
      <c r="AI96" s="39"/>
      <c r="AJ96" s="39"/>
      <c r="AK96" s="39"/>
      <c r="AL96" s="39"/>
    </row>
    <row r="97" spans="1:38" ht="14.1" customHeight="1" x14ac:dyDescent="0.25">
      <c r="A97" s="61" t="s">
        <v>32</v>
      </c>
      <c r="B97" s="6">
        <v>4978</v>
      </c>
      <c r="C97" s="5">
        <v>6.8462818555651825</v>
      </c>
      <c r="D97" s="5"/>
      <c r="E97" s="6">
        <v>4752</v>
      </c>
      <c r="F97" s="5">
        <v>6.6637685630547878</v>
      </c>
      <c r="G97" s="5"/>
      <c r="H97" s="6">
        <v>210</v>
      </c>
      <c r="I97" s="5">
        <v>17.441860465116278</v>
      </c>
      <c r="J97" s="5"/>
      <c r="K97" s="6">
        <v>16</v>
      </c>
      <c r="L97" s="5">
        <v>8.1632653061224492</v>
      </c>
      <c r="M97" s="5"/>
      <c r="N97" s="98"/>
      <c r="O97" s="98"/>
      <c r="P97" s="120"/>
      <c r="Q97" s="133"/>
      <c r="R97" s="133"/>
      <c r="S97" s="133"/>
      <c r="T97" s="133"/>
      <c r="U97" s="133"/>
      <c r="V97" s="133"/>
      <c r="W97" s="120"/>
      <c r="X97" s="120"/>
      <c r="Y97" s="118"/>
      <c r="Z97" s="118"/>
      <c r="AA97" s="118"/>
      <c r="AB97" s="118"/>
      <c r="AC97" s="142"/>
      <c r="AD97" s="39"/>
      <c r="AE97" s="39"/>
      <c r="AF97" s="39"/>
      <c r="AG97" s="39"/>
      <c r="AH97" s="39"/>
      <c r="AI97" s="39"/>
      <c r="AJ97" s="39"/>
      <c r="AK97" s="39"/>
      <c r="AL97" s="39"/>
    </row>
    <row r="98" spans="1:38" ht="14.1" customHeight="1" x14ac:dyDescent="0.25">
      <c r="A98" s="61" t="s">
        <v>33</v>
      </c>
      <c r="B98" s="6">
        <v>29646</v>
      </c>
      <c r="C98" s="5">
        <v>40.77237281841812</v>
      </c>
      <c r="D98" s="5"/>
      <c r="E98" s="6">
        <v>29050</v>
      </c>
      <c r="F98" s="5">
        <v>40.837053189549998</v>
      </c>
      <c r="G98" s="5"/>
      <c r="H98" s="6">
        <v>489</v>
      </c>
      <c r="I98" s="5">
        <v>40.714617940199339</v>
      </c>
      <c r="J98" s="5"/>
      <c r="K98" s="6">
        <v>107</v>
      </c>
      <c r="L98" s="5">
        <v>54.491836734693877</v>
      </c>
      <c r="M98" s="5"/>
      <c r="N98" s="98"/>
      <c r="O98" s="98"/>
      <c r="P98" s="120"/>
      <c r="Q98" s="133"/>
      <c r="R98" s="133"/>
      <c r="S98" s="133"/>
      <c r="T98" s="133"/>
      <c r="U98" s="133"/>
      <c r="V98" s="133"/>
      <c r="W98" s="120"/>
      <c r="X98" s="120"/>
      <c r="Y98" s="117"/>
      <c r="Z98" s="117"/>
      <c r="AA98" s="117"/>
      <c r="AB98" s="117"/>
      <c r="AC98" s="142"/>
      <c r="AD98" s="39"/>
      <c r="AE98" s="39"/>
      <c r="AF98" s="39"/>
      <c r="AG98" s="39"/>
      <c r="AH98" s="39"/>
      <c r="AI98" s="39"/>
      <c r="AJ98" s="39"/>
      <c r="AK98" s="39"/>
      <c r="AL98" s="39"/>
    </row>
    <row r="99" spans="1:38" ht="14.1" customHeight="1" x14ac:dyDescent="0.25">
      <c r="A99" s="61" t="s">
        <v>34</v>
      </c>
      <c r="B99" s="6">
        <v>5090</v>
      </c>
      <c r="C99" s="5">
        <v>7.0003163207767738</v>
      </c>
      <c r="D99" s="5"/>
      <c r="E99" s="6">
        <v>4939</v>
      </c>
      <c r="F99" s="5">
        <v>6.9260001963231481</v>
      </c>
      <c r="G99" s="5"/>
      <c r="H99" s="6">
        <v>136</v>
      </c>
      <c r="I99" s="5">
        <v>11.295681063122924</v>
      </c>
      <c r="J99" s="5"/>
      <c r="K99" s="6">
        <v>15</v>
      </c>
      <c r="L99" s="5">
        <v>7.6530612244897958</v>
      </c>
      <c r="M99" s="5"/>
      <c r="N99" s="98"/>
      <c r="O99" s="98"/>
      <c r="P99" s="120"/>
      <c r="Q99" s="133"/>
      <c r="R99" s="133"/>
      <c r="S99" s="133"/>
      <c r="T99" s="133"/>
      <c r="U99" s="133"/>
      <c r="V99" s="133"/>
      <c r="W99" s="120"/>
      <c r="X99" s="120"/>
      <c r="Y99" s="117"/>
      <c r="Z99" s="144"/>
      <c r="AA99" s="144"/>
      <c r="AB99" s="146"/>
      <c r="AC99" s="142"/>
      <c r="AD99" s="39"/>
      <c r="AE99" s="39"/>
      <c r="AF99" s="39"/>
      <c r="AG99" s="39"/>
      <c r="AH99" s="39"/>
      <c r="AI99" s="39"/>
      <c r="AJ99" s="39"/>
      <c r="AK99" s="39"/>
      <c r="AL99" s="39"/>
    </row>
    <row r="100" spans="1:38" ht="14.1" customHeight="1" x14ac:dyDescent="0.25">
      <c r="A100" s="61" t="s">
        <v>68</v>
      </c>
      <c r="B100" s="6">
        <v>994</v>
      </c>
      <c r="C100" s="5">
        <v>1.367055878752871</v>
      </c>
      <c r="D100" s="5"/>
      <c r="E100" s="6">
        <v>985</v>
      </c>
      <c r="F100" s="5">
        <v>1.3812735763066006</v>
      </c>
      <c r="G100" s="5"/>
      <c r="H100" s="6">
        <v>9</v>
      </c>
      <c r="I100" s="5">
        <v>0.74750830564784054</v>
      </c>
      <c r="J100" s="5"/>
      <c r="K100" s="3" t="s">
        <v>96</v>
      </c>
      <c r="L100" s="3" t="s">
        <v>96</v>
      </c>
      <c r="M100" s="5"/>
      <c r="N100" s="98"/>
      <c r="O100" s="98"/>
      <c r="P100" s="120"/>
      <c r="Q100" s="133"/>
      <c r="R100" s="133"/>
      <c r="S100" s="133"/>
      <c r="T100" s="133"/>
      <c r="U100" s="133"/>
      <c r="V100" s="133"/>
      <c r="W100" s="120"/>
      <c r="X100" s="120"/>
      <c r="Y100" s="117"/>
      <c r="Z100" s="144"/>
      <c r="AA100" s="144"/>
      <c r="AB100" s="146"/>
      <c r="AC100" s="142"/>
      <c r="AD100" s="39"/>
      <c r="AE100" s="39"/>
      <c r="AF100" s="39"/>
      <c r="AG100" s="39"/>
      <c r="AH100" s="39"/>
      <c r="AI100" s="39"/>
      <c r="AJ100" s="39"/>
      <c r="AK100" s="39"/>
      <c r="AL100" s="39"/>
    </row>
    <row r="101" spans="1:38" ht="14.1" customHeight="1" x14ac:dyDescent="0.25">
      <c r="A101" s="61" t="s">
        <v>69</v>
      </c>
      <c r="B101" s="6">
        <v>6885</v>
      </c>
      <c r="C101" s="5">
        <v>9.4689936873375409</v>
      </c>
      <c r="D101" s="5"/>
      <c r="E101" s="6">
        <v>6867</v>
      </c>
      <c r="F101" s="5">
        <v>9.6296504045659148</v>
      </c>
      <c r="G101" s="5"/>
      <c r="H101" s="6">
        <v>16</v>
      </c>
      <c r="I101" s="5">
        <v>1.3289036544850499</v>
      </c>
      <c r="J101" s="5"/>
      <c r="K101" s="6">
        <v>2</v>
      </c>
      <c r="L101" s="5">
        <v>1.0204081632653061</v>
      </c>
      <c r="M101" s="5"/>
      <c r="N101" s="98"/>
      <c r="O101" s="98"/>
      <c r="P101" s="120"/>
      <c r="Q101" s="133"/>
      <c r="R101" s="133"/>
      <c r="S101" s="133"/>
      <c r="T101" s="133"/>
      <c r="U101" s="133"/>
      <c r="V101" s="133"/>
      <c r="W101" s="120"/>
      <c r="X101" s="120"/>
      <c r="Y101" s="117"/>
      <c r="Z101" s="144"/>
      <c r="AA101" s="144"/>
      <c r="AB101" s="146"/>
      <c r="AC101" s="142"/>
      <c r="AD101" s="39"/>
      <c r="AE101" s="39"/>
      <c r="AF101" s="39"/>
      <c r="AG101" s="39"/>
      <c r="AH101" s="39"/>
      <c r="AI101" s="39"/>
      <c r="AJ101" s="39"/>
      <c r="AK101" s="39"/>
      <c r="AL101" s="39"/>
    </row>
    <row r="102" spans="1:38" ht="14.1" customHeight="1" x14ac:dyDescent="0.25">
      <c r="A102" s="61" t="s">
        <v>35</v>
      </c>
      <c r="B102" s="6">
        <v>1249</v>
      </c>
      <c r="C102" s="5">
        <v>1.7177593486542613</v>
      </c>
      <c r="D102" s="5"/>
      <c r="E102" s="6">
        <v>1233</v>
      </c>
      <c r="F102" s="5">
        <v>1.7290460097320191</v>
      </c>
      <c r="G102" s="5"/>
      <c r="H102" s="6">
        <v>13</v>
      </c>
      <c r="I102" s="5">
        <v>1.0797342192691028</v>
      </c>
      <c r="J102" s="5"/>
      <c r="K102" s="6">
        <v>3</v>
      </c>
      <c r="L102" s="5">
        <v>1.5306122448979591</v>
      </c>
      <c r="M102" s="5"/>
      <c r="N102" s="98"/>
      <c r="O102" s="98"/>
      <c r="P102" s="120"/>
      <c r="Q102" s="133"/>
      <c r="R102" s="133"/>
      <c r="S102" s="133"/>
      <c r="T102" s="133"/>
      <c r="U102" s="133"/>
      <c r="V102" s="133"/>
      <c r="W102" s="120"/>
      <c r="X102" s="120"/>
      <c r="Y102" s="117"/>
      <c r="Z102" s="144"/>
      <c r="AA102" s="144"/>
      <c r="AB102" s="146"/>
      <c r="AC102" s="142"/>
      <c r="AD102" s="39"/>
      <c r="AE102" s="39"/>
      <c r="AF102" s="39"/>
      <c r="AG102" s="39"/>
      <c r="AH102" s="39"/>
      <c r="AI102" s="39"/>
      <c r="AJ102" s="39"/>
      <c r="AK102" s="39"/>
      <c r="AL102" s="39"/>
    </row>
    <row r="103" spans="1:38" ht="14.1" customHeight="1" x14ac:dyDescent="0.25">
      <c r="A103" s="61" t="s">
        <v>36</v>
      </c>
      <c r="B103" s="6">
        <v>8447</v>
      </c>
      <c r="C103" s="5">
        <v>11.617224353949196</v>
      </c>
      <c r="D103" s="5"/>
      <c r="E103" s="6">
        <v>8283</v>
      </c>
      <c r="F103" s="5">
        <v>11.615318814769109</v>
      </c>
      <c r="G103" s="5"/>
      <c r="H103" s="6">
        <v>154</v>
      </c>
      <c r="I103" s="5">
        <v>12.790697674418606</v>
      </c>
      <c r="J103" s="5"/>
      <c r="K103" s="6">
        <v>10</v>
      </c>
      <c r="L103" s="5">
        <v>5.1020408163265305</v>
      </c>
      <c r="M103" s="5"/>
      <c r="N103" s="98"/>
      <c r="O103" s="98"/>
      <c r="P103" s="120"/>
      <c r="Q103" s="133"/>
      <c r="R103" s="133"/>
      <c r="S103" s="133"/>
      <c r="T103" s="133"/>
      <c r="U103" s="133"/>
      <c r="V103" s="133"/>
      <c r="W103" s="120"/>
      <c r="X103" s="120"/>
      <c r="Y103" s="117"/>
      <c r="Z103" s="144"/>
      <c r="AA103" s="144"/>
      <c r="AB103" s="146"/>
      <c r="AC103" s="142"/>
      <c r="AD103" s="39"/>
      <c r="AE103" s="39"/>
      <c r="AF103" s="39"/>
      <c r="AG103" s="39"/>
      <c r="AH103" s="39"/>
      <c r="AI103" s="39"/>
      <c r="AJ103" s="39"/>
      <c r="AK103" s="39"/>
      <c r="AL103" s="39"/>
    </row>
    <row r="104" spans="1:38" ht="14.1" customHeight="1" x14ac:dyDescent="0.25">
      <c r="A104" s="61" t="s">
        <v>37</v>
      </c>
      <c r="B104" s="6">
        <v>8022</v>
      </c>
      <c r="C104" s="5">
        <v>11.032718570780212</v>
      </c>
      <c r="D104" s="5"/>
      <c r="E104" s="6">
        <v>7946</v>
      </c>
      <c r="F104" s="5">
        <v>11.142740951606346</v>
      </c>
      <c r="G104" s="5"/>
      <c r="H104" s="6">
        <v>63</v>
      </c>
      <c r="I104" s="5">
        <v>5.2325581395348841</v>
      </c>
      <c r="J104" s="5"/>
      <c r="K104" s="6">
        <v>13</v>
      </c>
      <c r="L104" s="5">
        <v>6.6326530612244898</v>
      </c>
      <c r="M104" s="5"/>
      <c r="N104" s="98"/>
      <c r="O104" s="98"/>
      <c r="P104" s="120"/>
      <c r="Q104" s="133"/>
      <c r="R104" s="133"/>
      <c r="S104" s="133"/>
      <c r="T104" s="133"/>
      <c r="U104" s="133"/>
      <c r="V104" s="133"/>
      <c r="W104" s="120"/>
      <c r="X104" s="120"/>
      <c r="Y104" s="117"/>
      <c r="Z104" s="144"/>
      <c r="AA104" s="144"/>
      <c r="AB104" s="146"/>
      <c r="AC104" s="142"/>
      <c r="AD104" s="39"/>
      <c r="AE104" s="39"/>
      <c r="AF104" s="39"/>
      <c r="AG104" s="39"/>
      <c r="AH104" s="39"/>
      <c r="AI104" s="39"/>
      <c r="AJ104" s="39"/>
      <c r="AK104" s="39"/>
      <c r="AL104" s="39"/>
    </row>
    <row r="105" spans="1:38" ht="14.1" customHeight="1" x14ac:dyDescent="0.25">
      <c r="A105" s="61"/>
      <c r="B105" s="6"/>
      <c r="C105" s="5"/>
      <c r="D105" s="5"/>
      <c r="E105" s="6"/>
      <c r="F105" s="5"/>
      <c r="G105" s="5"/>
      <c r="H105" s="6"/>
      <c r="I105" s="5"/>
      <c r="J105" s="5"/>
      <c r="K105" s="6"/>
      <c r="L105" s="5"/>
      <c r="M105" s="5"/>
      <c r="N105" s="98"/>
      <c r="O105" s="98"/>
      <c r="P105" s="120"/>
      <c r="Q105" s="133"/>
      <c r="R105" s="133"/>
      <c r="S105" s="133"/>
      <c r="T105" s="133"/>
      <c r="U105" s="133"/>
      <c r="V105" s="133"/>
      <c r="W105" s="120"/>
      <c r="X105" s="120"/>
      <c r="Y105" s="118"/>
      <c r="Z105" s="118"/>
      <c r="AA105" s="118"/>
      <c r="AB105" s="118"/>
      <c r="AC105" s="142"/>
      <c r="AD105" s="39"/>
      <c r="AE105" s="39"/>
      <c r="AF105" s="39"/>
      <c r="AG105" s="39"/>
      <c r="AH105" s="39"/>
      <c r="AI105" s="39"/>
      <c r="AJ105" s="39"/>
      <c r="AK105" s="39"/>
      <c r="AL105" s="39"/>
    </row>
    <row r="106" spans="1:38" s="35" customFormat="1" ht="14.1" customHeight="1" x14ac:dyDescent="0.25">
      <c r="A106" s="62" t="s">
        <v>55</v>
      </c>
      <c r="B106" s="9">
        <v>99056</v>
      </c>
      <c r="C106" s="15">
        <v>100</v>
      </c>
      <c r="D106" s="15"/>
      <c r="E106" s="9">
        <v>96558</v>
      </c>
      <c r="F106" s="15">
        <v>100</v>
      </c>
      <c r="G106" s="15"/>
      <c r="H106" s="9">
        <v>2001</v>
      </c>
      <c r="I106" s="96">
        <v>100</v>
      </c>
      <c r="J106" s="15"/>
      <c r="K106" s="9">
        <v>497</v>
      </c>
      <c r="L106" s="96">
        <v>100</v>
      </c>
      <c r="M106" s="15"/>
      <c r="N106" s="96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117"/>
      <c r="Z106" s="144"/>
      <c r="AA106" s="144"/>
      <c r="AB106" s="146"/>
      <c r="AC106" s="142"/>
      <c r="AD106" s="39"/>
      <c r="AE106" s="39"/>
      <c r="AF106" s="39"/>
      <c r="AG106" s="39"/>
      <c r="AH106" s="39"/>
      <c r="AI106" s="39"/>
      <c r="AJ106" s="39"/>
      <c r="AK106" s="39"/>
      <c r="AL106" s="39"/>
    </row>
    <row r="107" spans="1:38" ht="14.1" customHeight="1" x14ac:dyDescent="0.25">
      <c r="A107" s="61" t="s">
        <v>57</v>
      </c>
      <c r="B107" s="6">
        <v>367</v>
      </c>
      <c r="C107" s="5">
        <v>0.37049749636569212</v>
      </c>
      <c r="D107" s="5"/>
      <c r="E107" s="6">
        <v>296</v>
      </c>
      <c r="F107" s="5">
        <v>0.30655150272375153</v>
      </c>
      <c r="G107" s="5"/>
      <c r="H107" s="6">
        <v>54</v>
      </c>
      <c r="I107" s="5">
        <v>2.6986506746626686</v>
      </c>
      <c r="J107" s="5"/>
      <c r="K107" s="6">
        <v>17</v>
      </c>
      <c r="L107" s="5">
        <v>3.4205231388329982</v>
      </c>
      <c r="M107" s="5"/>
      <c r="N107" s="98"/>
      <c r="O107" s="98"/>
      <c r="P107" s="120"/>
      <c r="Q107" s="133"/>
      <c r="R107" s="133"/>
      <c r="S107" s="133"/>
      <c r="T107" s="133"/>
      <c r="U107" s="133"/>
      <c r="V107" s="133"/>
      <c r="W107" s="120"/>
      <c r="X107" s="120"/>
      <c r="Y107" s="117"/>
      <c r="Z107" s="144"/>
      <c r="AA107" s="144"/>
      <c r="AB107" s="146"/>
      <c r="AC107" s="142"/>
      <c r="AD107" s="39"/>
      <c r="AE107" s="39"/>
      <c r="AF107" s="39"/>
      <c r="AG107" s="39"/>
      <c r="AH107" s="39"/>
      <c r="AI107" s="39"/>
      <c r="AJ107" s="39"/>
      <c r="AK107" s="39"/>
      <c r="AL107" s="39"/>
    </row>
    <row r="108" spans="1:38" ht="14.1" customHeight="1" x14ac:dyDescent="0.25">
      <c r="A108" s="61" t="s">
        <v>29</v>
      </c>
      <c r="B108" s="6">
        <v>191</v>
      </c>
      <c r="C108" s="5">
        <v>0.1928202229042158</v>
      </c>
      <c r="D108" s="5"/>
      <c r="E108" s="6">
        <v>178</v>
      </c>
      <c r="F108" s="5">
        <v>0.18434516042171545</v>
      </c>
      <c r="G108" s="5"/>
      <c r="H108" s="6">
        <v>12</v>
      </c>
      <c r="I108" s="5">
        <v>0.59970014992503751</v>
      </c>
      <c r="J108" s="5"/>
      <c r="K108" s="6">
        <v>1</v>
      </c>
      <c r="L108" s="5">
        <v>0.2012072434607646</v>
      </c>
      <c r="M108" s="5"/>
      <c r="N108" s="98"/>
      <c r="O108" s="98"/>
      <c r="P108" s="120"/>
      <c r="Q108" s="133"/>
      <c r="R108" s="133"/>
      <c r="S108" s="133"/>
      <c r="T108" s="133"/>
      <c r="U108" s="133"/>
      <c r="V108" s="133"/>
      <c r="W108" s="120"/>
      <c r="X108" s="120"/>
      <c r="Y108" s="117"/>
      <c r="Z108" s="144"/>
      <c r="AA108" s="144"/>
      <c r="AB108" s="146"/>
      <c r="AC108" s="142"/>
      <c r="AD108" s="39"/>
      <c r="AE108" s="39"/>
      <c r="AF108" s="39"/>
      <c r="AG108" s="39"/>
      <c r="AH108" s="39"/>
      <c r="AI108" s="39"/>
      <c r="AJ108" s="39"/>
      <c r="AK108" s="39"/>
      <c r="AL108" s="39"/>
    </row>
    <row r="109" spans="1:38" ht="14.1" customHeight="1" x14ac:dyDescent="0.25">
      <c r="A109" s="61" t="s">
        <v>30</v>
      </c>
      <c r="B109" s="6">
        <v>7260</v>
      </c>
      <c r="C109" s="5">
        <v>7.3291875302858998</v>
      </c>
      <c r="D109" s="5"/>
      <c r="E109" s="6">
        <v>6874</v>
      </c>
      <c r="F109" s="5">
        <v>7.1190372625779315</v>
      </c>
      <c r="G109" s="5"/>
      <c r="H109" s="6">
        <v>274</v>
      </c>
      <c r="I109" s="5">
        <v>13.693153423288356</v>
      </c>
      <c r="J109" s="5"/>
      <c r="K109" s="6">
        <v>112</v>
      </c>
      <c r="L109" s="5">
        <v>22.535211267605636</v>
      </c>
      <c r="M109" s="5"/>
      <c r="N109" s="98"/>
      <c r="O109" s="98"/>
      <c r="P109" s="120"/>
      <c r="Q109" s="133"/>
      <c r="R109" s="133"/>
      <c r="S109" s="133"/>
      <c r="T109" s="133"/>
      <c r="U109" s="133"/>
      <c r="V109" s="133"/>
      <c r="W109" s="120"/>
      <c r="X109" s="120"/>
      <c r="Y109" s="117"/>
      <c r="Z109" s="144"/>
      <c r="AA109" s="144"/>
      <c r="AB109" s="146"/>
      <c r="AC109" s="142"/>
      <c r="AD109" s="39"/>
      <c r="AE109" s="39"/>
      <c r="AF109" s="39"/>
      <c r="AG109" s="39"/>
      <c r="AH109" s="39"/>
      <c r="AI109" s="39"/>
      <c r="AJ109" s="39"/>
      <c r="AK109" s="39"/>
      <c r="AL109" s="39"/>
    </row>
    <row r="110" spans="1:38" ht="14.1" customHeight="1" x14ac:dyDescent="0.25">
      <c r="A110" s="61" t="s">
        <v>31</v>
      </c>
      <c r="B110" s="6">
        <v>325</v>
      </c>
      <c r="C110" s="5">
        <v>0.32809723792602163</v>
      </c>
      <c r="D110" s="5"/>
      <c r="E110" s="6">
        <v>293</v>
      </c>
      <c r="F110" s="5">
        <v>0.30344456181776752</v>
      </c>
      <c r="G110" s="5"/>
      <c r="H110" s="6">
        <v>26</v>
      </c>
      <c r="I110" s="5">
        <v>1.2993503248375811</v>
      </c>
      <c r="J110" s="5"/>
      <c r="K110" s="6">
        <v>6</v>
      </c>
      <c r="L110" s="5">
        <v>1.2072434607645874</v>
      </c>
      <c r="M110" s="5"/>
      <c r="N110" s="98"/>
      <c r="O110" s="98"/>
      <c r="P110" s="120"/>
      <c r="Q110" s="133"/>
      <c r="R110" s="133"/>
      <c r="S110" s="133"/>
      <c r="T110" s="133"/>
      <c r="U110" s="133"/>
      <c r="V110" s="133"/>
      <c r="W110" s="120"/>
      <c r="X110" s="120"/>
      <c r="Y110" s="117"/>
      <c r="Z110" s="144"/>
      <c r="AA110" s="144"/>
      <c r="AB110" s="146"/>
      <c r="AC110" s="142"/>
      <c r="AD110" s="39"/>
      <c r="AE110" s="39"/>
      <c r="AF110" s="39"/>
      <c r="AG110" s="39"/>
      <c r="AH110" s="39"/>
      <c r="AI110" s="39"/>
      <c r="AJ110" s="39"/>
      <c r="AK110" s="39"/>
      <c r="AL110" s="39"/>
    </row>
    <row r="111" spans="1:38" ht="14.1" customHeight="1" x14ac:dyDescent="0.25">
      <c r="A111" s="61" t="s">
        <v>32</v>
      </c>
      <c r="B111" s="6">
        <v>1897</v>
      </c>
      <c r="C111" s="5">
        <v>1.915078339525117</v>
      </c>
      <c r="D111" s="5"/>
      <c r="E111" s="6">
        <v>1799</v>
      </c>
      <c r="F111" s="5">
        <v>1.8631288966217197</v>
      </c>
      <c r="G111" s="5"/>
      <c r="H111" s="6">
        <v>87</v>
      </c>
      <c r="I111" s="5">
        <v>4.3478260869565215</v>
      </c>
      <c r="J111" s="5"/>
      <c r="K111" s="6">
        <v>11</v>
      </c>
      <c r="L111" s="5">
        <v>2.2132796780684103</v>
      </c>
      <c r="M111" s="5"/>
      <c r="N111" s="98"/>
      <c r="O111" s="98"/>
      <c r="P111" s="120"/>
      <c r="Q111" s="133"/>
      <c r="R111" s="133"/>
      <c r="S111" s="133"/>
      <c r="T111" s="133"/>
      <c r="U111" s="133"/>
      <c r="V111" s="133"/>
      <c r="W111" s="120"/>
      <c r="X111" s="120"/>
      <c r="Y111" s="117"/>
      <c r="Z111" s="144"/>
      <c r="AA111" s="144"/>
      <c r="AB111" s="146"/>
      <c r="AC111" s="142"/>
      <c r="AD111" s="39"/>
      <c r="AE111" s="39"/>
      <c r="AF111" s="39"/>
      <c r="AG111" s="39"/>
      <c r="AH111" s="39"/>
      <c r="AI111" s="39"/>
      <c r="AJ111" s="39"/>
      <c r="AK111" s="39"/>
      <c r="AL111" s="39"/>
    </row>
    <row r="112" spans="1:38" ht="14.1" customHeight="1" x14ac:dyDescent="0.25">
      <c r="A112" s="61" t="s">
        <v>33</v>
      </c>
      <c r="B112" s="6">
        <v>41595</v>
      </c>
      <c r="C112" s="5">
        <v>41.991398804716525</v>
      </c>
      <c r="D112" s="5"/>
      <c r="E112" s="6">
        <v>40783</v>
      </c>
      <c r="F112" s="5">
        <v>42.236790322914722</v>
      </c>
      <c r="G112" s="5"/>
      <c r="H112" s="6">
        <v>655</v>
      </c>
      <c r="I112" s="5">
        <v>32.833633183408296</v>
      </c>
      <c r="J112" s="5"/>
      <c r="K112" s="6">
        <v>157</v>
      </c>
      <c r="L112" s="5">
        <v>31.689537223340043</v>
      </c>
      <c r="M112" s="5"/>
      <c r="N112" s="98"/>
      <c r="O112" s="98"/>
      <c r="P112" s="120"/>
      <c r="Q112" s="133"/>
      <c r="R112" s="133"/>
      <c r="S112" s="133"/>
      <c r="T112" s="133"/>
      <c r="U112" s="133"/>
      <c r="V112" s="133"/>
      <c r="W112" s="120"/>
      <c r="X112" s="120"/>
      <c r="Y112" s="118"/>
      <c r="Z112" s="118"/>
      <c r="AA112" s="118"/>
      <c r="AB112" s="118"/>
      <c r="AC112" s="142"/>
      <c r="AD112" s="39"/>
      <c r="AE112" s="39"/>
      <c r="AF112" s="39"/>
      <c r="AG112" s="39"/>
      <c r="AH112" s="39"/>
      <c r="AI112" s="39"/>
      <c r="AJ112" s="39"/>
      <c r="AK112" s="39"/>
      <c r="AL112" s="39"/>
    </row>
    <row r="113" spans="1:38" ht="14.1" customHeight="1" x14ac:dyDescent="0.25">
      <c r="A113" s="61" t="s">
        <v>34</v>
      </c>
      <c r="B113" s="6">
        <v>8831</v>
      </c>
      <c r="C113" s="5">
        <v>8.9151591019221446</v>
      </c>
      <c r="D113" s="5"/>
      <c r="E113" s="6">
        <v>8230</v>
      </c>
      <c r="F113" s="5">
        <v>8.5233745520826876</v>
      </c>
      <c r="G113" s="5"/>
      <c r="H113" s="6">
        <v>472</v>
      </c>
      <c r="I113" s="5">
        <v>23.688205897051475</v>
      </c>
      <c r="J113" s="5"/>
      <c r="K113" s="6">
        <v>129</v>
      </c>
      <c r="L113" s="5">
        <v>25.95573440643863</v>
      </c>
      <c r="M113" s="5"/>
      <c r="N113" s="98"/>
      <c r="O113" s="98"/>
      <c r="P113" s="120"/>
      <c r="Q113" s="133"/>
      <c r="R113" s="133"/>
      <c r="S113" s="133"/>
      <c r="T113" s="133"/>
      <c r="U113" s="133"/>
      <c r="V113" s="133"/>
      <c r="W113" s="120"/>
      <c r="X113" s="120"/>
      <c r="Y113" s="117"/>
      <c r="Z113" s="117"/>
      <c r="AA113" s="117"/>
      <c r="AB113" s="117"/>
      <c r="AC113" s="142"/>
      <c r="AD113" s="39"/>
      <c r="AE113" s="39"/>
      <c r="AF113" s="39"/>
      <c r="AG113" s="39"/>
      <c r="AH113" s="39"/>
      <c r="AI113" s="39"/>
      <c r="AJ113" s="39"/>
      <c r="AK113" s="39"/>
      <c r="AL113" s="39"/>
    </row>
    <row r="114" spans="1:38" ht="14.1" customHeight="1" x14ac:dyDescent="0.25">
      <c r="A114" s="61" t="s">
        <v>68</v>
      </c>
      <c r="B114" s="6">
        <v>355</v>
      </c>
      <c r="C114" s="5">
        <v>0.35838313681150052</v>
      </c>
      <c r="D114" s="5"/>
      <c r="E114" s="6">
        <v>352</v>
      </c>
      <c r="F114" s="5">
        <v>0.36454773296878556</v>
      </c>
      <c r="G114" s="5"/>
      <c r="H114" s="6">
        <v>3</v>
      </c>
      <c r="I114" s="5">
        <v>0.14992503748125938</v>
      </c>
      <c r="J114" s="5"/>
      <c r="K114" s="3" t="s">
        <v>96</v>
      </c>
      <c r="L114" s="3" t="s">
        <v>96</v>
      </c>
      <c r="M114" s="5"/>
      <c r="N114" s="98"/>
      <c r="O114" s="98"/>
      <c r="P114" s="120"/>
      <c r="Q114" s="133"/>
      <c r="R114" s="133"/>
      <c r="S114" s="133"/>
      <c r="T114" s="133"/>
      <c r="U114" s="133"/>
      <c r="V114" s="133"/>
      <c r="W114" s="120"/>
      <c r="X114" s="120"/>
      <c r="Y114" s="117"/>
      <c r="Z114" s="148"/>
      <c r="AA114" s="148"/>
      <c r="AB114" s="116"/>
      <c r="AC114" s="142"/>
      <c r="AD114" s="39"/>
      <c r="AE114" s="39"/>
      <c r="AF114" s="39"/>
      <c r="AG114" s="39"/>
      <c r="AH114" s="39"/>
      <c r="AI114" s="39"/>
      <c r="AJ114" s="39"/>
      <c r="AK114" s="39"/>
      <c r="AL114" s="39"/>
    </row>
    <row r="115" spans="1:38" ht="14.1" customHeight="1" x14ac:dyDescent="0.25">
      <c r="A115" s="61" t="s">
        <v>69</v>
      </c>
      <c r="B115" s="6">
        <v>6488</v>
      </c>
      <c r="C115" s="5">
        <v>6.5498303989662414</v>
      </c>
      <c r="D115" s="5"/>
      <c r="E115" s="6">
        <v>6452</v>
      </c>
      <c r="F115" s="5">
        <v>6.6819942418028537</v>
      </c>
      <c r="G115" s="5"/>
      <c r="H115" s="6">
        <v>31</v>
      </c>
      <c r="I115" s="5">
        <v>1.5492253873063468</v>
      </c>
      <c r="J115" s="5"/>
      <c r="K115" s="6">
        <v>5</v>
      </c>
      <c r="L115" s="5">
        <v>1.0060362173038229</v>
      </c>
      <c r="M115" s="5"/>
      <c r="N115" s="98"/>
      <c r="O115" s="98"/>
      <c r="P115" s="120"/>
      <c r="Q115" s="133"/>
      <c r="R115" s="133"/>
      <c r="S115" s="133"/>
      <c r="T115" s="133"/>
      <c r="U115" s="133"/>
      <c r="V115" s="133"/>
      <c r="W115" s="120"/>
      <c r="X115" s="120"/>
      <c r="Y115" s="117"/>
      <c r="Z115" s="148"/>
      <c r="AA115" s="148"/>
      <c r="AB115" s="116"/>
      <c r="AC115" s="142"/>
      <c r="AD115" s="39"/>
      <c r="AE115" s="39"/>
      <c r="AF115" s="39"/>
      <c r="AG115" s="39"/>
      <c r="AH115" s="39"/>
      <c r="AI115" s="39"/>
      <c r="AJ115" s="39"/>
      <c r="AK115" s="39"/>
      <c r="AL115" s="39"/>
    </row>
    <row r="116" spans="1:38" ht="14.1" customHeight="1" x14ac:dyDescent="0.25">
      <c r="A116" s="61" t="s">
        <v>35</v>
      </c>
      <c r="B116" s="6">
        <v>2142</v>
      </c>
      <c r="C116" s="5">
        <v>2.162413180423195</v>
      </c>
      <c r="D116" s="5"/>
      <c r="E116" s="6">
        <v>2109</v>
      </c>
      <c r="F116" s="5">
        <v>2.1841794569067297</v>
      </c>
      <c r="G116" s="5"/>
      <c r="H116" s="6">
        <v>32</v>
      </c>
      <c r="I116" s="5">
        <v>1.5992003998000999</v>
      </c>
      <c r="J116" s="5"/>
      <c r="K116" s="6">
        <v>1</v>
      </c>
      <c r="L116" s="5">
        <v>0.2012072434607646</v>
      </c>
      <c r="M116" s="5"/>
      <c r="N116" s="98"/>
      <c r="O116" s="98"/>
      <c r="P116" s="120"/>
      <c r="Q116" s="133"/>
      <c r="R116" s="133"/>
      <c r="S116" s="133"/>
      <c r="T116" s="133"/>
      <c r="U116" s="133"/>
      <c r="V116" s="133"/>
      <c r="W116" s="120"/>
      <c r="X116" s="120"/>
      <c r="Y116" s="117"/>
      <c r="Z116" s="148"/>
      <c r="AA116" s="148"/>
      <c r="AB116" s="116"/>
      <c r="AC116" s="142"/>
      <c r="AD116" s="39"/>
      <c r="AE116" s="39"/>
      <c r="AF116" s="39"/>
      <c r="AG116" s="39"/>
      <c r="AH116" s="39"/>
      <c r="AI116" s="39"/>
      <c r="AJ116" s="39"/>
      <c r="AK116" s="39"/>
      <c r="AL116" s="39"/>
    </row>
    <row r="117" spans="1:38" ht="14.1" customHeight="1" x14ac:dyDescent="0.25">
      <c r="A117" s="61" t="s">
        <v>36</v>
      </c>
      <c r="B117" s="6">
        <v>9292</v>
      </c>
      <c r="C117" s="5">
        <v>9.3805524147956714</v>
      </c>
      <c r="D117" s="5"/>
      <c r="E117" s="6">
        <v>9077</v>
      </c>
      <c r="F117" s="5">
        <v>9.4005675345388262</v>
      </c>
      <c r="G117" s="5"/>
      <c r="H117" s="6">
        <v>175</v>
      </c>
      <c r="I117" s="5">
        <v>8.7456271864067965</v>
      </c>
      <c r="J117" s="5"/>
      <c r="K117" s="6">
        <v>40</v>
      </c>
      <c r="L117" s="5">
        <v>8.0482897384305829</v>
      </c>
      <c r="M117" s="5"/>
      <c r="N117" s="98"/>
      <c r="O117" s="98"/>
      <c r="P117" s="120"/>
      <c r="Q117" s="133"/>
      <c r="R117" s="133"/>
      <c r="S117" s="133"/>
      <c r="T117" s="133"/>
      <c r="U117" s="133"/>
      <c r="V117" s="133"/>
      <c r="W117" s="120"/>
      <c r="X117" s="120"/>
      <c r="Y117" s="117"/>
      <c r="Z117" s="148"/>
      <c r="AA117" s="148"/>
      <c r="AB117" s="116"/>
      <c r="AC117" s="142"/>
      <c r="AD117" s="39"/>
      <c r="AE117" s="39"/>
      <c r="AF117" s="39"/>
      <c r="AG117" s="39"/>
      <c r="AH117" s="39"/>
      <c r="AI117" s="39"/>
      <c r="AJ117" s="39"/>
      <c r="AK117" s="39"/>
      <c r="AL117" s="39"/>
    </row>
    <row r="118" spans="1:38" ht="14.1" customHeight="1" x14ac:dyDescent="0.25">
      <c r="A118" s="61" t="s">
        <v>37</v>
      </c>
      <c r="B118" s="6">
        <v>20313</v>
      </c>
      <c r="C118" s="5">
        <v>20.506582135357778</v>
      </c>
      <c r="D118" s="5"/>
      <c r="E118" s="6">
        <v>20115</v>
      </c>
      <c r="F118" s="5">
        <v>20.832038774622507</v>
      </c>
      <c r="G118" s="5"/>
      <c r="H118" s="6">
        <v>180</v>
      </c>
      <c r="I118" s="5">
        <v>8.995502248875562</v>
      </c>
      <c r="J118" s="5"/>
      <c r="K118" s="6">
        <v>18</v>
      </c>
      <c r="L118" s="5">
        <v>3.6217303822937628</v>
      </c>
      <c r="M118" s="5"/>
      <c r="N118" s="98"/>
      <c r="O118" s="98"/>
      <c r="P118" s="120"/>
      <c r="Q118" s="133"/>
      <c r="R118" s="133"/>
      <c r="S118" s="133"/>
      <c r="T118" s="133"/>
      <c r="U118" s="133"/>
      <c r="V118" s="133"/>
      <c r="W118" s="120"/>
      <c r="X118" s="120"/>
      <c r="Y118" s="117"/>
      <c r="Z118" s="148"/>
      <c r="AA118" s="148"/>
      <c r="AB118" s="116"/>
      <c r="AC118" s="142"/>
      <c r="AD118" s="39"/>
      <c r="AE118" s="39"/>
      <c r="AF118" s="39"/>
      <c r="AG118" s="39"/>
      <c r="AH118" s="39"/>
      <c r="AI118" s="39"/>
      <c r="AJ118" s="39"/>
      <c r="AK118" s="39"/>
      <c r="AL118" s="39"/>
    </row>
    <row r="119" spans="1:38" ht="14.1" customHeight="1" x14ac:dyDescent="0.25">
      <c r="A119" s="61"/>
      <c r="B119" s="6"/>
      <c r="C119" s="5"/>
      <c r="D119" s="5"/>
      <c r="E119" s="6"/>
      <c r="F119" s="5"/>
      <c r="G119" s="5"/>
      <c r="H119" s="6"/>
      <c r="I119" s="5"/>
      <c r="J119" s="5"/>
      <c r="K119" s="6"/>
      <c r="L119" s="5"/>
      <c r="M119" s="5"/>
      <c r="N119" s="98"/>
      <c r="O119" s="98"/>
      <c r="P119" s="120"/>
      <c r="Q119" s="133"/>
      <c r="R119" s="133"/>
      <c r="S119" s="133"/>
      <c r="T119" s="133"/>
      <c r="U119" s="133"/>
      <c r="V119" s="133"/>
      <c r="W119" s="120"/>
      <c r="X119" s="120"/>
      <c r="Y119" s="118"/>
      <c r="Z119" s="118"/>
      <c r="AA119" s="118"/>
      <c r="AB119" s="118"/>
      <c r="AC119" s="142"/>
      <c r="AD119" s="39"/>
      <c r="AE119" s="39"/>
      <c r="AF119" s="39"/>
      <c r="AG119" s="39"/>
      <c r="AH119" s="39"/>
      <c r="AI119" s="39"/>
      <c r="AJ119" s="39"/>
      <c r="AK119" s="39"/>
      <c r="AL119" s="39"/>
    </row>
    <row r="120" spans="1:38" s="35" customFormat="1" ht="14.1" customHeight="1" x14ac:dyDescent="0.25">
      <c r="A120" s="62" t="s">
        <v>17</v>
      </c>
      <c r="B120" s="9">
        <v>113842</v>
      </c>
      <c r="C120" s="96">
        <v>100</v>
      </c>
      <c r="D120" s="15"/>
      <c r="E120" s="9">
        <v>112340</v>
      </c>
      <c r="F120" s="15">
        <v>100</v>
      </c>
      <c r="G120" s="15"/>
      <c r="H120" s="9">
        <v>1343</v>
      </c>
      <c r="I120" s="15">
        <v>100</v>
      </c>
      <c r="J120" s="15"/>
      <c r="K120" s="9">
        <v>159</v>
      </c>
      <c r="L120" s="15">
        <v>100</v>
      </c>
      <c r="M120" s="15"/>
      <c r="N120" s="96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148"/>
      <c r="AA120" s="148"/>
      <c r="AB120" s="116"/>
      <c r="AC120" s="142"/>
      <c r="AD120" s="39"/>
      <c r="AE120" s="39"/>
      <c r="AF120" s="39"/>
      <c r="AG120" s="39"/>
      <c r="AH120" s="39"/>
      <c r="AI120" s="39"/>
      <c r="AJ120" s="39"/>
      <c r="AK120" s="39"/>
      <c r="AL120" s="39"/>
    </row>
    <row r="121" spans="1:38" ht="14.1" customHeight="1" x14ac:dyDescent="0.25">
      <c r="A121" s="61" t="s">
        <v>57</v>
      </c>
      <c r="B121" s="6">
        <v>1918</v>
      </c>
      <c r="C121" s="5">
        <v>1.6847912018411484</v>
      </c>
      <c r="D121" s="5"/>
      <c r="E121" s="6">
        <v>1904</v>
      </c>
      <c r="F121" s="5">
        <v>1.6948549047534271</v>
      </c>
      <c r="G121" s="5"/>
      <c r="H121" s="6">
        <v>10</v>
      </c>
      <c r="I121" s="5">
        <v>0.74460163812360391</v>
      </c>
      <c r="J121" s="5"/>
      <c r="K121" s="6">
        <v>4</v>
      </c>
      <c r="L121" s="5">
        <v>2.5157232704402519</v>
      </c>
      <c r="M121" s="5"/>
      <c r="N121" s="98"/>
      <c r="O121" s="98"/>
      <c r="P121" s="120"/>
      <c r="Q121" s="133"/>
      <c r="R121" s="133"/>
      <c r="S121" s="133"/>
      <c r="T121" s="133"/>
      <c r="U121" s="133"/>
      <c r="V121" s="133"/>
      <c r="W121" s="120"/>
      <c r="X121" s="120"/>
      <c r="Y121" s="117"/>
      <c r="Z121" s="148"/>
      <c r="AA121" s="148"/>
      <c r="AB121" s="116"/>
      <c r="AC121" s="142"/>
      <c r="AD121" s="39"/>
      <c r="AE121" s="39"/>
      <c r="AF121" s="39"/>
      <c r="AG121" s="39"/>
      <c r="AH121" s="39"/>
      <c r="AI121" s="39"/>
      <c r="AJ121" s="39"/>
      <c r="AK121" s="39"/>
      <c r="AL121" s="39"/>
    </row>
    <row r="122" spans="1:38" ht="14.1" customHeight="1" x14ac:dyDescent="0.25">
      <c r="A122" s="61" t="s">
        <v>29</v>
      </c>
      <c r="B122" s="6">
        <v>1315</v>
      </c>
      <c r="C122" s="5">
        <v>1.1551097134625183</v>
      </c>
      <c r="D122" s="5"/>
      <c r="E122" s="6">
        <v>1298</v>
      </c>
      <c r="F122" s="5">
        <v>1.1554210432615275</v>
      </c>
      <c r="G122" s="5"/>
      <c r="H122" s="6">
        <v>15</v>
      </c>
      <c r="I122" s="5">
        <v>1.1169024571854058</v>
      </c>
      <c r="J122" s="5"/>
      <c r="K122" s="6">
        <v>2</v>
      </c>
      <c r="L122" s="5">
        <v>1.257861635220126</v>
      </c>
      <c r="M122" s="5"/>
      <c r="N122" s="98"/>
      <c r="O122" s="98"/>
      <c r="P122" s="120"/>
      <c r="Q122" s="133"/>
      <c r="R122" s="133"/>
      <c r="S122" s="133"/>
      <c r="T122" s="133"/>
      <c r="U122" s="133"/>
      <c r="V122" s="133"/>
      <c r="W122" s="120"/>
      <c r="X122" s="120"/>
      <c r="Y122" s="117"/>
      <c r="Z122" s="148"/>
      <c r="AA122" s="148"/>
      <c r="AB122" s="116"/>
      <c r="AC122" s="142"/>
      <c r="AD122" s="39"/>
      <c r="AE122" s="39"/>
      <c r="AF122" s="39"/>
      <c r="AG122" s="39"/>
      <c r="AH122" s="39"/>
      <c r="AI122" s="39"/>
      <c r="AJ122" s="39"/>
      <c r="AK122" s="39"/>
      <c r="AL122" s="39"/>
    </row>
    <row r="123" spans="1:38" ht="14.1" customHeight="1" x14ac:dyDescent="0.25">
      <c r="A123" s="61" t="s">
        <v>30</v>
      </c>
      <c r="B123" s="6">
        <v>8331</v>
      </c>
      <c r="C123" s="5">
        <v>7.3180372797385846</v>
      </c>
      <c r="D123" s="5"/>
      <c r="E123" s="6">
        <v>8247</v>
      </c>
      <c r="F123" s="5">
        <v>7.3411073526793658</v>
      </c>
      <c r="G123" s="5"/>
      <c r="H123" s="6">
        <v>76</v>
      </c>
      <c r="I123" s="5">
        <v>5.6589724497393892</v>
      </c>
      <c r="J123" s="5"/>
      <c r="K123" s="6">
        <v>8</v>
      </c>
      <c r="L123" s="5">
        <v>5.0314465408805038</v>
      </c>
      <c r="M123" s="5"/>
      <c r="N123" s="98"/>
      <c r="O123" s="98"/>
      <c r="P123" s="120"/>
      <c r="Q123" s="133"/>
      <c r="R123" s="133"/>
      <c r="S123" s="133"/>
      <c r="T123" s="133"/>
      <c r="U123" s="133"/>
      <c r="V123" s="133"/>
      <c r="W123" s="120"/>
      <c r="X123" s="120"/>
      <c r="Y123" s="117"/>
      <c r="Z123" s="148"/>
      <c r="AA123" s="148"/>
      <c r="AB123" s="116"/>
      <c r="AC123" s="142"/>
      <c r="AD123" s="39"/>
      <c r="AE123" s="39"/>
      <c r="AF123" s="39"/>
      <c r="AG123" s="39"/>
      <c r="AH123" s="39"/>
      <c r="AI123" s="39"/>
      <c r="AJ123" s="39"/>
      <c r="AK123" s="39"/>
      <c r="AL123" s="39"/>
    </row>
    <row r="124" spans="1:38" ht="14.1" customHeight="1" x14ac:dyDescent="0.25">
      <c r="A124" s="61" t="s">
        <v>31</v>
      </c>
      <c r="B124" s="6">
        <v>128</v>
      </c>
      <c r="C124" s="5">
        <v>0.11243653484654169</v>
      </c>
      <c r="D124" s="5"/>
      <c r="E124" s="6">
        <v>122</v>
      </c>
      <c r="F124" s="5">
        <v>0.10859889620794018</v>
      </c>
      <c r="G124" s="5"/>
      <c r="H124" s="6">
        <v>3</v>
      </c>
      <c r="I124" s="5">
        <v>0.22338049143708116</v>
      </c>
      <c r="J124" s="5"/>
      <c r="K124" s="6">
        <v>3</v>
      </c>
      <c r="L124" s="5">
        <v>1.8867924528301887</v>
      </c>
      <c r="M124" s="5"/>
      <c r="N124" s="98"/>
      <c r="O124" s="98"/>
      <c r="P124" s="120"/>
      <c r="Q124" s="133"/>
      <c r="R124" s="133"/>
      <c r="S124" s="133"/>
      <c r="T124" s="133"/>
      <c r="U124" s="133"/>
      <c r="V124" s="133"/>
      <c r="W124" s="120"/>
      <c r="X124" s="120"/>
      <c r="Y124" s="117"/>
      <c r="Z124" s="148"/>
      <c r="AA124" s="148"/>
      <c r="AB124" s="116"/>
      <c r="AC124" s="142"/>
      <c r="AD124" s="39"/>
      <c r="AE124" s="39"/>
      <c r="AF124" s="39"/>
      <c r="AG124" s="39"/>
      <c r="AH124" s="39"/>
      <c r="AI124" s="39"/>
      <c r="AJ124" s="39"/>
      <c r="AK124" s="39"/>
      <c r="AL124" s="39"/>
    </row>
    <row r="125" spans="1:38" ht="14.1" customHeight="1" x14ac:dyDescent="0.25">
      <c r="A125" s="61" t="s">
        <v>32</v>
      </c>
      <c r="B125" s="6">
        <v>2543</v>
      </c>
      <c r="C125" s="5">
        <v>2.2337977196465277</v>
      </c>
      <c r="D125" s="5"/>
      <c r="E125" s="6">
        <v>2422</v>
      </c>
      <c r="F125" s="5">
        <v>2.1559551361936977</v>
      </c>
      <c r="G125" s="5"/>
      <c r="H125" s="6">
        <v>111</v>
      </c>
      <c r="I125" s="5">
        <v>8.2650781831720028</v>
      </c>
      <c r="J125" s="5"/>
      <c r="K125" s="6">
        <v>10</v>
      </c>
      <c r="L125" s="5">
        <v>6.2893081761006293</v>
      </c>
      <c r="M125" s="5"/>
      <c r="N125" s="98"/>
      <c r="O125" s="98"/>
      <c r="P125" s="120"/>
      <c r="Q125" s="133"/>
      <c r="R125" s="133"/>
      <c r="S125" s="133"/>
      <c r="T125" s="133"/>
      <c r="U125" s="133"/>
      <c r="V125" s="133"/>
      <c r="W125" s="120"/>
      <c r="X125" s="120"/>
      <c r="Y125" s="117"/>
      <c r="Z125" s="148"/>
      <c r="AA125" s="148"/>
      <c r="AB125" s="116"/>
      <c r="AC125" s="142"/>
      <c r="AD125" s="39"/>
      <c r="AE125" s="39"/>
      <c r="AF125" s="39"/>
      <c r="AG125" s="39"/>
      <c r="AH125" s="39"/>
      <c r="AI125" s="39"/>
      <c r="AJ125" s="39"/>
      <c r="AK125" s="39"/>
      <c r="AL125" s="39"/>
    </row>
    <row r="126" spans="1:38" ht="14.1" customHeight="1" x14ac:dyDescent="0.25">
      <c r="A126" s="61" t="s">
        <v>33</v>
      </c>
      <c r="B126" s="6">
        <v>52055</v>
      </c>
      <c r="C126" s="5">
        <v>45.825654854974438</v>
      </c>
      <c r="D126" s="5"/>
      <c r="E126" s="6">
        <v>51314</v>
      </c>
      <c r="F126" s="5">
        <v>45.677407868969198</v>
      </c>
      <c r="G126" s="5"/>
      <c r="H126" s="6">
        <v>651</v>
      </c>
      <c r="I126" s="5">
        <v>48.47356664184661</v>
      </c>
      <c r="J126" s="5"/>
      <c r="K126" s="6">
        <v>90</v>
      </c>
      <c r="L126" s="5">
        <v>56.60377358490566</v>
      </c>
      <c r="M126" s="5"/>
      <c r="N126" s="98"/>
      <c r="O126" s="98"/>
      <c r="P126" s="120"/>
      <c r="Q126" s="133"/>
      <c r="R126" s="133"/>
      <c r="S126" s="133"/>
      <c r="T126" s="133"/>
      <c r="U126" s="133"/>
      <c r="V126" s="133"/>
      <c r="W126" s="120"/>
      <c r="X126" s="120"/>
      <c r="Y126" s="117"/>
      <c r="Z126" s="148"/>
      <c r="AA126" s="148"/>
      <c r="AB126" s="116"/>
      <c r="AC126" s="142"/>
      <c r="AD126" s="39"/>
      <c r="AE126" s="39"/>
      <c r="AF126" s="39"/>
      <c r="AG126" s="39"/>
      <c r="AH126" s="39"/>
      <c r="AI126" s="39"/>
      <c r="AJ126" s="39"/>
      <c r="AK126" s="39"/>
      <c r="AL126" s="39"/>
    </row>
    <row r="127" spans="1:38" ht="14.1" customHeight="1" x14ac:dyDescent="0.25">
      <c r="A127" s="61" t="s">
        <v>34</v>
      </c>
      <c r="B127" s="6">
        <v>7326</v>
      </c>
      <c r="C127" s="5">
        <v>6.4352347991075352</v>
      </c>
      <c r="D127" s="5"/>
      <c r="E127" s="6">
        <v>7133</v>
      </c>
      <c r="F127" s="5">
        <v>6.3494748086166997</v>
      </c>
      <c r="G127" s="5"/>
      <c r="H127" s="6">
        <v>178</v>
      </c>
      <c r="I127" s="5">
        <v>13.25390915860015</v>
      </c>
      <c r="J127" s="5"/>
      <c r="K127" s="6">
        <v>15</v>
      </c>
      <c r="L127" s="5">
        <v>9.433962264150944</v>
      </c>
      <c r="M127" s="5"/>
      <c r="N127" s="98"/>
      <c r="O127" s="98"/>
      <c r="P127" s="120"/>
      <c r="Q127" s="133"/>
      <c r="R127" s="133"/>
      <c r="S127" s="133"/>
      <c r="T127" s="133"/>
      <c r="U127" s="133"/>
      <c r="V127" s="133"/>
      <c r="W127" s="120"/>
      <c r="X127" s="120"/>
      <c r="Y127" s="118"/>
      <c r="Z127" s="118"/>
      <c r="AA127" s="118"/>
      <c r="AB127" s="118"/>
      <c r="AC127" s="142"/>
      <c r="AD127" s="39"/>
      <c r="AE127" s="39"/>
      <c r="AF127" s="39"/>
      <c r="AG127" s="39"/>
      <c r="AH127" s="39"/>
      <c r="AI127" s="39"/>
      <c r="AJ127" s="39"/>
      <c r="AK127" s="39"/>
      <c r="AL127" s="39"/>
    </row>
    <row r="128" spans="1:38" ht="14.1" customHeight="1" x14ac:dyDescent="0.25">
      <c r="A128" s="61" t="s">
        <v>68</v>
      </c>
      <c r="B128" s="6">
        <v>2757</v>
      </c>
      <c r="C128" s="5">
        <v>2.4217775513430895</v>
      </c>
      <c r="D128" s="5"/>
      <c r="E128" s="6">
        <v>2729</v>
      </c>
      <c r="F128" s="5">
        <v>2.4292326864874489</v>
      </c>
      <c r="G128" s="5"/>
      <c r="H128" s="6">
        <v>26</v>
      </c>
      <c r="I128" s="5">
        <v>1.9359642591213699</v>
      </c>
      <c r="J128" s="5"/>
      <c r="K128" s="6">
        <v>2</v>
      </c>
      <c r="L128" s="5">
        <v>1.257861635220126</v>
      </c>
      <c r="M128" s="5"/>
      <c r="N128" s="98"/>
      <c r="O128" s="98"/>
      <c r="P128" s="120"/>
      <c r="Q128" s="133"/>
      <c r="R128" s="133"/>
      <c r="S128" s="133"/>
      <c r="T128" s="133"/>
      <c r="U128" s="133"/>
      <c r="V128" s="133"/>
      <c r="W128" s="120"/>
      <c r="X128" s="120"/>
      <c r="Y128" s="117"/>
      <c r="Z128" s="117"/>
      <c r="AA128" s="117"/>
      <c r="AB128" s="117"/>
      <c r="AC128" s="142"/>
      <c r="AD128" s="39"/>
      <c r="AE128" s="39"/>
      <c r="AF128" s="39"/>
      <c r="AG128" s="39"/>
      <c r="AH128" s="39"/>
      <c r="AI128" s="39"/>
      <c r="AJ128" s="39"/>
      <c r="AK128" s="39"/>
      <c r="AL128" s="39"/>
    </row>
    <row r="129" spans="1:38" ht="14.1" customHeight="1" x14ac:dyDescent="0.25">
      <c r="A129" s="61" t="s">
        <v>69</v>
      </c>
      <c r="B129" s="6">
        <v>11483</v>
      </c>
      <c r="C129" s="5">
        <v>10.086786950334673</v>
      </c>
      <c r="D129" s="5"/>
      <c r="E129" s="6">
        <v>11456</v>
      </c>
      <c r="F129" s="5">
        <v>10.197614384902973</v>
      </c>
      <c r="G129" s="5"/>
      <c r="H129" s="6">
        <v>26</v>
      </c>
      <c r="I129" s="5">
        <v>1.9359642591213699</v>
      </c>
      <c r="J129" s="5"/>
      <c r="K129" s="6">
        <v>1</v>
      </c>
      <c r="L129" s="5">
        <v>0.62893081761006298</v>
      </c>
      <c r="M129" s="5"/>
      <c r="N129" s="98"/>
      <c r="O129" s="98"/>
      <c r="P129" s="120"/>
      <c r="Q129" s="133"/>
      <c r="R129" s="133"/>
      <c r="S129" s="133"/>
      <c r="T129" s="133"/>
      <c r="U129" s="133"/>
      <c r="V129" s="133"/>
      <c r="W129" s="120"/>
      <c r="X129" s="120"/>
      <c r="Y129" s="117"/>
      <c r="Z129" s="118"/>
      <c r="AA129" s="118"/>
      <c r="AB129" s="116"/>
      <c r="AC129" s="142"/>
      <c r="AD129" s="39"/>
      <c r="AE129" s="39"/>
      <c r="AF129" s="39"/>
      <c r="AG129" s="39"/>
      <c r="AH129" s="39"/>
      <c r="AI129" s="39"/>
      <c r="AJ129" s="39"/>
      <c r="AK129" s="39"/>
      <c r="AL129" s="39"/>
    </row>
    <row r="130" spans="1:38" ht="14.1" customHeight="1" x14ac:dyDescent="0.25">
      <c r="A130" s="61" t="s">
        <v>35</v>
      </c>
      <c r="B130" s="6">
        <v>1719</v>
      </c>
      <c r="C130" s="5">
        <v>1.5099875265719156</v>
      </c>
      <c r="D130" s="5"/>
      <c r="E130" s="6">
        <v>1697</v>
      </c>
      <c r="F130" s="5">
        <v>1.5105928431547089</v>
      </c>
      <c r="G130" s="5"/>
      <c r="H130" s="6">
        <v>19</v>
      </c>
      <c r="I130" s="5">
        <v>1.4147431124348473</v>
      </c>
      <c r="J130" s="5"/>
      <c r="K130" s="6">
        <v>3</v>
      </c>
      <c r="L130" s="5">
        <v>1.8867924528301887</v>
      </c>
      <c r="M130" s="5"/>
      <c r="N130" s="98"/>
      <c r="O130" s="98"/>
      <c r="P130" s="120"/>
      <c r="Q130" s="133"/>
      <c r="R130" s="133"/>
      <c r="S130" s="133"/>
      <c r="T130" s="133"/>
      <c r="U130" s="133"/>
      <c r="V130" s="133"/>
      <c r="W130" s="120"/>
      <c r="X130" s="120"/>
      <c r="Y130" s="117"/>
      <c r="Z130" s="118"/>
      <c r="AA130" s="118"/>
      <c r="AB130" s="116"/>
      <c r="AC130" s="142"/>
      <c r="AD130" s="39"/>
      <c r="AE130" s="39"/>
      <c r="AF130" s="39"/>
      <c r="AG130" s="39"/>
      <c r="AH130" s="39"/>
      <c r="AI130" s="39"/>
      <c r="AJ130" s="39"/>
      <c r="AK130" s="39"/>
      <c r="AL130" s="39"/>
    </row>
    <row r="131" spans="1:38" ht="14.1" customHeight="1" x14ac:dyDescent="0.25">
      <c r="A131" s="61" t="s">
        <v>36</v>
      </c>
      <c r="B131" s="6">
        <v>11700</v>
      </c>
      <c r="C131" s="5">
        <v>10.277402013316703</v>
      </c>
      <c r="D131" s="5"/>
      <c r="E131" s="6">
        <v>11562</v>
      </c>
      <c r="F131" s="5">
        <v>10.291970802919707</v>
      </c>
      <c r="G131" s="5"/>
      <c r="H131" s="6">
        <v>130</v>
      </c>
      <c r="I131" s="5">
        <v>9.6798212956068497</v>
      </c>
      <c r="J131" s="5"/>
      <c r="K131" s="6">
        <v>8</v>
      </c>
      <c r="L131" s="5">
        <v>5.0314465408805038</v>
      </c>
      <c r="M131" s="5"/>
      <c r="N131" s="98"/>
      <c r="O131" s="98"/>
      <c r="P131" s="120"/>
      <c r="Q131" s="133"/>
      <c r="R131" s="133"/>
      <c r="S131" s="133"/>
      <c r="T131" s="133"/>
      <c r="U131" s="133"/>
      <c r="V131" s="133"/>
      <c r="W131" s="120"/>
      <c r="X131" s="120"/>
      <c r="Y131" s="117"/>
      <c r="Z131" s="118"/>
      <c r="AA131" s="118"/>
      <c r="AB131" s="116"/>
      <c r="AC131" s="142"/>
      <c r="AD131" s="39"/>
      <c r="AE131" s="39"/>
      <c r="AF131" s="39"/>
      <c r="AG131" s="39"/>
      <c r="AH131" s="39"/>
      <c r="AI131" s="39"/>
      <c r="AJ131" s="39"/>
      <c r="AK131" s="39"/>
      <c r="AL131" s="39"/>
    </row>
    <row r="132" spans="1:38" ht="14.1" customHeight="1" x14ac:dyDescent="0.25">
      <c r="A132" s="61" t="s">
        <v>37</v>
      </c>
      <c r="B132" s="6">
        <v>12567</v>
      </c>
      <c r="C132" s="5">
        <v>11.038983854816324</v>
      </c>
      <c r="D132" s="5"/>
      <c r="E132" s="6">
        <v>12456</v>
      </c>
      <c r="F132" s="5">
        <v>11.087769271853302</v>
      </c>
      <c r="G132" s="5"/>
      <c r="H132" s="6">
        <v>98</v>
      </c>
      <c r="I132" s="5">
        <v>7.2970960536113179</v>
      </c>
      <c r="J132" s="5"/>
      <c r="K132" s="6">
        <v>13</v>
      </c>
      <c r="L132" s="5">
        <v>8.1761006289308167</v>
      </c>
      <c r="M132" s="5"/>
      <c r="N132" s="98"/>
      <c r="O132" s="98"/>
      <c r="P132" s="120"/>
      <c r="Q132" s="133"/>
      <c r="R132" s="133"/>
      <c r="S132" s="133"/>
      <c r="T132" s="133"/>
      <c r="U132" s="133"/>
      <c r="V132" s="133"/>
      <c r="W132" s="120"/>
      <c r="X132" s="120"/>
      <c r="Y132" s="117"/>
      <c r="Z132" s="118"/>
      <c r="AA132" s="118"/>
      <c r="AB132" s="116"/>
      <c r="AC132" s="142"/>
      <c r="AD132" s="39"/>
      <c r="AE132" s="39"/>
      <c r="AF132" s="39"/>
      <c r="AG132" s="39"/>
      <c r="AH132" s="39"/>
      <c r="AI132" s="39"/>
      <c r="AJ132" s="39"/>
      <c r="AK132" s="39"/>
      <c r="AL132" s="39"/>
    </row>
    <row r="133" spans="1:38" ht="14.1" customHeight="1" x14ac:dyDescent="0.25">
      <c r="A133" s="61"/>
      <c r="B133" s="6"/>
      <c r="C133" s="5"/>
      <c r="D133" s="5"/>
      <c r="E133" s="6"/>
      <c r="F133" s="5"/>
      <c r="G133" s="5"/>
      <c r="H133" s="6"/>
      <c r="I133" s="5"/>
      <c r="J133" s="5"/>
      <c r="K133" s="6"/>
      <c r="L133" s="5"/>
      <c r="M133" s="5"/>
      <c r="N133" s="98"/>
      <c r="O133" s="98"/>
      <c r="P133" s="120"/>
      <c r="Q133" s="133"/>
      <c r="R133" s="133"/>
      <c r="S133" s="133"/>
      <c r="T133" s="133"/>
      <c r="U133" s="133"/>
      <c r="V133" s="133"/>
      <c r="W133" s="120"/>
      <c r="X133" s="120"/>
      <c r="Y133" s="118"/>
      <c r="Z133" s="118"/>
      <c r="AA133" s="118"/>
      <c r="AB133" s="118"/>
      <c r="AC133" s="142"/>
      <c r="AD133" s="39"/>
      <c r="AE133" s="39"/>
      <c r="AF133" s="39"/>
      <c r="AG133" s="39"/>
      <c r="AH133" s="39"/>
      <c r="AI133" s="39"/>
      <c r="AJ133" s="39"/>
      <c r="AK133" s="39"/>
      <c r="AL133" s="39"/>
    </row>
    <row r="134" spans="1:38" s="35" customFormat="1" ht="14.1" customHeight="1" x14ac:dyDescent="0.25">
      <c r="A134" s="62" t="s">
        <v>16</v>
      </c>
      <c r="B134" s="9">
        <v>15502</v>
      </c>
      <c r="C134" s="15">
        <v>100</v>
      </c>
      <c r="D134" s="15"/>
      <c r="E134" s="9">
        <v>15360</v>
      </c>
      <c r="F134" s="15">
        <v>100</v>
      </c>
      <c r="G134" s="15"/>
      <c r="H134" s="9">
        <v>134</v>
      </c>
      <c r="I134" s="15">
        <v>100</v>
      </c>
      <c r="J134" s="15"/>
      <c r="K134" s="9">
        <v>8</v>
      </c>
      <c r="L134" s="15">
        <v>100</v>
      </c>
      <c r="M134" s="15"/>
      <c r="N134" s="96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117"/>
      <c r="Z134" s="118"/>
      <c r="AA134" s="118"/>
      <c r="AB134" s="116"/>
      <c r="AC134" s="142"/>
      <c r="AD134" s="39"/>
      <c r="AE134" s="39"/>
      <c r="AF134" s="39"/>
      <c r="AG134" s="39"/>
      <c r="AH134" s="39"/>
      <c r="AI134" s="39"/>
      <c r="AJ134" s="39"/>
      <c r="AK134" s="39"/>
      <c r="AL134" s="39"/>
    </row>
    <row r="135" spans="1:38" ht="14.1" customHeight="1" x14ac:dyDescent="0.25">
      <c r="A135" s="61" t="s">
        <v>57</v>
      </c>
      <c r="B135" s="6">
        <v>1112</v>
      </c>
      <c r="C135" s="5">
        <v>7.1732679654238156</v>
      </c>
      <c r="D135" s="5"/>
      <c r="E135" s="6">
        <v>1110</v>
      </c>
      <c r="F135" s="5">
        <v>7.2265625</v>
      </c>
      <c r="G135" s="5"/>
      <c r="H135" s="6">
        <v>1</v>
      </c>
      <c r="I135" s="5">
        <v>0.74626865671641784</v>
      </c>
      <c r="J135" s="5"/>
      <c r="K135" s="6">
        <v>1</v>
      </c>
      <c r="L135" s="5">
        <v>12.5</v>
      </c>
      <c r="M135" s="5"/>
      <c r="N135" s="98"/>
      <c r="O135" s="98"/>
      <c r="P135" s="120"/>
      <c r="Q135" s="133"/>
      <c r="R135" s="133"/>
      <c r="S135" s="133"/>
      <c r="T135" s="133"/>
      <c r="U135" s="133"/>
      <c r="V135" s="133"/>
      <c r="W135" s="120"/>
      <c r="X135" s="120"/>
      <c r="Y135" s="117"/>
      <c r="Z135" s="118"/>
      <c r="AA135" s="118"/>
      <c r="AB135" s="116"/>
      <c r="AC135" s="142"/>
      <c r="AD135" s="39"/>
      <c r="AE135" s="39"/>
      <c r="AF135" s="39"/>
      <c r="AG135" s="39"/>
      <c r="AH135" s="39"/>
      <c r="AI135" s="39"/>
      <c r="AJ135" s="39"/>
      <c r="AK135" s="39"/>
      <c r="AL135" s="39"/>
    </row>
    <row r="136" spans="1:38" ht="14.1" customHeight="1" x14ac:dyDescent="0.25">
      <c r="A136" s="61" t="s">
        <v>29</v>
      </c>
      <c r="B136" s="6">
        <v>410</v>
      </c>
      <c r="C136" s="5">
        <v>2.6448200232228101</v>
      </c>
      <c r="D136" s="5"/>
      <c r="E136" s="6">
        <v>406</v>
      </c>
      <c r="F136" s="5">
        <v>2.6432291666666665</v>
      </c>
      <c r="G136" s="5"/>
      <c r="H136" s="6">
        <v>3</v>
      </c>
      <c r="I136" s="5">
        <v>2.2388059701492535</v>
      </c>
      <c r="J136" s="5"/>
      <c r="K136" s="6">
        <v>1</v>
      </c>
      <c r="L136" s="5">
        <v>12.5</v>
      </c>
      <c r="M136" s="5"/>
      <c r="N136" s="98"/>
      <c r="O136" s="98"/>
      <c r="P136" s="120"/>
      <c r="Q136" s="133"/>
      <c r="R136" s="133"/>
      <c r="S136" s="133"/>
      <c r="T136" s="133"/>
      <c r="U136" s="133"/>
      <c r="V136" s="133"/>
      <c r="W136" s="120"/>
      <c r="X136" s="120"/>
      <c r="Y136" s="117"/>
      <c r="Z136" s="118"/>
      <c r="AA136" s="118"/>
      <c r="AB136" s="116"/>
      <c r="AC136" s="142"/>
      <c r="AD136" s="39"/>
      <c r="AE136" s="39"/>
      <c r="AF136" s="39"/>
      <c r="AG136" s="39"/>
      <c r="AH136" s="39"/>
      <c r="AI136" s="39"/>
      <c r="AJ136" s="39"/>
      <c r="AK136" s="39"/>
      <c r="AL136" s="39"/>
    </row>
    <row r="137" spans="1:38" ht="14.1" customHeight="1" x14ac:dyDescent="0.25">
      <c r="A137" s="61" t="s">
        <v>30</v>
      </c>
      <c r="B137" s="6">
        <v>976</v>
      </c>
      <c r="C137" s="5">
        <v>6.2959618113791764</v>
      </c>
      <c r="D137" s="5"/>
      <c r="E137" s="6">
        <v>973</v>
      </c>
      <c r="F137" s="5">
        <v>6.3346354166666661</v>
      </c>
      <c r="G137" s="5"/>
      <c r="H137" s="6">
        <v>3</v>
      </c>
      <c r="I137" s="5">
        <v>2.2388059701492535</v>
      </c>
      <c r="J137" s="5"/>
      <c r="K137" s="3" t="s">
        <v>96</v>
      </c>
      <c r="L137" s="3" t="s">
        <v>96</v>
      </c>
      <c r="M137" s="5"/>
      <c r="N137" s="98"/>
      <c r="O137" s="98"/>
      <c r="P137" s="120"/>
      <c r="Q137" s="133"/>
      <c r="R137" s="133"/>
      <c r="S137" s="133"/>
      <c r="T137" s="133"/>
      <c r="U137" s="133"/>
      <c r="V137" s="133"/>
      <c r="W137" s="120"/>
      <c r="X137" s="120"/>
      <c r="Y137" s="117"/>
      <c r="Z137" s="118"/>
      <c r="AA137" s="118"/>
      <c r="AB137" s="116"/>
      <c r="AC137" s="142"/>
      <c r="AD137" s="39"/>
      <c r="AE137" s="39"/>
      <c r="AF137" s="39"/>
      <c r="AG137" s="39"/>
      <c r="AH137" s="39"/>
      <c r="AI137" s="39"/>
      <c r="AJ137" s="39"/>
      <c r="AK137" s="39"/>
      <c r="AL137" s="39"/>
    </row>
    <row r="138" spans="1:38" ht="14.1" customHeight="1" x14ac:dyDescent="0.25">
      <c r="A138" s="61" t="s">
        <v>31</v>
      </c>
      <c r="B138" s="6">
        <v>22</v>
      </c>
      <c r="C138" s="5">
        <v>0.14191717197780931</v>
      </c>
      <c r="D138" s="5"/>
      <c r="E138" s="6">
        <v>20</v>
      </c>
      <c r="F138" s="5">
        <v>0.13020833333333331</v>
      </c>
      <c r="G138" s="5"/>
      <c r="H138" s="6">
        <v>2</v>
      </c>
      <c r="I138" s="5">
        <v>1.4925373134328357</v>
      </c>
      <c r="J138" s="5"/>
      <c r="K138" s="3" t="s">
        <v>96</v>
      </c>
      <c r="L138" s="3" t="s">
        <v>96</v>
      </c>
      <c r="M138" s="5"/>
      <c r="N138" s="98"/>
      <c r="O138" s="98"/>
      <c r="P138" s="120"/>
      <c r="Q138" s="133"/>
      <c r="R138" s="133"/>
      <c r="S138" s="133"/>
      <c r="T138" s="133"/>
      <c r="U138" s="133"/>
      <c r="V138" s="133"/>
      <c r="W138" s="120"/>
      <c r="X138" s="120"/>
      <c r="Y138" s="117"/>
      <c r="Z138" s="118"/>
      <c r="AA138" s="118"/>
      <c r="AB138" s="116"/>
      <c r="AC138" s="142"/>
      <c r="AD138" s="39"/>
      <c r="AE138" s="39"/>
      <c r="AF138" s="39"/>
      <c r="AG138" s="39"/>
      <c r="AH138" s="39"/>
      <c r="AI138" s="39"/>
      <c r="AJ138" s="39"/>
      <c r="AK138" s="39"/>
      <c r="AL138" s="39"/>
    </row>
    <row r="139" spans="1:38" ht="14.1" customHeight="1" x14ac:dyDescent="0.25">
      <c r="A139" s="61" t="s">
        <v>32</v>
      </c>
      <c r="B139" s="6">
        <v>943</v>
      </c>
      <c r="C139" s="5">
        <v>6.0830860534124627</v>
      </c>
      <c r="D139" s="5"/>
      <c r="E139" s="6">
        <v>904</v>
      </c>
      <c r="F139" s="5">
        <v>5.9854166666666666</v>
      </c>
      <c r="G139" s="5"/>
      <c r="H139" s="6">
        <v>37</v>
      </c>
      <c r="I139" s="5">
        <v>27.611940298507463</v>
      </c>
      <c r="J139" s="5"/>
      <c r="K139" s="3">
        <v>2</v>
      </c>
      <c r="L139" s="16">
        <v>25</v>
      </c>
      <c r="M139" s="5"/>
      <c r="N139" s="98"/>
      <c r="O139" s="98"/>
      <c r="P139" s="120"/>
      <c r="Q139" s="133"/>
      <c r="R139" s="133"/>
      <c r="S139" s="133"/>
      <c r="T139" s="133"/>
      <c r="U139" s="133"/>
      <c r="V139" s="133"/>
      <c r="W139" s="120"/>
      <c r="X139" s="120"/>
      <c r="Y139" s="117"/>
      <c r="Z139" s="118"/>
      <c r="AA139" s="118"/>
      <c r="AB139" s="116"/>
      <c r="AC139" s="142"/>
      <c r="AD139" s="39"/>
      <c r="AE139" s="39"/>
      <c r="AF139" s="39"/>
      <c r="AG139" s="39"/>
      <c r="AH139" s="39"/>
      <c r="AI139" s="39"/>
      <c r="AJ139" s="39"/>
      <c r="AK139" s="39"/>
      <c r="AL139" s="39"/>
    </row>
    <row r="140" spans="1:38" ht="14.1" customHeight="1" x14ac:dyDescent="0.25">
      <c r="A140" s="61" t="s">
        <v>33</v>
      </c>
      <c r="B140" s="6">
        <v>6306</v>
      </c>
      <c r="C140" s="5">
        <v>40.598622113275709</v>
      </c>
      <c r="D140" s="5"/>
      <c r="E140" s="6">
        <v>6236</v>
      </c>
      <c r="F140" s="5">
        <v>40.598958333333336</v>
      </c>
      <c r="G140" s="5"/>
      <c r="H140" s="6">
        <v>66</v>
      </c>
      <c r="I140" s="5">
        <v>49.253731343283583</v>
      </c>
      <c r="J140" s="5"/>
      <c r="K140" s="3">
        <v>4</v>
      </c>
      <c r="L140" s="16">
        <v>50</v>
      </c>
      <c r="M140" s="5"/>
      <c r="N140" s="98"/>
      <c r="O140" s="98"/>
      <c r="P140" s="120"/>
      <c r="Q140" s="133"/>
      <c r="R140" s="133"/>
      <c r="S140" s="133"/>
      <c r="T140" s="133"/>
      <c r="U140" s="133"/>
      <c r="V140" s="133"/>
      <c r="W140" s="120"/>
      <c r="X140" s="120"/>
      <c r="Y140" s="117"/>
      <c r="Z140" s="118"/>
      <c r="AA140" s="118"/>
      <c r="AB140" s="116"/>
      <c r="AC140" s="142"/>
      <c r="AD140" s="39"/>
      <c r="AE140" s="39"/>
      <c r="AF140" s="39"/>
      <c r="AG140" s="39"/>
      <c r="AH140" s="39"/>
      <c r="AI140" s="39"/>
      <c r="AJ140" s="39"/>
      <c r="AK140" s="39"/>
      <c r="AL140" s="39"/>
    </row>
    <row r="141" spans="1:38" ht="14.1" customHeight="1" x14ac:dyDescent="0.25">
      <c r="A141" s="61" t="s">
        <v>34</v>
      </c>
      <c r="B141" s="6">
        <v>1032</v>
      </c>
      <c r="C141" s="5">
        <v>6.6572055218681463</v>
      </c>
      <c r="D141" s="5"/>
      <c r="E141" s="6">
        <v>1022</v>
      </c>
      <c r="F141" s="5">
        <v>6.6536458333333339</v>
      </c>
      <c r="G141" s="5"/>
      <c r="H141" s="6">
        <v>10</v>
      </c>
      <c r="I141" s="5">
        <v>7.4626865671641784</v>
      </c>
      <c r="J141" s="5"/>
      <c r="K141" s="3" t="s">
        <v>96</v>
      </c>
      <c r="L141" s="16" t="s">
        <v>96</v>
      </c>
      <c r="M141" s="5"/>
      <c r="N141" s="98"/>
      <c r="O141" s="98"/>
      <c r="P141" s="120"/>
      <c r="Q141" s="133"/>
      <c r="R141" s="133"/>
      <c r="S141" s="133"/>
      <c r="T141" s="133"/>
      <c r="U141" s="133"/>
      <c r="V141" s="133"/>
      <c r="W141" s="120"/>
      <c r="X141" s="120"/>
      <c r="Y141" s="117"/>
      <c r="Z141" s="118"/>
      <c r="AA141" s="118"/>
      <c r="AB141" s="116"/>
      <c r="AC141" s="142"/>
      <c r="AD141" s="39"/>
      <c r="AE141" s="39"/>
      <c r="AF141" s="39"/>
      <c r="AG141" s="39"/>
      <c r="AH141" s="39"/>
      <c r="AI141" s="39"/>
      <c r="AJ141" s="39"/>
      <c r="AK141" s="39"/>
      <c r="AL141" s="39"/>
    </row>
    <row r="142" spans="1:38" ht="14.1" customHeight="1" x14ac:dyDescent="0.25">
      <c r="A142" s="61" t="s">
        <v>68</v>
      </c>
      <c r="B142" s="6">
        <v>215</v>
      </c>
      <c r="C142" s="5">
        <v>1.3869178170558638</v>
      </c>
      <c r="D142" s="5"/>
      <c r="E142" s="6">
        <v>215</v>
      </c>
      <c r="F142" s="5">
        <v>1.3997395833333335</v>
      </c>
      <c r="G142" s="5"/>
      <c r="H142" s="3" t="s">
        <v>96</v>
      </c>
      <c r="I142" s="3" t="s">
        <v>96</v>
      </c>
      <c r="J142" s="5"/>
      <c r="K142" s="3" t="s">
        <v>96</v>
      </c>
      <c r="L142" s="3" t="s">
        <v>96</v>
      </c>
      <c r="M142" s="5"/>
      <c r="N142" s="98"/>
      <c r="O142" s="98"/>
      <c r="P142" s="120"/>
      <c r="Q142" s="133"/>
      <c r="R142" s="133"/>
      <c r="S142" s="133"/>
      <c r="T142" s="133"/>
      <c r="U142" s="133"/>
      <c r="V142" s="133"/>
      <c r="W142" s="120"/>
      <c r="X142" s="120"/>
      <c r="Y142" s="118"/>
      <c r="Z142" s="118"/>
      <c r="AA142" s="118"/>
      <c r="AB142" s="118"/>
      <c r="AC142" s="142"/>
      <c r="AD142" s="39"/>
      <c r="AE142" s="39"/>
      <c r="AF142" s="39"/>
      <c r="AG142" s="39"/>
      <c r="AH142" s="39"/>
      <c r="AI142" s="39"/>
      <c r="AJ142" s="39"/>
      <c r="AK142" s="39"/>
      <c r="AL142" s="39"/>
    </row>
    <row r="143" spans="1:38" ht="14.1" customHeight="1" x14ac:dyDescent="0.25">
      <c r="A143" s="61" t="s">
        <v>69</v>
      </c>
      <c r="B143" s="6">
        <v>1551</v>
      </c>
      <c r="C143" s="5">
        <v>10.005160624435556</v>
      </c>
      <c r="D143" s="5"/>
      <c r="E143" s="6">
        <v>1549</v>
      </c>
      <c r="F143" s="5">
        <v>10.084635416666666</v>
      </c>
      <c r="G143" s="5"/>
      <c r="H143" s="6">
        <v>2</v>
      </c>
      <c r="I143" s="5">
        <v>1.4925373134328357</v>
      </c>
      <c r="J143" s="5"/>
      <c r="K143" s="3" t="s">
        <v>96</v>
      </c>
      <c r="L143" s="3" t="s">
        <v>96</v>
      </c>
      <c r="M143" s="5"/>
      <c r="N143" s="98"/>
      <c r="O143" s="98"/>
      <c r="P143" s="120"/>
      <c r="Q143" s="133"/>
      <c r="R143" s="133"/>
      <c r="S143" s="133"/>
      <c r="T143" s="133"/>
      <c r="U143" s="133"/>
      <c r="V143" s="133"/>
      <c r="W143" s="120"/>
      <c r="X143" s="120"/>
      <c r="Y143" s="117"/>
      <c r="Z143" s="117"/>
      <c r="AA143" s="117"/>
      <c r="AB143" s="117"/>
      <c r="AC143" s="142"/>
      <c r="AD143" s="39"/>
      <c r="AE143" s="39"/>
      <c r="AF143" s="39"/>
      <c r="AG143" s="39"/>
      <c r="AH143" s="39"/>
      <c r="AI143" s="39"/>
      <c r="AJ143" s="39"/>
      <c r="AK143" s="39"/>
      <c r="AL143" s="39"/>
    </row>
    <row r="144" spans="1:38" ht="14.1" customHeight="1" x14ac:dyDescent="0.25">
      <c r="A144" s="61" t="s">
        <v>35</v>
      </c>
      <c r="B144" s="6">
        <v>291</v>
      </c>
      <c r="C144" s="5">
        <v>1.8771771384337506</v>
      </c>
      <c r="D144" s="5"/>
      <c r="E144" s="6">
        <v>289</v>
      </c>
      <c r="F144" s="5">
        <v>1.8815104166666665</v>
      </c>
      <c r="G144" s="5"/>
      <c r="H144" s="6">
        <v>2</v>
      </c>
      <c r="I144" s="5">
        <v>1.4925373134328357</v>
      </c>
      <c r="J144" s="5"/>
      <c r="K144" s="3" t="s">
        <v>96</v>
      </c>
      <c r="L144" s="3" t="s">
        <v>96</v>
      </c>
      <c r="M144" s="5"/>
      <c r="N144" s="98"/>
      <c r="O144" s="98"/>
      <c r="P144" s="120"/>
      <c r="Q144" s="133"/>
      <c r="R144" s="133"/>
      <c r="S144" s="133"/>
      <c r="T144" s="133"/>
      <c r="U144" s="133"/>
      <c r="V144" s="133"/>
      <c r="W144" s="120"/>
      <c r="X144" s="120"/>
      <c r="Y144" s="117"/>
      <c r="Z144" s="118"/>
      <c r="AA144" s="118"/>
      <c r="AB144" s="118"/>
      <c r="AC144" s="142"/>
      <c r="AD144" s="39"/>
      <c r="AE144" s="39"/>
      <c r="AF144" s="39"/>
      <c r="AG144" s="39"/>
      <c r="AH144" s="39"/>
      <c r="AI144" s="39"/>
      <c r="AJ144" s="39"/>
      <c r="AK144" s="39"/>
      <c r="AL144" s="39"/>
    </row>
    <row r="145" spans="1:38" ht="14.1" customHeight="1" x14ac:dyDescent="0.25">
      <c r="A145" s="61" t="s">
        <v>36</v>
      </c>
      <c r="B145" s="6">
        <v>1192</v>
      </c>
      <c r="C145" s="5">
        <v>7.6893304089794858</v>
      </c>
      <c r="D145" s="5"/>
      <c r="E145" s="6">
        <v>1186</v>
      </c>
      <c r="F145" s="5">
        <v>7.7213541666666661</v>
      </c>
      <c r="G145" s="5"/>
      <c r="H145" s="6">
        <v>6</v>
      </c>
      <c r="I145" s="5">
        <v>4.4776119402985071</v>
      </c>
      <c r="J145" s="5"/>
      <c r="K145" s="3" t="s">
        <v>96</v>
      </c>
      <c r="L145" s="3" t="s">
        <v>96</v>
      </c>
      <c r="M145" s="5"/>
      <c r="N145" s="98"/>
      <c r="O145" s="98"/>
      <c r="P145" s="120"/>
      <c r="Q145" s="133"/>
      <c r="R145" s="133"/>
      <c r="S145" s="133"/>
      <c r="T145" s="133"/>
      <c r="U145" s="133"/>
      <c r="V145" s="133"/>
      <c r="W145" s="120"/>
      <c r="X145" s="120"/>
      <c r="Y145" s="117"/>
      <c r="Z145" s="118"/>
      <c r="AA145" s="118"/>
      <c r="AB145" s="118"/>
      <c r="AC145" s="142"/>
      <c r="AD145" s="39"/>
      <c r="AE145" s="39"/>
      <c r="AF145" s="39"/>
      <c r="AG145" s="39"/>
      <c r="AH145" s="39"/>
      <c r="AI145" s="39"/>
      <c r="AJ145" s="39"/>
      <c r="AK145" s="39"/>
      <c r="AL145" s="39"/>
    </row>
    <row r="146" spans="1:38" ht="14.1" customHeight="1" x14ac:dyDescent="0.25">
      <c r="A146" s="61" t="s">
        <v>37</v>
      </c>
      <c r="B146" s="6">
        <v>1452</v>
      </c>
      <c r="C146" s="5">
        <v>9.3665333505354145</v>
      </c>
      <c r="D146" s="5"/>
      <c r="E146" s="6">
        <v>1450</v>
      </c>
      <c r="F146" s="5">
        <v>9.4401041666666679</v>
      </c>
      <c r="G146" s="5"/>
      <c r="H146" s="6">
        <v>2</v>
      </c>
      <c r="I146" s="5">
        <v>1.4925373134328357</v>
      </c>
      <c r="J146" s="5"/>
      <c r="K146" s="3" t="s">
        <v>96</v>
      </c>
      <c r="L146" s="3" t="s">
        <v>96</v>
      </c>
      <c r="M146" s="5"/>
      <c r="N146" s="98"/>
      <c r="O146" s="98"/>
      <c r="P146" s="120"/>
      <c r="Q146" s="133"/>
      <c r="R146" s="133"/>
      <c r="S146" s="133"/>
      <c r="T146" s="133"/>
      <c r="U146" s="133"/>
      <c r="V146" s="133"/>
      <c r="W146" s="120"/>
      <c r="X146" s="120"/>
      <c r="Y146" s="117"/>
      <c r="Z146" s="118"/>
      <c r="AA146" s="118"/>
      <c r="AB146" s="118"/>
      <c r="AC146" s="142"/>
      <c r="AD146" s="39"/>
      <c r="AE146" s="39"/>
      <c r="AF146" s="39"/>
      <c r="AG146" s="39"/>
      <c r="AH146" s="39"/>
      <c r="AI146" s="39"/>
      <c r="AJ146" s="39"/>
      <c r="AK146" s="39"/>
      <c r="AL146" s="39"/>
    </row>
    <row r="147" spans="1:38" ht="14.1" customHeight="1" x14ac:dyDescent="0.25">
      <c r="A147" s="61"/>
      <c r="B147" s="6"/>
      <c r="C147" s="5"/>
      <c r="D147" s="5"/>
      <c r="E147" s="6"/>
      <c r="F147" s="5"/>
      <c r="G147" s="5"/>
      <c r="H147" s="6"/>
      <c r="I147" s="5"/>
      <c r="J147" s="5"/>
      <c r="K147" s="6"/>
      <c r="L147" s="5"/>
      <c r="M147" s="5"/>
      <c r="N147" s="98"/>
      <c r="O147" s="98"/>
      <c r="P147" s="120"/>
      <c r="Q147" s="133"/>
      <c r="R147" s="133"/>
      <c r="S147" s="133"/>
      <c r="T147" s="133"/>
      <c r="U147" s="133"/>
      <c r="V147" s="133"/>
      <c r="W147" s="120"/>
      <c r="X147" s="120"/>
      <c r="Y147" s="118"/>
      <c r="Z147" s="118"/>
      <c r="AA147" s="118"/>
      <c r="AB147" s="118"/>
      <c r="AC147" s="142"/>
      <c r="AD147" s="39"/>
      <c r="AE147" s="39"/>
      <c r="AF147" s="39"/>
      <c r="AG147" s="39"/>
      <c r="AH147" s="39"/>
      <c r="AI147" s="39"/>
      <c r="AJ147" s="39"/>
      <c r="AK147" s="39"/>
      <c r="AL147" s="39"/>
    </row>
    <row r="148" spans="1:38" s="35" customFormat="1" ht="14.1" customHeight="1" x14ac:dyDescent="0.25">
      <c r="A148" s="62" t="s">
        <v>15</v>
      </c>
      <c r="B148" s="9">
        <v>47651</v>
      </c>
      <c r="C148" s="15">
        <v>100</v>
      </c>
      <c r="D148" s="153"/>
      <c r="E148" s="9">
        <v>46841</v>
      </c>
      <c r="F148" s="96">
        <v>100</v>
      </c>
      <c r="G148" s="96"/>
      <c r="H148" s="95">
        <v>736</v>
      </c>
      <c r="I148" s="96">
        <v>100</v>
      </c>
      <c r="J148" s="96"/>
      <c r="K148" s="95">
        <v>74</v>
      </c>
      <c r="L148" s="96">
        <v>100</v>
      </c>
      <c r="M148" s="15"/>
      <c r="N148" s="96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117"/>
      <c r="Z148" s="118"/>
      <c r="AA148" s="118"/>
      <c r="AB148" s="118"/>
      <c r="AC148" s="142"/>
      <c r="AD148" s="39"/>
      <c r="AE148" s="39"/>
      <c r="AF148" s="39"/>
      <c r="AG148" s="39"/>
      <c r="AH148" s="39"/>
      <c r="AI148" s="39"/>
      <c r="AJ148" s="39"/>
      <c r="AK148" s="39"/>
      <c r="AL148" s="39"/>
    </row>
    <row r="149" spans="1:38" ht="14.1" customHeight="1" x14ac:dyDescent="0.25">
      <c r="A149" s="61" t="s">
        <v>57</v>
      </c>
      <c r="B149" s="6">
        <v>1497</v>
      </c>
      <c r="C149" s="5">
        <v>3.1415919917735202</v>
      </c>
      <c r="D149" s="5"/>
      <c r="E149" s="6">
        <v>1485</v>
      </c>
      <c r="F149" s="5">
        <v>3.1702995239213507</v>
      </c>
      <c r="G149" s="5"/>
      <c r="H149" s="6">
        <v>11</v>
      </c>
      <c r="I149" s="5">
        <v>1.4945652173913044</v>
      </c>
      <c r="J149" s="5"/>
      <c r="K149" s="3">
        <v>1</v>
      </c>
      <c r="L149" s="16">
        <v>1.3513513513513513</v>
      </c>
      <c r="M149" s="6"/>
      <c r="N149" s="97"/>
      <c r="O149" s="98"/>
      <c r="P149" s="120"/>
      <c r="Q149" s="133"/>
      <c r="R149" s="133"/>
      <c r="S149" s="133"/>
      <c r="T149" s="133"/>
      <c r="U149" s="133"/>
      <c r="V149" s="133"/>
      <c r="W149" s="120"/>
      <c r="X149" s="120"/>
      <c r="Y149" s="117"/>
      <c r="Z149" s="118"/>
      <c r="AA149" s="118"/>
      <c r="AB149" s="118"/>
      <c r="AC149" s="142"/>
      <c r="AD149" s="39"/>
      <c r="AE149" s="39"/>
      <c r="AF149" s="39"/>
      <c r="AG149" s="39"/>
      <c r="AH149" s="39"/>
      <c r="AI149" s="39"/>
      <c r="AJ149" s="39"/>
      <c r="AK149" s="39"/>
      <c r="AL149" s="39"/>
    </row>
    <row r="150" spans="1:38" ht="14.1" customHeight="1" x14ac:dyDescent="0.25">
      <c r="A150" s="61" t="s">
        <v>29</v>
      </c>
      <c r="B150" s="6">
        <v>348</v>
      </c>
      <c r="C150" s="5">
        <v>0.73030996201548759</v>
      </c>
      <c r="D150" s="5"/>
      <c r="E150" s="6">
        <v>347</v>
      </c>
      <c r="F150" s="5">
        <v>0.7408039964987938</v>
      </c>
      <c r="G150" s="5"/>
      <c r="H150" s="6">
        <v>1</v>
      </c>
      <c r="I150" s="5">
        <v>0.1358695652173913</v>
      </c>
      <c r="J150" s="5"/>
      <c r="K150" s="3" t="s">
        <v>96</v>
      </c>
      <c r="L150" s="3" t="s">
        <v>96</v>
      </c>
      <c r="M150" s="5"/>
      <c r="N150" s="98"/>
      <c r="O150" s="98"/>
      <c r="P150" s="120"/>
      <c r="Q150" s="133"/>
      <c r="R150" s="133"/>
      <c r="S150" s="133"/>
      <c r="T150" s="133"/>
      <c r="U150" s="133"/>
      <c r="V150" s="133"/>
      <c r="W150" s="120"/>
      <c r="X150" s="120"/>
      <c r="Y150" s="117"/>
      <c r="Z150" s="118"/>
      <c r="AA150" s="118"/>
      <c r="AB150" s="118"/>
      <c r="AC150" s="142"/>
      <c r="AD150" s="39"/>
      <c r="AE150" s="39"/>
      <c r="AF150" s="39"/>
      <c r="AG150" s="39"/>
      <c r="AH150" s="39"/>
      <c r="AI150" s="39"/>
      <c r="AJ150" s="39"/>
      <c r="AK150" s="39"/>
      <c r="AL150" s="39"/>
    </row>
    <row r="151" spans="1:38" ht="14.1" customHeight="1" x14ac:dyDescent="0.25">
      <c r="A151" s="61" t="s">
        <v>30</v>
      </c>
      <c r="B151" s="6">
        <v>3409</v>
      </c>
      <c r="C151" s="5">
        <v>7.1540995991689575</v>
      </c>
      <c r="D151" s="5"/>
      <c r="E151" s="6">
        <v>3378</v>
      </c>
      <c r="F151" s="5">
        <v>7.2116308362332138</v>
      </c>
      <c r="G151" s="5"/>
      <c r="H151" s="6">
        <v>29</v>
      </c>
      <c r="I151" s="5">
        <v>3.9402173913043481</v>
      </c>
      <c r="J151" s="5"/>
      <c r="K151" s="3">
        <v>2</v>
      </c>
      <c r="L151" s="16">
        <v>2.7027027027027026</v>
      </c>
      <c r="M151" s="5"/>
      <c r="N151" s="98"/>
      <c r="O151" s="98"/>
      <c r="P151" s="120"/>
      <c r="Q151" s="133"/>
      <c r="R151" s="133"/>
      <c r="S151" s="133"/>
      <c r="T151" s="133"/>
      <c r="U151" s="133"/>
      <c r="V151" s="133"/>
      <c r="W151" s="120"/>
      <c r="X151" s="120"/>
      <c r="Y151" s="117"/>
      <c r="Z151" s="118"/>
      <c r="AA151" s="118"/>
      <c r="AB151" s="118"/>
      <c r="AC151" s="142"/>
      <c r="AD151" s="39"/>
      <c r="AE151" s="39"/>
      <c r="AF151" s="39"/>
      <c r="AG151" s="39"/>
      <c r="AH151" s="39"/>
      <c r="AI151" s="39"/>
      <c r="AJ151" s="39"/>
      <c r="AK151" s="39"/>
      <c r="AL151" s="39"/>
    </row>
    <row r="152" spans="1:38" ht="14.1" customHeight="1" x14ac:dyDescent="0.25">
      <c r="A152" s="61" t="s">
        <v>31</v>
      </c>
      <c r="B152" s="6">
        <v>91</v>
      </c>
      <c r="C152" s="5">
        <v>0.19097185788336027</v>
      </c>
      <c r="D152" s="5"/>
      <c r="E152" s="6">
        <v>89</v>
      </c>
      <c r="F152" s="5">
        <v>0.19000448325185201</v>
      </c>
      <c r="G152" s="5"/>
      <c r="H152" s="6">
        <v>1</v>
      </c>
      <c r="I152" s="5">
        <v>0.1358695652173913</v>
      </c>
      <c r="J152" s="5"/>
      <c r="K152" s="3">
        <v>1</v>
      </c>
      <c r="L152" s="16">
        <v>1.3513513513513513</v>
      </c>
      <c r="M152" s="5"/>
      <c r="N152" s="98"/>
      <c r="O152" s="98"/>
      <c r="P152" s="120"/>
      <c r="Q152" s="133"/>
      <c r="R152" s="133"/>
      <c r="S152" s="133"/>
      <c r="T152" s="133"/>
      <c r="U152" s="133"/>
      <c r="V152" s="133"/>
      <c r="W152" s="120"/>
      <c r="X152" s="120"/>
      <c r="Y152" s="117"/>
      <c r="Z152" s="118"/>
      <c r="AA152" s="118"/>
      <c r="AB152" s="118"/>
      <c r="AC152" s="142"/>
      <c r="AD152" s="39"/>
      <c r="AE152" s="39"/>
      <c r="AF152" s="39"/>
      <c r="AG152" s="39"/>
      <c r="AH152" s="39"/>
      <c r="AI152" s="39"/>
      <c r="AJ152" s="39"/>
      <c r="AK152" s="39"/>
      <c r="AL152" s="39"/>
    </row>
    <row r="153" spans="1:38" ht="14.1" customHeight="1" x14ac:dyDescent="0.25">
      <c r="A153" s="61" t="s">
        <v>32</v>
      </c>
      <c r="B153" s="6">
        <v>2655</v>
      </c>
      <c r="C153" s="5">
        <v>5.5717613481354009</v>
      </c>
      <c r="D153" s="5"/>
      <c r="E153" s="6">
        <v>2493</v>
      </c>
      <c r="F153" s="5">
        <v>5.3222604128861466</v>
      </c>
      <c r="G153" s="5"/>
      <c r="H153" s="6">
        <v>151</v>
      </c>
      <c r="I153" s="5">
        <v>20.516304347826086</v>
      </c>
      <c r="J153" s="5"/>
      <c r="K153" s="3">
        <v>11</v>
      </c>
      <c r="L153" s="16">
        <v>14.764864864864865</v>
      </c>
      <c r="M153" s="5"/>
      <c r="N153" s="98"/>
      <c r="O153" s="98"/>
      <c r="P153" s="120"/>
      <c r="Q153" s="133"/>
      <c r="R153" s="133"/>
      <c r="S153" s="133"/>
      <c r="T153" s="133"/>
      <c r="U153" s="133"/>
      <c r="V153" s="133"/>
      <c r="W153" s="120"/>
      <c r="X153" s="120"/>
      <c r="Y153" s="117"/>
      <c r="Z153" s="118"/>
      <c r="AA153" s="118"/>
      <c r="AB153" s="118"/>
      <c r="AC153" s="142"/>
      <c r="AD153" s="39"/>
      <c r="AE153" s="39"/>
      <c r="AF153" s="39"/>
      <c r="AG153" s="39"/>
      <c r="AH153" s="39"/>
      <c r="AI153" s="39"/>
      <c r="AJ153" s="39"/>
      <c r="AK153" s="39"/>
      <c r="AL153" s="39"/>
    </row>
    <row r="154" spans="1:38" ht="14.1" customHeight="1" x14ac:dyDescent="0.25">
      <c r="A154" s="61" t="s">
        <v>33</v>
      </c>
      <c r="B154" s="6">
        <v>20999</v>
      </c>
      <c r="C154" s="5">
        <v>44.068330150469038</v>
      </c>
      <c r="D154" s="5"/>
      <c r="E154" s="6">
        <v>20559</v>
      </c>
      <c r="F154" s="5">
        <v>43.991035631177816</v>
      </c>
      <c r="G154" s="5"/>
      <c r="H154" s="6">
        <v>386</v>
      </c>
      <c r="I154" s="5">
        <v>52.545652173913048</v>
      </c>
      <c r="J154" s="5"/>
      <c r="K154" s="3">
        <v>54</v>
      </c>
      <c r="L154" s="16">
        <v>72.872972972972974</v>
      </c>
      <c r="M154" s="5"/>
      <c r="N154" s="98"/>
      <c r="O154" s="98"/>
      <c r="P154" s="120"/>
      <c r="Q154" s="133"/>
      <c r="R154" s="133"/>
      <c r="S154" s="133"/>
      <c r="T154" s="133"/>
      <c r="U154" s="133"/>
      <c r="V154" s="133"/>
      <c r="W154" s="120"/>
      <c r="X154" s="120"/>
      <c r="Y154" s="117"/>
      <c r="Z154" s="118"/>
      <c r="AA154" s="118"/>
      <c r="AB154" s="118"/>
      <c r="AC154" s="142"/>
      <c r="AD154" s="39"/>
      <c r="AE154" s="39"/>
      <c r="AF154" s="39"/>
      <c r="AG154" s="39"/>
      <c r="AH154" s="39"/>
      <c r="AI154" s="39"/>
      <c r="AJ154" s="39"/>
      <c r="AK154" s="39"/>
      <c r="AL154" s="39"/>
    </row>
    <row r="155" spans="1:38" ht="14.1" customHeight="1" x14ac:dyDescent="0.25">
      <c r="A155" s="61" t="s">
        <v>34</v>
      </c>
      <c r="B155" s="6">
        <v>2985</v>
      </c>
      <c r="C155" s="5">
        <v>6.2642966569431913</v>
      </c>
      <c r="D155" s="5"/>
      <c r="E155" s="6">
        <v>2949</v>
      </c>
      <c r="F155" s="5">
        <v>6.2957665293226022</v>
      </c>
      <c r="G155" s="5"/>
      <c r="H155" s="6">
        <v>35</v>
      </c>
      <c r="I155" s="5">
        <v>4.7554347826086962</v>
      </c>
      <c r="J155" s="5"/>
      <c r="K155" s="3">
        <v>1</v>
      </c>
      <c r="L155" s="16">
        <v>1.3513513513513513</v>
      </c>
      <c r="M155" s="5"/>
      <c r="N155" s="98"/>
      <c r="O155" s="98"/>
      <c r="P155" s="120"/>
      <c r="Q155" s="133"/>
      <c r="R155" s="133"/>
      <c r="S155" s="133"/>
      <c r="T155" s="133"/>
      <c r="U155" s="133"/>
      <c r="V155" s="133"/>
      <c r="W155" s="120"/>
      <c r="X155" s="120"/>
      <c r="Y155" s="117"/>
      <c r="Z155" s="118"/>
      <c r="AA155" s="118"/>
      <c r="AB155" s="118"/>
      <c r="AC155" s="142"/>
      <c r="AD155" s="39"/>
      <c r="AE155" s="39"/>
      <c r="AF155" s="39"/>
      <c r="AG155" s="39"/>
      <c r="AH155" s="39"/>
      <c r="AI155" s="39"/>
      <c r="AJ155" s="39"/>
      <c r="AK155" s="39"/>
      <c r="AL155" s="39"/>
    </row>
    <row r="156" spans="1:38" ht="14.1" customHeight="1" x14ac:dyDescent="0.25">
      <c r="A156" s="61" t="s">
        <v>68</v>
      </c>
      <c r="B156" s="6">
        <v>634</v>
      </c>
      <c r="C156" s="5">
        <v>1.3305072296489056</v>
      </c>
      <c r="D156" s="5"/>
      <c r="E156" s="6">
        <v>628</v>
      </c>
      <c r="F156" s="5">
        <v>1.3407057919344165</v>
      </c>
      <c r="G156" s="5"/>
      <c r="H156" s="6">
        <v>6</v>
      </c>
      <c r="I156" s="5">
        <v>0.81521739130434778</v>
      </c>
      <c r="J156" s="5"/>
      <c r="K156" s="3" t="s">
        <v>96</v>
      </c>
      <c r="L156" s="3" t="s">
        <v>96</v>
      </c>
      <c r="M156" s="5"/>
      <c r="N156" s="98"/>
      <c r="O156" s="98"/>
      <c r="P156" s="120"/>
      <c r="Q156" s="133"/>
      <c r="R156" s="133"/>
      <c r="S156" s="133"/>
      <c r="T156" s="133"/>
      <c r="U156" s="133"/>
      <c r="V156" s="133"/>
      <c r="W156" s="120"/>
      <c r="X156" s="120"/>
      <c r="Y156" s="117"/>
      <c r="Z156" s="118"/>
      <c r="AA156" s="118"/>
      <c r="AB156" s="118"/>
      <c r="AC156" s="142"/>
      <c r="AD156" s="39"/>
      <c r="AE156" s="39"/>
      <c r="AF156" s="39"/>
      <c r="AG156" s="39"/>
      <c r="AH156" s="39"/>
      <c r="AI156" s="39"/>
      <c r="AJ156" s="39"/>
      <c r="AK156" s="39"/>
      <c r="AL156" s="39"/>
    </row>
    <row r="157" spans="1:38" ht="14.1" customHeight="1" x14ac:dyDescent="0.25">
      <c r="A157" s="61" t="s">
        <v>69</v>
      </c>
      <c r="B157" s="6">
        <v>4519</v>
      </c>
      <c r="C157" s="5">
        <v>9.4835365469769783</v>
      </c>
      <c r="D157" s="5"/>
      <c r="E157" s="6">
        <v>4501</v>
      </c>
      <c r="F157" s="5">
        <v>9.6091031361414139</v>
      </c>
      <c r="G157" s="5"/>
      <c r="H157" s="6">
        <v>18</v>
      </c>
      <c r="I157" s="5">
        <v>2.4456521739130435</v>
      </c>
      <c r="J157" s="5"/>
      <c r="K157" s="3" t="s">
        <v>96</v>
      </c>
      <c r="L157" s="3" t="s">
        <v>96</v>
      </c>
      <c r="M157" s="5"/>
      <c r="N157" s="98"/>
      <c r="O157" s="98"/>
      <c r="P157" s="120"/>
      <c r="Q157" s="133"/>
      <c r="R157" s="133"/>
      <c r="S157" s="133"/>
      <c r="T157" s="133"/>
      <c r="U157" s="133"/>
      <c r="V157" s="133"/>
      <c r="W157" s="120"/>
      <c r="X157" s="120"/>
      <c r="Y157" s="118"/>
      <c r="Z157" s="118"/>
      <c r="AA157" s="118"/>
      <c r="AB157" s="118"/>
      <c r="AC157" s="142"/>
      <c r="AD157" s="39"/>
      <c r="AE157" s="39"/>
      <c r="AF157" s="39"/>
      <c r="AG157" s="39"/>
      <c r="AH157" s="39"/>
      <c r="AI157" s="39"/>
      <c r="AJ157" s="39"/>
      <c r="AK157" s="39"/>
      <c r="AL157" s="39"/>
    </row>
    <row r="158" spans="1:38" ht="14.1" customHeight="1" x14ac:dyDescent="0.25">
      <c r="A158" s="61" t="s">
        <v>35</v>
      </c>
      <c r="B158" s="6">
        <v>877</v>
      </c>
      <c r="C158" s="5">
        <v>1.8404650479528237</v>
      </c>
      <c r="D158" s="5"/>
      <c r="E158" s="6">
        <v>861</v>
      </c>
      <c r="F158" s="5">
        <v>1.8381332593240964</v>
      </c>
      <c r="G158" s="5"/>
      <c r="H158" s="6">
        <v>16</v>
      </c>
      <c r="I158" s="5">
        <v>2.1739130434782608</v>
      </c>
      <c r="J158" s="5"/>
      <c r="K158" s="3" t="s">
        <v>96</v>
      </c>
      <c r="L158" s="3" t="s">
        <v>96</v>
      </c>
      <c r="M158" s="5"/>
      <c r="N158" s="98"/>
      <c r="O158" s="98"/>
      <c r="P158" s="120"/>
      <c r="Q158" s="133"/>
      <c r="R158" s="133"/>
      <c r="S158" s="133"/>
      <c r="T158" s="133"/>
      <c r="U158" s="133"/>
      <c r="V158" s="133"/>
      <c r="W158" s="120"/>
      <c r="X158" s="120"/>
      <c r="Y158" s="117"/>
      <c r="Z158" s="117"/>
      <c r="AA158" s="117"/>
      <c r="AB158" s="117"/>
      <c r="AC158" s="142"/>
      <c r="AD158" s="39"/>
      <c r="AE158" s="39"/>
      <c r="AF158" s="39"/>
      <c r="AG158" s="39"/>
      <c r="AH158" s="39"/>
      <c r="AI158" s="39"/>
      <c r="AJ158" s="39"/>
      <c r="AK158" s="39"/>
      <c r="AL158" s="39"/>
    </row>
    <row r="159" spans="1:38" ht="14.1" customHeight="1" x14ac:dyDescent="0.25">
      <c r="A159" s="61" t="s">
        <v>36</v>
      </c>
      <c r="B159" s="6">
        <v>4148</v>
      </c>
      <c r="C159" s="5">
        <v>8.7049589725294325</v>
      </c>
      <c r="D159" s="5"/>
      <c r="E159" s="6">
        <v>4099</v>
      </c>
      <c r="F159" s="5">
        <v>8.7508806387566445</v>
      </c>
      <c r="G159" s="5"/>
      <c r="H159" s="6">
        <v>47</v>
      </c>
      <c r="I159" s="5">
        <v>6.3858695652173916</v>
      </c>
      <c r="J159" s="5"/>
      <c r="K159" s="6">
        <v>2</v>
      </c>
      <c r="L159" s="5">
        <v>2.7027027027027026</v>
      </c>
      <c r="M159" s="5"/>
      <c r="N159" s="98"/>
      <c r="O159" s="98"/>
      <c r="P159" s="120"/>
      <c r="Q159" s="133"/>
      <c r="R159" s="133"/>
      <c r="S159" s="133"/>
      <c r="T159" s="133"/>
      <c r="U159" s="133"/>
      <c r="V159" s="133"/>
      <c r="W159" s="120"/>
      <c r="X159" s="120"/>
      <c r="Y159" s="117"/>
      <c r="Z159" s="118"/>
      <c r="AA159" s="118"/>
      <c r="AB159" s="118"/>
      <c r="AC159" s="142"/>
      <c r="AD159" s="39"/>
      <c r="AE159" s="39"/>
      <c r="AF159" s="39"/>
      <c r="AG159" s="39"/>
      <c r="AH159" s="39"/>
      <c r="AI159" s="39"/>
      <c r="AJ159" s="39"/>
      <c r="AK159" s="39"/>
      <c r="AL159" s="39"/>
    </row>
    <row r="160" spans="1:38" ht="14.1" customHeight="1" x14ac:dyDescent="0.25">
      <c r="A160" s="61" t="s">
        <v>37</v>
      </c>
      <c r="B160" s="6">
        <v>5489</v>
      </c>
      <c r="C160" s="5">
        <v>11.519170636502906</v>
      </c>
      <c r="D160" s="5"/>
      <c r="E160" s="6">
        <v>5452</v>
      </c>
      <c r="F160" s="5">
        <v>11.639375760551655</v>
      </c>
      <c r="G160" s="5"/>
      <c r="H160" s="6">
        <v>35</v>
      </c>
      <c r="I160" s="5">
        <v>4.7554347826086962</v>
      </c>
      <c r="J160" s="5"/>
      <c r="K160" s="6">
        <v>2</v>
      </c>
      <c r="L160" s="5">
        <v>2.7027027027027026</v>
      </c>
      <c r="M160" s="5"/>
      <c r="N160" s="98"/>
      <c r="O160" s="98"/>
      <c r="P160" s="120"/>
      <c r="Q160" s="133"/>
      <c r="R160" s="133"/>
      <c r="S160" s="133"/>
      <c r="T160" s="133"/>
      <c r="U160" s="133"/>
      <c r="V160" s="133"/>
      <c r="W160" s="120"/>
      <c r="X160" s="120"/>
      <c r="Y160" s="117"/>
      <c r="Z160" s="118"/>
      <c r="AA160" s="118"/>
      <c r="AB160" s="118"/>
      <c r="AC160" s="142"/>
      <c r="AD160" s="39"/>
      <c r="AE160" s="39"/>
      <c r="AF160" s="39"/>
      <c r="AG160" s="39"/>
      <c r="AH160" s="39"/>
      <c r="AI160" s="39"/>
      <c r="AJ160" s="39"/>
      <c r="AK160" s="39"/>
      <c r="AL160" s="39"/>
    </row>
    <row r="161" spans="1:38" ht="14.1" customHeight="1" x14ac:dyDescent="0.25">
      <c r="A161" s="61"/>
      <c r="B161" s="6"/>
      <c r="C161" s="5"/>
      <c r="D161" s="5"/>
      <c r="E161" s="6"/>
      <c r="F161" s="5"/>
      <c r="G161" s="5"/>
      <c r="H161" s="6"/>
      <c r="I161" s="5"/>
      <c r="J161" s="5"/>
      <c r="K161" s="6"/>
      <c r="L161" s="5"/>
      <c r="M161" s="5"/>
      <c r="N161" s="98"/>
      <c r="O161" s="98"/>
      <c r="P161" s="120"/>
      <c r="Q161" s="133"/>
      <c r="R161" s="133"/>
      <c r="S161" s="133"/>
      <c r="T161" s="133"/>
      <c r="U161" s="133"/>
      <c r="V161" s="133"/>
      <c r="W161" s="120"/>
      <c r="X161" s="120"/>
      <c r="Y161" s="118"/>
      <c r="Z161" s="118"/>
      <c r="AA161" s="118"/>
      <c r="AB161" s="118"/>
      <c r="AC161" s="142"/>
      <c r="AD161" s="39"/>
      <c r="AE161" s="39"/>
      <c r="AF161" s="39"/>
      <c r="AG161" s="39"/>
      <c r="AH161" s="39"/>
      <c r="AI161" s="39"/>
      <c r="AJ161" s="39"/>
      <c r="AK161" s="39"/>
      <c r="AL161" s="39"/>
    </row>
    <row r="162" spans="1:38" s="35" customFormat="1" ht="14.1" customHeight="1" x14ac:dyDescent="0.25">
      <c r="A162" s="62" t="s">
        <v>14</v>
      </c>
      <c r="B162" s="9">
        <v>75127</v>
      </c>
      <c r="C162" s="15">
        <v>100</v>
      </c>
      <c r="D162" s="15"/>
      <c r="E162" s="9">
        <v>73473</v>
      </c>
      <c r="F162" s="96">
        <v>100</v>
      </c>
      <c r="G162" s="96"/>
      <c r="H162" s="95">
        <v>1434</v>
      </c>
      <c r="I162" s="96">
        <v>100</v>
      </c>
      <c r="J162" s="96"/>
      <c r="K162" s="95">
        <v>220</v>
      </c>
      <c r="L162" s="96">
        <v>100</v>
      </c>
      <c r="M162" s="15"/>
      <c r="N162" s="96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117"/>
      <c r="Z162" s="118"/>
      <c r="AA162" s="118"/>
      <c r="AB162" s="118"/>
      <c r="AC162" s="142"/>
      <c r="AD162" s="39"/>
      <c r="AE162" s="39"/>
      <c r="AF162" s="39"/>
      <c r="AG162" s="39"/>
      <c r="AH162" s="39"/>
      <c r="AI162" s="39"/>
      <c r="AJ162" s="39"/>
      <c r="AK162" s="39"/>
      <c r="AL162" s="39"/>
    </row>
    <row r="163" spans="1:38" ht="14.1" customHeight="1" x14ac:dyDescent="0.25">
      <c r="A163" s="61" t="s">
        <v>57</v>
      </c>
      <c r="B163" s="6">
        <v>1481</v>
      </c>
      <c r="C163" s="5">
        <v>1.9713285503214557</v>
      </c>
      <c r="D163" s="5"/>
      <c r="E163" s="6">
        <v>1322</v>
      </c>
      <c r="F163" s="5">
        <v>1.7993004232847438</v>
      </c>
      <c r="G163" s="5"/>
      <c r="H163" s="6">
        <v>126</v>
      </c>
      <c r="I163" s="5">
        <v>8.7866108786610866</v>
      </c>
      <c r="J163" s="5"/>
      <c r="K163" s="6">
        <v>33</v>
      </c>
      <c r="L163" s="5">
        <v>15</v>
      </c>
      <c r="M163" s="5"/>
      <c r="N163" s="98"/>
      <c r="O163" s="98"/>
      <c r="P163" s="120"/>
      <c r="Q163" s="133"/>
      <c r="R163" s="133"/>
      <c r="S163" s="133"/>
      <c r="T163" s="133"/>
      <c r="U163" s="133"/>
      <c r="V163" s="133"/>
      <c r="W163" s="120"/>
      <c r="X163" s="120"/>
      <c r="Y163" s="117"/>
      <c r="Z163" s="118"/>
      <c r="AA163" s="118"/>
      <c r="AB163" s="118"/>
      <c r="AC163" s="142"/>
      <c r="AD163" s="39"/>
      <c r="AE163" s="39"/>
      <c r="AF163" s="39"/>
      <c r="AG163" s="39"/>
      <c r="AH163" s="39"/>
      <c r="AI163" s="39"/>
      <c r="AJ163" s="39"/>
      <c r="AK163" s="39"/>
      <c r="AL163" s="39"/>
    </row>
    <row r="164" spans="1:38" ht="14.1" customHeight="1" x14ac:dyDescent="0.25">
      <c r="A164" s="61" t="s">
        <v>29</v>
      </c>
      <c r="B164" s="6">
        <v>1531</v>
      </c>
      <c r="C164" s="5">
        <v>2.0378825189346044</v>
      </c>
      <c r="D164" s="5"/>
      <c r="E164" s="6">
        <v>1428</v>
      </c>
      <c r="F164" s="5">
        <v>1.9435711077538689</v>
      </c>
      <c r="G164" s="5"/>
      <c r="H164" s="6">
        <v>85</v>
      </c>
      <c r="I164" s="5">
        <v>5.9274755927475598</v>
      </c>
      <c r="J164" s="5"/>
      <c r="K164" s="6">
        <v>18</v>
      </c>
      <c r="L164" s="5">
        <v>8.1818181818181817</v>
      </c>
      <c r="M164" s="5"/>
      <c r="N164" s="98"/>
      <c r="O164" s="98"/>
      <c r="P164" s="120"/>
      <c r="Q164" s="133"/>
      <c r="R164" s="133"/>
      <c r="S164" s="133"/>
      <c r="T164" s="133"/>
      <c r="U164" s="133"/>
      <c r="V164" s="133"/>
      <c r="W164" s="120"/>
      <c r="X164" s="120"/>
      <c r="Y164" s="117"/>
      <c r="Z164" s="118"/>
      <c r="AA164" s="118"/>
      <c r="AB164" s="118"/>
      <c r="AC164" s="142"/>
      <c r="AD164" s="39"/>
      <c r="AE164" s="39"/>
      <c r="AF164" s="39"/>
      <c r="AG164" s="39"/>
      <c r="AH164" s="39"/>
      <c r="AI164" s="39"/>
      <c r="AJ164" s="39"/>
      <c r="AK164" s="39"/>
      <c r="AL164" s="39"/>
    </row>
    <row r="165" spans="1:38" ht="14.1" customHeight="1" x14ac:dyDescent="0.25">
      <c r="A165" s="61" t="s">
        <v>30</v>
      </c>
      <c r="B165" s="6">
        <v>3841</v>
      </c>
      <c r="C165" s="5">
        <v>5.1126758688620599</v>
      </c>
      <c r="D165" s="5"/>
      <c r="E165" s="6">
        <v>3714</v>
      </c>
      <c r="F165" s="5">
        <v>5.0549181331917845</v>
      </c>
      <c r="G165" s="5"/>
      <c r="H165" s="6">
        <v>83</v>
      </c>
      <c r="I165" s="5">
        <v>5.7880055788005578</v>
      </c>
      <c r="J165" s="5"/>
      <c r="K165" s="6">
        <v>44</v>
      </c>
      <c r="L165" s="5">
        <v>19.899999999999999</v>
      </c>
      <c r="M165" s="5"/>
      <c r="N165" s="98"/>
      <c r="O165" s="98"/>
      <c r="P165" s="120"/>
      <c r="Q165" s="133"/>
      <c r="R165" s="133"/>
      <c r="S165" s="133"/>
      <c r="T165" s="133"/>
      <c r="U165" s="133"/>
      <c r="V165" s="133"/>
      <c r="W165" s="120"/>
      <c r="X165" s="120"/>
      <c r="Y165" s="117"/>
      <c r="Z165" s="118"/>
      <c r="AA165" s="118"/>
      <c r="AB165" s="118"/>
      <c r="AC165" s="142"/>
      <c r="AD165" s="39"/>
      <c r="AE165" s="39"/>
      <c r="AF165" s="39"/>
      <c r="AG165" s="39"/>
      <c r="AH165" s="39"/>
      <c r="AI165" s="39"/>
      <c r="AJ165" s="39"/>
      <c r="AK165" s="39"/>
      <c r="AL165" s="39"/>
    </row>
    <row r="166" spans="1:38" ht="14.1" customHeight="1" x14ac:dyDescent="0.25">
      <c r="A166" s="61" t="s">
        <v>31</v>
      </c>
      <c r="B166" s="6">
        <v>179</v>
      </c>
      <c r="C166" s="5">
        <v>0.23826320763507125</v>
      </c>
      <c r="D166" s="5"/>
      <c r="E166" s="6">
        <v>164</v>
      </c>
      <c r="F166" s="5">
        <v>0.22321124766921183</v>
      </c>
      <c r="G166" s="5"/>
      <c r="H166" s="6">
        <v>10</v>
      </c>
      <c r="I166" s="5">
        <v>0.69735006973500702</v>
      </c>
      <c r="J166" s="5"/>
      <c r="K166" s="6">
        <v>5</v>
      </c>
      <c r="L166" s="5">
        <v>2.2727272727272729</v>
      </c>
      <c r="M166" s="5"/>
      <c r="N166" s="98"/>
      <c r="O166" s="98"/>
      <c r="P166" s="120"/>
      <c r="Q166" s="133"/>
      <c r="R166" s="133"/>
      <c r="S166" s="133"/>
      <c r="T166" s="133"/>
      <c r="U166" s="133"/>
      <c r="V166" s="133"/>
      <c r="W166" s="120"/>
      <c r="X166" s="120"/>
      <c r="Y166" s="117"/>
      <c r="Z166" s="118"/>
      <c r="AA166" s="118"/>
      <c r="AB166" s="118"/>
      <c r="AC166" s="142"/>
      <c r="AD166" s="39"/>
      <c r="AE166" s="39"/>
      <c r="AF166" s="39"/>
      <c r="AG166" s="39"/>
      <c r="AH166" s="39"/>
      <c r="AI166" s="39"/>
      <c r="AJ166" s="39"/>
      <c r="AK166" s="39"/>
      <c r="AL166" s="39"/>
    </row>
    <row r="167" spans="1:38" ht="14.1" customHeight="1" x14ac:dyDescent="0.25">
      <c r="A167" s="61" t="s">
        <v>32</v>
      </c>
      <c r="B167" s="6">
        <v>2698</v>
      </c>
      <c r="C167" s="5">
        <v>3.5912521463654881</v>
      </c>
      <c r="D167" s="5"/>
      <c r="E167" s="6">
        <v>2571</v>
      </c>
      <c r="F167" s="5">
        <v>3.4992446204728265</v>
      </c>
      <c r="G167" s="5"/>
      <c r="H167" s="6">
        <v>122</v>
      </c>
      <c r="I167" s="5">
        <v>8.5076708507670844</v>
      </c>
      <c r="J167" s="5"/>
      <c r="K167" s="6">
        <v>5</v>
      </c>
      <c r="L167" s="5">
        <v>2.2727272727272729</v>
      </c>
      <c r="M167" s="5"/>
      <c r="N167" s="98"/>
      <c r="O167" s="98"/>
      <c r="P167" s="120"/>
      <c r="Q167" s="133"/>
      <c r="R167" s="133"/>
      <c r="S167" s="133"/>
      <c r="T167" s="133"/>
      <c r="U167" s="133"/>
      <c r="V167" s="133"/>
      <c r="W167" s="120"/>
      <c r="X167" s="120"/>
      <c r="Y167" s="117"/>
      <c r="Z167" s="118"/>
      <c r="AA167" s="118"/>
      <c r="AB167" s="118"/>
      <c r="AC167" s="142"/>
      <c r="AD167" s="39"/>
      <c r="AE167" s="39"/>
      <c r="AF167" s="39"/>
      <c r="AG167" s="39"/>
      <c r="AH167" s="39"/>
      <c r="AI167" s="39"/>
      <c r="AJ167" s="39"/>
      <c r="AK167" s="39"/>
      <c r="AL167" s="39"/>
    </row>
    <row r="168" spans="1:38" ht="14.1" customHeight="1" x14ac:dyDescent="0.25">
      <c r="A168" s="61" t="s">
        <v>33</v>
      </c>
      <c r="B168" s="6">
        <v>37329</v>
      </c>
      <c r="C168" s="5">
        <v>49.687861887204335</v>
      </c>
      <c r="D168" s="5"/>
      <c r="E168" s="6">
        <v>36654</v>
      </c>
      <c r="F168" s="5">
        <v>49.787713854068841</v>
      </c>
      <c r="G168" s="5"/>
      <c r="H168" s="6">
        <v>589</v>
      </c>
      <c r="I168" s="5">
        <v>40.973919107391907</v>
      </c>
      <c r="J168" s="5"/>
      <c r="K168" s="6">
        <v>86</v>
      </c>
      <c r="L168" s="5">
        <v>38.990909090909092</v>
      </c>
      <c r="M168" s="5"/>
      <c r="N168" s="98"/>
      <c r="O168" s="98"/>
      <c r="P168" s="120"/>
      <c r="Q168" s="133"/>
      <c r="R168" s="133"/>
      <c r="S168" s="133"/>
      <c r="T168" s="133"/>
      <c r="U168" s="133"/>
      <c r="V168" s="133"/>
      <c r="W168" s="120"/>
      <c r="X168" s="120"/>
      <c r="Y168" s="117"/>
      <c r="Z168" s="118"/>
      <c r="AA168" s="118"/>
      <c r="AB168" s="118"/>
      <c r="AC168" s="142"/>
      <c r="AD168" s="39"/>
      <c r="AE168" s="39"/>
      <c r="AF168" s="39"/>
      <c r="AG168" s="39"/>
      <c r="AH168" s="39"/>
      <c r="AI168" s="39"/>
      <c r="AJ168" s="39"/>
      <c r="AK168" s="39"/>
      <c r="AL168" s="39"/>
    </row>
    <row r="169" spans="1:38" ht="14.1" customHeight="1" x14ac:dyDescent="0.25">
      <c r="A169" s="61" t="s">
        <v>34</v>
      </c>
      <c r="B169" s="6">
        <v>5432</v>
      </c>
      <c r="C169" s="5">
        <v>7.2304231501324425</v>
      </c>
      <c r="D169" s="5"/>
      <c r="E169" s="6">
        <v>5246</v>
      </c>
      <c r="F169" s="5">
        <v>7.1400378370285678</v>
      </c>
      <c r="G169" s="5"/>
      <c r="H169" s="6">
        <v>173</v>
      </c>
      <c r="I169" s="5">
        <v>12.064156206415619</v>
      </c>
      <c r="J169" s="5"/>
      <c r="K169" s="6">
        <v>13</v>
      </c>
      <c r="L169" s="5">
        <v>5.9090909090909092</v>
      </c>
      <c r="M169" s="5"/>
      <c r="N169" s="98"/>
      <c r="O169" s="98"/>
      <c r="P169" s="120"/>
      <c r="Q169" s="133"/>
      <c r="R169" s="133"/>
      <c r="S169" s="133"/>
      <c r="T169" s="133"/>
      <c r="U169" s="133"/>
      <c r="V169" s="133"/>
      <c r="W169" s="120"/>
      <c r="X169" s="120"/>
      <c r="Y169" s="117"/>
      <c r="Z169" s="118"/>
      <c r="AA169" s="118"/>
      <c r="AB169" s="118"/>
      <c r="AC169" s="142"/>
      <c r="AD169" s="39"/>
      <c r="AE169" s="39"/>
      <c r="AF169" s="39"/>
      <c r="AG169" s="39"/>
      <c r="AH169" s="39"/>
      <c r="AI169" s="39"/>
      <c r="AJ169" s="39"/>
      <c r="AK169" s="39"/>
      <c r="AL169" s="39"/>
    </row>
    <row r="170" spans="1:38" ht="14.1" customHeight="1" x14ac:dyDescent="0.25">
      <c r="A170" s="61" t="s">
        <v>68</v>
      </c>
      <c r="B170" s="6">
        <v>1117</v>
      </c>
      <c r="C170" s="5">
        <v>1.4868156588177353</v>
      </c>
      <c r="D170" s="5"/>
      <c r="E170" s="6">
        <v>1089</v>
      </c>
      <c r="F170" s="5">
        <v>1.4821771262912906</v>
      </c>
      <c r="G170" s="5"/>
      <c r="H170" s="6">
        <v>27</v>
      </c>
      <c r="I170" s="5">
        <v>1.882845188284519</v>
      </c>
      <c r="J170" s="5"/>
      <c r="K170" s="6">
        <v>1</v>
      </c>
      <c r="L170" s="5">
        <v>0.45454545454545453</v>
      </c>
      <c r="M170" s="6"/>
      <c r="N170" s="97"/>
      <c r="O170" s="98"/>
      <c r="P170" s="120"/>
      <c r="Q170" s="133"/>
      <c r="R170" s="133"/>
      <c r="S170" s="133"/>
      <c r="T170" s="133"/>
      <c r="U170" s="133"/>
      <c r="V170" s="133"/>
      <c r="W170" s="120"/>
      <c r="X170" s="120"/>
      <c r="Y170" s="117"/>
      <c r="Z170" s="118"/>
      <c r="AA170" s="118"/>
      <c r="AB170" s="118"/>
      <c r="AC170" s="142"/>
      <c r="AD170" s="39"/>
      <c r="AE170" s="39"/>
      <c r="AF170" s="39"/>
      <c r="AG170" s="39"/>
      <c r="AH170" s="39"/>
      <c r="AI170" s="39"/>
      <c r="AJ170" s="39"/>
      <c r="AK170" s="39"/>
      <c r="AL170" s="39"/>
    </row>
    <row r="171" spans="1:38" ht="14.1" customHeight="1" x14ac:dyDescent="0.25">
      <c r="A171" s="61" t="s">
        <v>69</v>
      </c>
      <c r="B171" s="6">
        <v>7134</v>
      </c>
      <c r="C171" s="5">
        <v>9.4959202417240132</v>
      </c>
      <c r="D171" s="5"/>
      <c r="E171" s="6">
        <v>7100</v>
      </c>
      <c r="F171" s="5">
        <v>9.6634137710451462</v>
      </c>
      <c r="G171" s="5"/>
      <c r="H171" s="6">
        <v>33</v>
      </c>
      <c r="I171" s="5">
        <v>2.3012552301255229</v>
      </c>
      <c r="J171" s="5"/>
      <c r="K171" s="6">
        <v>1</v>
      </c>
      <c r="L171" s="5">
        <v>0.45454545454545453</v>
      </c>
      <c r="M171" s="5"/>
      <c r="N171" s="98"/>
      <c r="O171" s="98"/>
      <c r="P171" s="120"/>
      <c r="Q171" s="133"/>
      <c r="R171" s="133"/>
      <c r="S171" s="133"/>
      <c r="T171" s="133"/>
      <c r="U171" s="133"/>
      <c r="V171" s="133"/>
      <c r="W171" s="120"/>
      <c r="X171" s="120"/>
      <c r="Y171" s="117"/>
      <c r="Z171" s="118"/>
      <c r="AA171" s="118"/>
      <c r="AB171" s="118"/>
      <c r="AC171" s="142"/>
      <c r="AD171" s="39"/>
      <c r="AE171" s="39"/>
      <c r="AF171" s="39"/>
      <c r="AG171" s="39"/>
      <c r="AH171" s="39"/>
      <c r="AI171" s="39"/>
      <c r="AJ171" s="39"/>
      <c r="AK171" s="39"/>
      <c r="AL171" s="39"/>
    </row>
    <row r="172" spans="1:38" ht="14.1" customHeight="1" x14ac:dyDescent="0.25">
      <c r="A172" s="61" t="s">
        <v>35</v>
      </c>
      <c r="B172" s="6">
        <v>1112</v>
      </c>
      <c r="C172" s="5">
        <v>1.4801602619564205</v>
      </c>
      <c r="D172" s="5"/>
      <c r="E172" s="6">
        <v>1105</v>
      </c>
      <c r="F172" s="5">
        <v>1.5039538333809699</v>
      </c>
      <c r="G172" s="5"/>
      <c r="H172" s="6">
        <v>7</v>
      </c>
      <c r="I172" s="5">
        <v>0.48814504881450488</v>
      </c>
      <c r="J172" s="5"/>
      <c r="K172" s="3" t="s">
        <v>96</v>
      </c>
      <c r="L172" s="3" t="s">
        <v>96</v>
      </c>
      <c r="M172" s="6"/>
      <c r="N172" s="98"/>
      <c r="O172" s="98"/>
      <c r="P172" s="120"/>
      <c r="Q172" s="133"/>
      <c r="R172" s="133"/>
      <c r="S172" s="133"/>
      <c r="T172" s="133"/>
      <c r="U172" s="133"/>
      <c r="V172" s="133"/>
      <c r="W172" s="120"/>
      <c r="X172" s="120"/>
      <c r="Y172" s="118"/>
      <c r="Z172" s="118"/>
      <c r="AA172" s="118"/>
      <c r="AB172" s="118"/>
      <c r="AC172" s="142"/>
      <c r="AD172" s="39"/>
      <c r="AE172" s="39"/>
      <c r="AF172" s="39"/>
      <c r="AG172" s="39"/>
      <c r="AH172" s="39"/>
      <c r="AI172" s="39"/>
      <c r="AJ172" s="39"/>
      <c r="AK172" s="39"/>
      <c r="AL172" s="39"/>
    </row>
    <row r="173" spans="1:38" ht="14.1" customHeight="1" x14ac:dyDescent="0.25">
      <c r="A173" s="61" t="s">
        <v>36</v>
      </c>
      <c r="B173" s="6">
        <v>4254</v>
      </c>
      <c r="C173" s="5">
        <v>5.6624116496066659</v>
      </c>
      <c r="D173" s="5"/>
      <c r="E173" s="6">
        <v>4153</v>
      </c>
      <c r="F173" s="5">
        <v>5.6524165339648578</v>
      </c>
      <c r="G173" s="5"/>
      <c r="H173" s="6">
        <v>96</v>
      </c>
      <c r="I173" s="5">
        <v>6.6945606694560666</v>
      </c>
      <c r="J173" s="5"/>
      <c r="K173" s="6">
        <v>5</v>
      </c>
      <c r="L173" s="5">
        <v>2.2727272727272729</v>
      </c>
      <c r="M173" s="5"/>
      <c r="N173" s="98"/>
      <c r="O173" s="98"/>
      <c r="P173" s="120"/>
      <c r="Q173" s="133"/>
      <c r="R173" s="133"/>
      <c r="S173" s="133"/>
      <c r="T173" s="133"/>
      <c r="U173" s="133"/>
      <c r="V173" s="133"/>
      <c r="W173" s="120"/>
      <c r="X173" s="120"/>
      <c r="Y173" s="117"/>
      <c r="Z173" s="117"/>
      <c r="AA173" s="117"/>
      <c r="AB173" s="117"/>
      <c r="AC173" s="142"/>
      <c r="AD173" s="39"/>
      <c r="AE173" s="39"/>
      <c r="AF173" s="39"/>
      <c r="AG173" s="39"/>
      <c r="AH173" s="39"/>
      <c r="AI173" s="39"/>
      <c r="AJ173" s="39"/>
      <c r="AK173" s="39"/>
      <c r="AL173" s="39"/>
    </row>
    <row r="174" spans="1:38" ht="14.1" customHeight="1" x14ac:dyDescent="0.25">
      <c r="A174" s="61" t="s">
        <v>37</v>
      </c>
      <c r="B174" s="6">
        <v>9019</v>
      </c>
      <c r="C174" s="5">
        <v>12.00500485843971</v>
      </c>
      <c r="D174" s="5"/>
      <c r="E174" s="6">
        <v>8927</v>
      </c>
      <c r="F174" s="5">
        <v>12.15004151184789</v>
      </c>
      <c r="G174" s="5"/>
      <c r="H174" s="6">
        <v>83</v>
      </c>
      <c r="I174" s="5">
        <v>5.7880055788005578</v>
      </c>
      <c r="J174" s="5"/>
      <c r="K174" s="6">
        <v>9</v>
      </c>
      <c r="L174" s="5">
        <v>4.0909090909090908</v>
      </c>
      <c r="M174" s="5"/>
      <c r="N174" s="98"/>
      <c r="O174" s="98"/>
      <c r="P174" s="120"/>
      <c r="Q174" s="133"/>
      <c r="R174" s="133"/>
      <c r="S174" s="133"/>
      <c r="T174" s="133"/>
      <c r="U174" s="133"/>
      <c r="V174" s="133"/>
      <c r="W174" s="120"/>
      <c r="X174" s="120"/>
      <c r="Y174" s="117"/>
      <c r="Z174" s="118"/>
      <c r="AA174" s="118"/>
      <c r="AB174" s="118"/>
      <c r="AC174" s="142"/>
      <c r="AD174" s="39"/>
      <c r="AE174" s="39"/>
      <c r="AF174" s="39"/>
      <c r="AG174" s="39"/>
      <c r="AH174" s="39"/>
      <c r="AI174" s="39"/>
      <c r="AJ174" s="39"/>
      <c r="AK174" s="39"/>
      <c r="AL174" s="39"/>
    </row>
    <row r="175" spans="1:38" ht="14.1" customHeight="1" x14ac:dyDescent="0.25">
      <c r="A175" s="61"/>
      <c r="B175" s="6"/>
      <c r="C175" s="5"/>
      <c r="D175" s="5"/>
      <c r="E175" s="6"/>
      <c r="F175" s="5"/>
      <c r="G175" s="5"/>
      <c r="H175" s="6"/>
      <c r="I175" s="5"/>
      <c r="J175" s="5"/>
      <c r="K175" s="6"/>
      <c r="L175" s="5"/>
      <c r="M175" s="5"/>
      <c r="N175" s="98"/>
      <c r="O175" s="98"/>
      <c r="P175" s="120"/>
      <c r="Q175" s="133"/>
      <c r="R175" s="133"/>
      <c r="S175" s="133"/>
      <c r="T175" s="133"/>
      <c r="U175" s="133"/>
      <c r="V175" s="133"/>
      <c r="W175" s="120"/>
      <c r="X175" s="120"/>
      <c r="Y175" s="118"/>
      <c r="Z175" s="118"/>
      <c r="AA175" s="118"/>
      <c r="AB175" s="118"/>
      <c r="AC175" s="142"/>
      <c r="AD175" s="39"/>
      <c r="AE175" s="39"/>
      <c r="AF175" s="39"/>
      <c r="AG175" s="39"/>
      <c r="AH175" s="39"/>
      <c r="AI175" s="39"/>
      <c r="AJ175" s="39"/>
      <c r="AK175" s="39"/>
      <c r="AL175" s="39"/>
    </row>
    <row r="176" spans="1:38" s="35" customFormat="1" ht="14.1" customHeight="1" x14ac:dyDescent="0.25">
      <c r="A176" s="62" t="s">
        <v>13</v>
      </c>
      <c r="B176" s="9">
        <v>109358</v>
      </c>
      <c r="C176" s="96">
        <v>100</v>
      </c>
      <c r="D176" s="96"/>
      <c r="E176" s="95">
        <v>107818</v>
      </c>
      <c r="F176" s="96">
        <v>100</v>
      </c>
      <c r="G176" s="96"/>
      <c r="H176" s="95">
        <v>1345</v>
      </c>
      <c r="I176" s="96">
        <v>100</v>
      </c>
      <c r="J176" s="96"/>
      <c r="K176" s="95">
        <v>195</v>
      </c>
      <c r="L176" s="96">
        <v>100</v>
      </c>
      <c r="M176" s="15"/>
      <c r="N176" s="96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117"/>
      <c r="Z176" s="118"/>
      <c r="AA176" s="118"/>
      <c r="AB176" s="118"/>
      <c r="AC176" s="142"/>
      <c r="AD176" s="39"/>
      <c r="AE176" s="39"/>
      <c r="AF176" s="39"/>
      <c r="AG176" s="39"/>
      <c r="AH176" s="39"/>
      <c r="AI176" s="39"/>
      <c r="AJ176" s="39"/>
      <c r="AK176" s="39"/>
      <c r="AL176" s="39"/>
    </row>
    <row r="177" spans="1:38" ht="14.1" customHeight="1" x14ac:dyDescent="0.25">
      <c r="A177" s="61" t="s">
        <v>57</v>
      </c>
      <c r="B177" s="6">
        <v>3570</v>
      </c>
      <c r="C177" s="98">
        <v>3.2645073977212462</v>
      </c>
      <c r="D177" s="98"/>
      <c r="E177" s="97">
        <v>3459</v>
      </c>
      <c r="F177" s="98">
        <v>3.2081841621992617</v>
      </c>
      <c r="G177" s="98"/>
      <c r="H177" s="97">
        <v>81</v>
      </c>
      <c r="I177" s="98">
        <v>6.0223048327137549</v>
      </c>
      <c r="J177" s="98"/>
      <c r="K177" s="97">
        <v>30</v>
      </c>
      <c r="L177" s="98">
        <v>15.384615384615385</v>
      </c>
      <c r="M177" s="5"/>
      <c r="N177" s="98"/>
      <c r="O177" s="98"/>
      <c r="P177" s="120"/>
      <c r="Q177" s="133"/>
      <c r="R177" s="133"/>
      <c r="S177" s="133"/>
      <c r="T177" s="133"/>
      <c r="U177" s="133"/>
      <c r="V177" s="133"/>
      <c r="W177" s="120"/>
      <c r="X177" s="120"/>
      <c r="Y177" s="117"/>
      <c r="Z177" s="118"/>
      <c r="AA177" s="118"/>
      <c r="AB177" s="118"/>
      <c r="AC177" s="142"/>
      <c r="AD177" s="39"/>
      <c r="AE177" s="39"/>
      <c r="AF177" s="39"/>
      <c r="AG177" s="39"/>
      <c r="AH177" s="39"/>
      <c r="AI177" s="39"/>
      <c r="AJ177" s="39"/>
      <c r="AK177" s="39"/>
      <c r="AL177" s="39"/>
    </row>
    <row r="178" spans="1:38" ht="14.1" customHeight="1" x14ac:dyDescent="0.25">
      <c r="A178" s="61" t="s">
        <v>29</v>
      </c>
      <c r="B178" s="6">
        <v>847</v>
      </c>
      <c r="C178" s="98">
        <v>0.77452038259660938</v>
      </c>
      <c r="D178" s="98"/>
      <c r="E178" s="97">
        <v>829</v>
      </c>
      <c r="F178" s="98">
        <v>0.76888831178467421</v>
      </c>
      <c r="G178" s="98"/>
      <c r="H178" s="97">
        <v>14</v>
      </c>
      <c r="I178" s="98">
        <v>1.0408921933085502</v>
      </c>
      <c r="J178" s="98"/>
      <c r="K178" s="97">
        <v>4</v>
      </c>
      <c r="L178" s="98">
        <v>2.0512820512820511</v>
      </c>
      <c r="M178" s="5"/>
      <c r="N178" s="98"/>
      <c r="O178" s="98"/>
      <c r="P178" s="120"/>
      <c r="Q178" s="133"/>
      <c r="R178" s="133"/>
      <c r="S178" s="133"/>
      <c r="T178" s="133"/>
      <c r="U178" s="133"/>
      <c r="V178" s="133"/>
      <c r="W178" s="120"/>
      <c r="X178" s="120"/>
      <c r="Y178" s="117"/>
      <c r="Z178" s="118"/>
      <c r="AA178" s="118"/>
      <c r="AB178" s="118"/>
      <c r="AC178" s="142"/>
      <c r="AD178" s="39"/>
      <c r="AE178" s="39"/>
      <c r="AF178" s="39"/>
      <c r="AG178" s="39"/>
      <c r="AH178" s="39"/>
      <c r="AI178" s="39"/>
      <c r="AJ178" s="39"/>
      <c r="AK178" s="39"/>
      <c r="AL178" s="39"/>
    </row>
    <row r="179" spans="1:38" ht="14.1" customHeight="1" x14ac:dyDescent="0.25">
      <c r="A179" s="61" t="s">
        <v>30</v>
      </c>
      <c r="B179" s="6">
        <v>7836</v>
      </c>
      <c r="C179" s="98">
        <v>7.1654565738217606</v>
      </c>
      <c r="D179" s="98"/>
      <c r="E179" s="97">
        <v>7759</v>
      </c>
      <c r="F179" s="98">
        <v>7.1963865031812873</v>
      </c>
      <c r="G179" s="98"/>
      <c r="H179" s="97">
        <v>66</v>
      </c>
      <c r="I179" s="98">
        <v>4.9070631970260221</v>
      </c>
      <c r="J179" s="98"/>
      <c r="K179" s="97">
        <v>11</v>
      </c>
      <c r="L179" s="98">
        <v>5.6410256410256414</v>
      </c>
      <c r="M179" s="5"/>
      <c r="N179" s="98"/>
      <c r="O179" s="98"/>
      <c r="P179" s="120"/>
      <c r="Q179" s="133"/>
      <c r="R179" s="133"/>
      <c r="S179" s="133"/>
      <c r="T179" s="133"/>
      <c r="U179" s="133"/>
      <c r="V179" s="133"/>
      <c r="W179" s="120"/>
      <c r="X179" s="120"/>
      <c r="Y179" s="117"/>
      <c r="Z179" s="118"/>
      <c r="AA179" s="118"/>
      <c r="AB179" s="118"/>
      <c r="AC179" s="142"/>
      <c r="AD179" s="39"/>
      <c r="AE179" s="39"/>
      <c r="AF179" s="39"/>
      <c r="AG179" s="39"/>
      <c r="AH179" s="39"/>
      <c r="AI179" s="39"/>
      <c r="AJ179" s="39"/>
      <c r="AK179" s="39"/>
      <c r="AL179" s="39"/>
    </row>
    <row r="180" spans="1:38" ht="14.1" customHeight="1" x14ac:dyDescent="0.25">
      <c r="A180" s="61" t="s">
        <v>31</v>
      </c>
      <c r="B180" s="6">
        <v>175</v>
      </c>
      <c r="C180" s="98">
        <v>0.16002487243731597</v>
      </c>
      <c r="D180" s="98"/>
      <c r="E180" s="97">
        <v>161</v>
      </c>
      <c r="F180" s="98">
        <v>0.14932571555769908</v>
      </c>
      <c r="G180" s="98"/>
      <c r="H180" s="97">
        <v>9</v>
      </c>
      <c r="I180" s="98">
        <v>0.66914498141263945</v>
      </c>
      <c r="J180" s="98"/>
      <c r="K180" s="97">
        <v>5</v>
      </c>
      <c r="L180" s="98">
        <v>2.5641025641025639</v>
      </c>
      <c r="M180" s="5"/>
      <c r="N180" s="98"/>
      <c r="O180" s="98"/>
      <c r="P180" s="120"/>
      <c r="Q180" s="133"/>
      <c r="R180" s="133"/>
      <c r="S180" s="133"/>
      <c r="T180" s="133"/>
      <c r="U180" s="133"/>
      <c r="V180" s="133"/>
      <c r="W180" s="120"/>
      <c r="X180" s="120"/>
      <c r="Y180" s="117"/>
      <c r="Z180" s="118"/>
      <c r="AA180" s="118"/>
      <c r="AB180" s="118"/>
      <c r="AC180" s="142"/>
      <c r="AD180" s="39"/>
      <c r="AE180" s="39"/>
      <c r="AF180" s="39"/>
      <c r="AG180" s="39"/>
      <c r="AH180" s="39"/>
      <c r="AI180" s="39"/>
      <c r="AJ180" s="39"/>
      <c r="AK180" s="39"/>
      <c r="AL180" s="39"/>
    </row>
    <row r="181" spans="1:38" ht="14.1" customHeight="1" x14ac:dyDescent="0.25">
      <c r="A181" s="61" t="s">
        <v>32</v>
      </c>
      <c r="B181" s="6">
        <v>4672</v>
      </c>
      <c r="C181" s="98">
        <v>4.2722068801550872</v>
      </c>
      <c r="D181" s="98"/>
      <c r="E181" s="97">
        <v>4517</v>
      </c>
      <c r="F181" s="98">
        <v>4.1894674358641417</v>
      </c>
      <c r="G181" s="98"/>
      <c r="H181" s="97">
        <v>148</v>
      </c>
      <c r="I181" s="98">
        <v>11.003717472118959</v>
      </c>
      <c r="J181" s="98"/>
      <c r="K181" s="97">
        <v>7</v>
      </c>
      <c r="L181" s="98">
        <v>3.5897435897435894</v>
      </c>
      <c r="M181" s="5"/>
      <c r="N181" s="98"/>
      <c r="O181" s="98"/>
      <c r="P181" s="120"/>
      <c r="Q181" s="133"/>
      <c r="R181" s="133"/>
      <c r="S181" s="133"/>
      <c r="T181" s="133"/>
      <c r="U181" s="133"/>
      <c r="V181" s="133"/>
      <c r="W181" s="120"/>
      <c r="X181" s="120"/>
      <c r="Y181" s="117"/>
      <c r="Z181" s="118"/>
      <c r="AA181" s="118"/>
      <c r="AB181" s="118"/>
      <c r="AC181" s="142"/>
      <c r="AD181" s="39"/>
      <c r="AE181" s="39"/>
      <c r="AF181" s="39"/>
      <c r="AG181" s="39"/>
      <c r="AH181" s="39"/>
      <c r="AI181" s="39"/>
      <c r="AJ181" s="39"/>
      <c r="AK181" s="39"/>
      <c r="AL181" s="39"/>
    </row>
    <row r="182" spans="1:38" ht="14.1" customHeight="1" x14ac:dyDescent="0.25">
      <c r="A182" s="61" t="s">
        <v>33</v>
      </c>
      <c r="B182" s="6">
        <v>50925</v>
      </c>
      <c r="C182" s="98">
        <v>46.567237879258947</v>
      </c>
      <c r="D182" s="98"/>
      <c r="E182" s="97">
        <v>50128</v>
      </c>
      <c r="F182" s="98">
        <v>46.493164406685338</v>
      </c>
      <c r="G182" s="98"/>
      <c r="H182" s="97">
        <v>703</v>
      </c>
      <c r="I182" s="98">
        <v>52.367657992565057</v>
      </c>
      <c r="J182" s="98"/>
      <c r="K182" s="97">
        <v>94</v>
      </c>
      <c r="L182" s="98">
        <v>48.105128205128203</v>
      </c>
      <c r="M182" s="5"/>
      <c r="N182" s="98"/>
      <c r="O182" s="98"/>
      <c r="P182" s="120"/>
      <c r="Q182" s="133"/>
      <c r="R182" s="133"/>
      <c r="S182" s="133"/>
      <c r="T182" s="133"/>
      <c r="U182" s="133"/>
      <c r="V182" s="133"/>
      <c r="W182" s="120"/>
      <c r="X182" s="120"/>
      <c r="Y182" s="117"/>
      <c r="Z182" s="118"/>
      <c r="AA182" s="118"/>
      <c r="AB182" s="118"/>
      <c r="AC182" s="142"/>
      <c r="AD182" s="39"/>
      <c r="AE182" s="39"/>
      <c r="AF182" s="39"/>
      <c r="AG182" s="39"/>
      <c r="AH182" s="39"/>
      <c r="AI182" s="39"/>
      <c r="AJ182" s="39"/>
      <c r="AK182" s="39"/>
      <c r="AL182" s="39"/>
    </row>
    <row r="183" spans="1:38" ht="14.1" customHeight="1" x14ac:dyDescent="0.25">
      <c r="A183" s="61" t="s">
        <v>34</v>
      </c>
      <c r="B183" s="6">
        <v>7193</v>
      </c>
      <c r="C183" s="98">
        <v>6.5774794710949349</v>
      </c>
      <c r="D183" s="98"/>
      <c r="E183" s="97">
        <v>7054</v>
      </c>
      <c r="F183" s="98">
        <v>6.5425068170435363</v>
      </c>
      <c r="G183" s="98"/>
      <c r="H183" s="97">
        <v>126</v>
      </c>
      <c r="I183" s="98">
        <v>9.3680297397769525</v>
      </c>
      <c r="J183" s="98"/>
      <c r="K183" s="97">
        <v>13</v>
      </c>
      <c r="L183" s="98">
        <v>6.666666666666667</v>
      </c>
      <c r="M183" s="5"/>
      <c r="N183" s="98"/>
      <c r="O183" s="98"/>
      <c r="P183" s="120"/>
      <c r="Q183" s="133"/>
      <c r="R183" s="133"/>
      <c r="S183" s="133"/>
      <c r="T183" s="133"/>
      <c r="U183" s="133"/>
      <c r="V183" s="133"/>
      <c r="W183" s="120"/>
      <c r="X183" s="120"/>
      <c r="Y183" s="117"/>
      <c r="Z183" s="118"/>
      <c r="AA183" s="118"/>
      <c r="AB183" s="118"/>
      <c r="AC183" s="142"/>
      <c r="AD183" s="39"/>
      <c r="AE183" s="39"/>
      <c r="AF183" s="39"/>
      <c r="AG183" s="39"/>
      <c r="AH183" s="39"/>
      <c r="AI183" s="39"/>
      <c r="AJ183" s="39"/>
      <c r="AK183" s="39"/>
      <c r="AL183" s="39"/>
    </row>
    <row r="184" spans="1:38" ht="14.1" customHeight="1" x14ac:dyDescent="0.25">
      <c r="A184" s="61" t="s">
        <v>68</v>
      </c>
      <c r="B184" s="6">
        <v>1595</v>
      </c>
      <c r="C184" s="98">
        <v>1.4585124087858228</v>
      </c>
      <c r="D184" s="98"/>
      <c r="E184" s="97">
        <v>1583</v>
      </c>
      <c r="F184" s="98">
        <v>1.4682149548312897</v>
      </c>
      <c r="G184" s="98"/>
      <c r="H184" s="97">
        <v>11</v>
      </c>
      <c r="I184" s="98">
        <v>0.81784386617100369</v>
      </c>
      <c r="J184" s="98"/>
      <c r="K184" s="97">
        <v>1</v>
      </c>
      <c r="L184" s="98">
        <v>0.51282051282051277</v>
      </c>
      <c r="M184" s="5"/>
      <c r="N184" s="98"/>
      <c r="O184" s="98"/>
      <c r="P184" s="120"/>
      <c r="Q184" s="133"/>
      <c r="R184" s="133"/>
      <c r="S184" s="133"/>
      <c r="T184" s="133"/>
      <c r="U184" s="133"/>
      <c r="V184" s="133"/>
      <c r="W184" s="120"/>
      <c r="X184" s="120"/>
      <c r="Y184" s="117"/>
      <c r="Z184" s="118"/>
      <c r="AA184" s="118"/>
      <c r="AB184" s="118"/>
      <c r="AC184" s="142"/>
      <c r="AD184" s="39"/>
      <c r="AE184" s="39"/>
      <c r="AF184" s="39"/>
      <c r="AG184" s="39"/>
      <c r="AH184" s="39"/>
      <c r="AI184" s="39"/>
      <c r="AJ184" s="39"/>
      <c r="AK184" s="39"/>
      <c r="AL184" s="39"/>
    </row>
    <row r="185" spans="1:38" ht="14.1" customHeight="1" x14ac:dyDescent="0.25">
      <c r="A185" s="61" t="s">
        <v>69</v>
      </c>
      <c r="B185" s="6">
        <v>10330</v>
      </c>
      <c r="C185" s="98">
        <v>9.3460396130141383</v>
      </c>
      <c r="D185" s="98"/>
      <c r="E185" s="97">
        <v>10313</v>
      </c>
      <c r="F185" s="98">
        <v>9.5651931959413083</v>
      </c>
      <c r="G185" s="98"/>
      <c r="H185" s="97">
        <v>15</v>
      </c>
      <c r="I185" s="98">
        <v>1.1152416356877324</v>
      </c>
      <c r="J185" s="98"/>
      <c r="K185" s="97">
        <v>2</v>
      </c>
      <c r="L185" s="98">
        <v>1.0256410256410255</v>
      </c>
      <c r="M185" s="5"/>
      <c r="N185" s="98"/>
      <c r="O185" s="98"/>
      <c r="P185" s="120"/>
      <c r="Q185" s="133"/>
      <c r="R185" s="133"/>
      <c r="S185" s="133"/>
      <c r="T185" s="133"/>
      <c r="U185" s="133"/>
      <c r="V185" s="133"/>
      <c r="W185" s="120"/>
      <c r="X185" s="120"/>
      <c r="Y185" s="117"/>
      <c r="Z185" s="118"/>
      <c r="AA185" s="118"/>
      <c r="AB185" s="118"/>
      <c r="AC185" s="142"/>
      <c r="AD185" s="39"/>
      <c r="AE185" s="39"/>
      <c r="AF185" s="39"/>
      <c r="AG185" s="39"/>
      <c r="AH185" s="39"/>
      <c r="AI185" s="39"/>
      <c r="AJ185" s="39"/>
      <c r="AK185" s="39"/>
      <c r="AL185" s="39"/>
    </row>
    <row r="186" spans="1:38" ht="14.1" customHeight="1" x14ac:dyDescent="0.25">
      <c r="A186" s="61" t="s">
        <v>35</v>
      </c>
      <c r="B186" s="6">
        <v>2239</v>
      </c>
      <c r="C186" s="98">
        <v>2.0474039393551453</v>
      </c>
      <c r="D186" s="98"/>
      <c r="E186" s="97">
        <v>2222</v>
      </c>
      <c r="F186" s="98">
        <v>2.060880372479549</v>
      </c>
      <c r="G186" s="98"/>
      <c r="H186" s="97">
        <v>14</v>
      </c>
      <c r="I186" s="98">
        <v>1.0408921933085502</v>
      </c>
      <c r="J186" s="98"/>
      <c r="K186" s="97">
        <v>3</v>
      </c>
      <c r="L186" s="98">
        <v>1.5384615384615385</v>
      </c>
      <c r="M186" s="5"/>
      <c r="N186" s="98"/>
      <c r="O186" s="98"/>
      <c r="P186" s="120"/>
      <c r="Q186" s="133"/>
      <c r="R186" s="133"/>
      <c r="S186" s="133"/>
      <c r="T186" s="133"/>
      <c r="U186" s="133"/>
      <c r="V186" s="133"/>
      <c r="W186" s="120"/>
      <c r="X186" s="120"/>
      <c r="Y186" s="117"/>
      <c r="Z186" s="118"/>
      <c r="AA186" s="118"/>
      <c r="AB186" s="118"/>
      <c r="AC186" s="142"/>
      <c r="AD186" s="39"/>
      <c r="AE186" s="39"/>
      <c r="AF186" s="39"/>
      <c r="AG186" s="39"/>
      <c r="AH186" s="39"/>
      <c r="AI186" s="39"/>
      <c r="AJ186" s="39"/>
      <c r="AK186" s="39"/>
      <c r="AL186" s="39"/>
    </row>
    <row r="187" spans="1:38" ht="14.1" customHeight="1" x14ac:dyDescent="0.25">
      <c r="A187" s="61" t="s">
        <v>36</v>
      </c>
      <c r="B187" s="6">
        <v>7690</v>
      </c>
      <c r="C187" s="5">
        <v>7.031950108816913</v>
      </c>
      <c r="D187" s="5"/>
      <c r="E187" s="6">
        <v>7601</v>
      </c>
      <c r="F187" s="5">
        <v>7.0498432543731102</v>
      </c>
      <c r="G187" s="5"/>
      <c r="H187" s="6">
        <v>77</v>
      </c>
      <c r="I187" s="5">
        <v>5.7249070631970262</v>
      </c>
      <c r="J187" s="5"/>
      <c r="K187" s="6">
        <v>12</v>
      </c>
      <c r="L187" s="5">
        <v>6.1538461538461542</v>
      </c>
      <c r="M187" s="5"/>
      <c r="N187" s="98"/>
      <c r="O187" s="98"/>
      <c r="P187" s="120"/>
      <c r="Q187" s="133"/>
      <c r="R187" s="133"/>
      <c r="S187" s="133"/>
      <c r="T187" s="133"/>
      <c r="U187" s="133"/>
      <c r="V187" s="133"/>
      <c r="W187" s="120"/>
      <c r="X187" s="120"/>
      <c r="Y187" s="118"/>
      <c r="Z187" s="118"/>
      <c r="AA187" s="118"/>
      <c r="AB187" s="118"/>
      <c r="AC187" s="142"/>
      <c r="AD187" s="39"/>
      <c r="AE187" s="39"/>
      <c r="AF187" s="39"/>
      <c r="AG187" s="39"/>
      <c r="AH187" s="39"/>
      <c r="AI187" s="39"/>
      <c r="AJ187" s="39"/>
      <c r="AK187" s="39"/>
      <c r="AL187" s="39"/>
    </row>
    <row r="188" spans="1:38" ht="14.1" customHeight="1" x14ac:dyDescent="0.25">
      <c r="A188" s="61" t="s">
        <v>37</v>
      </c>
      <c r="B188" s="6">
        <v>12286</v>
      </c>
      <c r="C188" s="5">
        <v>11.23466047294208</v>
      </c>
      <c r="D188" s="5"/>
      <c r="E188" s="6">
        <v>12192</v>
      </c>
      <c r="F188" s="5">
        <v>11.307944870058803</v>
      </c>
      <c r="G188" s="5"/>
      <c r="H188" s="6">
        <v>81</v>
      </c>
      <c r="I188" s="5">
        <v>6.0223048327137549</v>
      </c>
      <c r="J188" s="5"/>
      <c r="K188" s="6">
        <v>13</v>
      </c>
      <c r="L188" s="5">
        <v>6.666666666666667</v>
      </c>
      <c r="M188" s="5"/>
      <c r="N188" s="98"/>
      <c r="O188" s="98"/>
      <c r="P188" s="120"/>
      <c r="Q188" s="133"/>
      <c r="R188" s="133"/>
      <c r="S188" s="133"/>
      <c r="T188" s="133"/>
      <c r="U188" s="133"/>
      <c r="V188" s="133"/>
      <c r="W188" s="120"/>
      <c r="X188" s="120"/>
      <c r="Y188" s="117"/>
      <c r="Z188" s="117"/>
      <c r="AA188" s="117"/>
      <c r="AB188" s="117"/>
      <c r="AC188" s="142"/>
      <c r="AD188" s="39"/>
      <c r="AE188" s="39"/>
      <c r="AF188" s="39"/>
      <c r="AG188" s="39"/>
      <c r="AH188" s="39"/>
      <c r="AI188" s="39"/>
      <c r="AJ188" s="39"/>
      <c r="AK188" s="39"/>
      <c r="AL188" s="39"/>
    </row>
    <row r="189" spans="1:38" ht="14.1" customHeight="1" x14ac:dyDescent="0.25">
      <c r="A189" s="61"/>
      <c r="B189" s="6"/>
      <c r="C189" s="98"/>
      <c r="D189" s="98"/>
      <c r="E189" s="97"/>
      <c r="F189" s="98"/>
      <c r="G189" s="98"/>
      <c r="H189" s="97"/>
      <c r="I189" s="98"/>
      <c r="J189" s="98"/>
      <c r="K189" s="97"/>
      <c r="L189" s="98"/>
      <c r="M189" s="5"/>
      <c r="N189" s="98"/>
      <c r="O189" s="98"/>
      <c r="P189" s="120"/>
      <c r="Q189" s="133"/>
      <c r="R189" s="133"/>
      <c r="S189" s="133"/>
      <c r="T189" s="133"/>
      <c r="U189" s="133"/>
      <c r="V189" s="133"/>
      <c r="W189" s="120"/>
      <c r="X189" s="120"/>
      <c r="Y189" s="118"/>
      <c r="Z189" s="118"/>
      <c r="AA189" s="118"/>
      <c r="AB189" s="118"/>
      <c r="AC189" s="142"/>
      <c r="AD189" s="39"/>
      <c r="AE189" s="39"/>
      <c r="AF189" s="39"/>
      <c r="AG189" s="39"/>
      <c r="AH189" s="39"/>
      <c r="AI189" s="39"/>
      <c r="AJ189" s="39"/>
      <c r="AK189" s="39"/>
      <c r="AL189" s="39"/>
    </row>
    <row r="190" spans="1:38" s="35" customFormat="1" ht="14.1" customHeight="1" x14ac:dyDescent="0.25">
      <c r="A190" s="62" t="s">
        <v>12</v>
      </c>
      <c r="B190" s="9">
        <v>160655</v>
      </c>
      <c r="C190" s="96">
        <v>100</v>
      </c>
      <c r="D190" s="96"/>
      <c r="E190" s="95">
        <v>156871</v>
      </c>
      <c r="F190" s="96">
        <v>100</v>
      </c>
      <c r="G190" s="96"/>
      <c r="H190" s="95">
        <v>3311</v>
      </c>
      <c r="I190" s="96">
        <v>100</v>
      </c>
      <c r="J190" s="96"/>
      <c r="K190" s="95">
        <v>473</v>
      </c>
      <c r="L190" s="96">
        <v>100</v>
      </c>
      <c r="M190" s="15"/>
      <c r="N190" s="96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117"/>
      <c r="Z190" s="118"/>
      <c r="AA190" s="118"/>
      <c r="AB190" s="118"/>
      <c r="AC190" s="142"/>
      <c r="AD190" s="39"/>
      <c r="AE190" s="39"/>
      <c r="AF190" s="39"/>
      <c r="AG190" s="39"/>
      <c r="AH190" s="39"/>
      <c r="AI190" s="39"/>
      <c r="AJ190" s="39"/>
      <c r="AK190" s="39"/>
      <c r="AL190" s="39"/>
    </row>
    <row r="191" spans="1:38" ht="14.1" customHeight="1" x14ac:dyDescent="0.25">
      <c r="A191" s="61" t="s">
        <v>57</v>
      </c>
      <c r="B191" s="6">
        <v>2361</v>
      </c>
      <c r="C191" s="5">
        <v>1.4696087890199496</v>
      </c>
      <c r="D191" s="5"/>
      <c r="E191" s="6">
        <v>2181</v>
      </c>
      <c r="F191" s="5">
        <v>1.3903143347081359</v>
      </c>
      <c r="G191" s="5"/>
      <c r="H191" s="6">
        <v>130</v>
      </c>
      <c r="I191" s="5">
        <v>3.926306251887647</v>
      </c>
      <c r="J191" s="5"/>
      <c r="K191" s="6">
        <v>50</v>
      </c>
      <c r="L191" s="5">
        <v>10.570824524312897</v>
      </c>
      <c r="M191" s="5"/>
      <c r="N191" s="98"/>
      <c r="O191" s="98"/>
      <c r="P191" s="120"/>
      <c r="Q191" s="133"/>
      <c r="R191" s="133"/>
      <c r="S191" s="133"/>
      <c r="T191" s="133"/>
      <c r="U191" s="133"/>
      <c r="V191" s="133"/>
      <c r="W191" s="120"/>
      <c r="X191" s="120"/>
      <c r="Y191" s="117"/>
      <c r="Z191" s="118"/>
      <c r="AA191" s="118"/>
      <c r="AB191" s="118"/>
      <c r="AC191" s="142"/>
      <c r="AD191" s="39"/>
      <c r="AE191" s="39"/>
      <c r="AF191" s="39"/>
      <c r="AG191" s="39"/>
      <c r="AH191" s="39"/>
      <c r="AI191" s="39"/>
      <c r="AJ191" s="39"/>
      <c r="AK191" s="39"/>
      <c r="AL191" s="39"/>
    </row>
    <row r="192" spans="1:38" ht="14.1" customHeight="1" x14ac:dyDescent="0.25">
      <c r="A192" s="61" t="s">
        <v>29</v>
      </c>
      <c r="B192" s="6">
        <v>2888</v>
      </c>
      <c r="C192" s="5">
        <v>1.7976409075347797</v>
      </c>
      <c r="D192" s="5"/>
      <c r="E192" s="6">
        <v>2664</v>
      </c>
      <c r="F192" s="5">
        <v>1.6982106316655083</v>
      </c>
      <c r="G192" s="5"/>
      <c r="H192" s="6">
        <v>203</v>
      </c>
      <c r="I192" s="5">
        <v>6.1310782241014801</v>
      </c>
      <c r="J192" s="5"/>
      <c r="K192" s="6">
        <v>21</v>
      </c>
      <c r="L192" s="5">
        <v>4.439746300211417</v>
      </c>
      <c r="M192" s="5"/>
      <c r="N192" s="98"/>
      <c r="O192" s="98"/>
      <c r="P192" s="120"/>
      <c r="Q192" s="133"/>
      <c r="R192" s="133"/>
      <c r="S192" s="133"/>
      <c r="T192" s="133"/>
      <c r="U192" s="133"/>
      <c r="V192" s="133"/>
      <c r="W192" s="120"/>
      <c r="X192" s="120"/>
      <c r="Y192" s="117"/>
      <c r="Z192" s="118"/>
      <c r="AA192" s="118"/>
      <c r="AB192" s="118"/>
      <c r="AC192" s="142"/>
      <c r="AD192" s="39"/>
      <c r="AE192" s="39"/>
      <c r="AF192" s="39"/>
      <c r="AG192" s="39"/>
      <c r="AH192" s="39"/>
      <c r="AI192" s="39"/>
      <c r="AJ192" s="39"/>
      <c r="AK192" s="39"/>
      <c r="AL192" s="39"/>
    </row>
    <row r="193" spans="1:38" ht="14.1" customHeight="1" x14ac:dyDescent="0.25">
      <c r="A193" s="61" t="s">
        <v>30</v>
      </c>
      <c r="B193" s="6">
        <v>11744</v>
      </c>
      <c r="C193" s="5">
        <v>7.3100743829946166</v>
      </c>
      <c r="D193" s="5"/>
      <c r="E193" s="6">
        <v>11479</v>
      </c>
      <c r="F193" s="5">
        <v>7.317477417750891</v>
      </c>
      <c r="G193" s="5"/>
      <c r="H193" s="6">
        <v>224</v>
      </c>
      <c r="I193" s="5">
        <v>6.7653276955602539</v>
      </c>
      <c r="J193" s="5"/>
      <c r="K193" s="6">
        <v>41</v>
      </c>
      <c r="L193" s="5">
        <v>8.6680761099365746</v>
      </c>
      <c r="M193" s="5"/>
      <c r="N193" s="98"/>
      <c r="O193" s="98"/>
      <c r="P193" s="120"/>
      <c r="Q193" s="133"/>
      <c r="R193" s="133"/>
      <c r="S193" s="133"/>
      <c r="T193" s="133"/>
      <c r="U193" s="133"/>
      <c r="V193" s="133"/>
      <c r="W193" s="120"/>
      <c r="X193" s="120"/>
      <c r="Y193" s="117"/>
      <c r="Z193" s="118"/>
      <c r="AA193" s="118"/>
      <c r="AB193" s="118"/>
      <c r="AC193" s="142"/>
      <c r="AD193" s="39"/>
      <c r="AE193" s="39"/>
      <c r="AF193" s="39"/>
      <c r="AG193" s="39"/>
      <c r="AH193" s="39"/>
      <c r="AI193" s="39"/>
      <c r="AJ193" s="39"/>
      <c r="AK193" s="39"/>
      <c r="AL193" s="39"/>
    </row>
    <row r="194" spans="1:38" ht="14.1" customHeight="1" x14ac:dyDescent="0.25">
      <c r="A194" s="61" t="s">
        <v>31</v>
      </c>
      <c r="B194" s="6">
        <v>217</v>
      </c>
      <c r="C194" s="5">
        <v>0.13507204880022408</v>
      </c>
      <c r="D194" s="5"/>
      <c r="E194" s="6">
        <v>205</v>
      </c>
      <c r="F194" s="5">
        <v>0.13068062293221819</v>
      </c>
      <c r="G194" s="5"/>
      <c r="H194" s="6">
        <v>10</v>
      </c>
      <c r="I194" s="5">
        <v>0.30202355783751134</v>
      </c>
      <c r="J194" s="5"/>
      <c r="K194" s="6">
        <v>2</v>
      </c>
      <c r="L194" s="5">
        <v>0.42283298097251587</v>
      </c>
      <c r="M194" s="5"/>
      <c r="N194" s="98"/>
      <c r="O194" s="98"/>
      <c r="P194" s="120"/>
      <c r="Q194" s="133"/>
      <c r="R194" s="133"/>
      <c r="S194" s="133"/>
      <c r="T194" s="133"/>
      <c r="U194" s="133"/>
      <c r="V194" s="133"/>
      <c r="W194" s="120"/>
      <c r="X194" s="120"/>
      <c r="Y194" s="117"/>
      <c r="Z194" s="118"/>
      <c r="AA194" s="118"/>
      <c r="AB194" s="118"/>
      <c r="AC194" s="142"/>
      <c r="AD194" s="39"/>
      <c r="AE194" s="39"/>
      <c r="AF194" s="39"/>
      <c r="AG194" s="39"/>
      <c r="AH194" s="39"/>
      <c r="AI194" s="39"/>
      <c r="AJ194" s="39"/>
      <c r="AK194" s="39"/>
      <c r="AL194" s="39"/>
    </row>
    <row r="195" spans="1:38" ht="14.1" customHeight="1" x14ac:dyDescent="0.25">
      <c r="A195" s="61" t="s">
        <v>32</v>
      </c>
      <c r="B195" s="6">
        <v>7388</v>
      </c>
      <c r="C195" s="5">
        <v>4.5986741775855089</v>
      </c>
      <c r="D195" s="5"/>
      <c r="E195" s="6">
        <v>6943</v>
      </c>
      <c r="F195" s="5">
        <v>4.4259295854555649</v>
      </c>
      <c r="G195" s="5"/>
      <c r="H195" s="6">
        <v>404</v>
      </c>
      <c r="I195" s="5">
        <v>12.201751736635458</v>
      </c>
      <c r="J195" s="5"/>
      <c r="K195" s="6">
        <v>41</v>
      </c>
      <c r="L195" s="5">
        <v>8.6680761099365746</v>
      </c>
      <c r="M195" s="5"/>
      <c r="N195" s="98"/>
      <c r="O195" s="98"/>
      <c r="P195" s="120"/>
      <c r="Q195" s="133"/>
      <c r="R195" s="133"/>
      <c r="S195" s="133"/>
      <c r="T195" s="133"/>
      <c r="U195" s="133"/>
      <c r="V195" s="133"/>
      <c r="W195" s="120"/>
      <c r="X195" s="120"/>
      <c r="Y195" s="117"/>
      <c r="Z195" s="118"/>
      <c r="AA195" s="118"/>
      <c r="AB195" s="118"/>
      <c r="AC195" s="142"/>
      <c r="AD195" s="39"/>
      <c r="AE195" s="39"/>
      <c r="AF195" s="39"/>
      <c r="AG195" s="39"/>
      <c r="AH195" s="39"/>
      <c r="AI195" s="39"/>
      <c r="AJ195" s="39"/>
      <c r="AK195" s="39"/>
      <c r="AL195" s="39"/>
    </row>
    <row r="196" spans="1:38" ht="14.1" customHeight="1" x14ac:dyDescent="0.25">
      <c r="A196" s="61" t="s">
        <v>33</v>
      </c>
      <c r="B196" s="6">
        <v>75046</v>
      </c>
      <c r="C196" s="5">
        <v>46.81252061871713</v>
      </c>
      <c r="D196" s="5"/>
      <c r="E196" s="6">
        <v>73551</v>
      </c>
      <c r="F196" s="5">
        <v>46.986295108719908</v>
      </c>
      <c r="G196" s="5"/>
      <c r="H196" s="6">
        <v>1288</v>
      </c>
      <c r="I196" s="5">
        <v>38.800634249471457</v>
      </c>
      <c r="J196" s="5"/>
      <c r="K196" s="6">
        <v>207</v>
      </c>
      <c r="L196" s="5">
        <v>43.663213530655391</v>
      </c>
      <c r="M196" s="5"/>
      <c r="N196" s="98"/>
      <c r="O196" s="98"/>
      <c r="P196" s="120"/>
      <c r="Q196" s="133"/>
      <c r="R196" s="133"/>
      <c r="S196" s="133"/>
      <c r="T196" s="133"/>
      <c r="U196" s="133"/>
      <c r="V196" s="133"/>
      <c r="W196" s="120"/>
      <c r="X196" s="120"/>
      <c r="Y196" s="117"/>
      <c r="Z196" s="118"/>
      <c r="AA196" s="118"/>
      <c r="AB196" s="118"/>
      <c r="AC196" s="142"/>
      <c r="AD196" s="39"/>
      <c r="AE196" s="39"/>
      <c r="AF196" s="39"/>
      <c r="AG196" s="39"/>
      <c r="AH196" s="39"/>
      <c r="AI196" s="39"/>
      <c r="AJ196" s="39"/>
      <c r="AK196" s="39"/>
      <c r="AL196" s="39"/>
    </row>
    <row r="197" spans="1:38" ht="14.1" customHeight="1" x14ac:dyDescent="0.25">
      <c r="A197" s="61" t="s">
        <v>34</v>
      </c>
      <c r="B197" s="6">
        <v>10980</v>
      </c>
      <c r="C197" s="5">
        <v>6.8345211789237803</v>
      </c>
      <c r="D197" s="5"/>
      <c r="E197" s="6">
        <v>10369</v>
      </c>
      <c r="F197" s="5">
        <v>6.6098896545569286</v>
      </c>
      <c r="G197" s="5"/>
      <c r="H197" s="6">
        <v>548</v>
      </c>
      <c r="I197" s="5">
        <v>16.550890969495622</v>
      </c>
      <c r="J197" s="5"/>
      <c r="K197" s="6">
        <v>63</v>
      </c>
      <c r="L197" s="5">
        <v>13.31923890063425</v>
      </c>
      <c r="M197" s="5"/>
      <c r="N197" s="98"/>
      <c r="O197" s="98"/>
      <c r="P197" s="120"/>
      <c r="Q197" s="133"/>
      <c r="R197" s="133"/>
      <c r="S197" s="133"/>
      <c r="T197" s="133"/>
      <c r="U197" s="133"/>
      <c r="V197" s="133"/>
      <c r="W197" s="120"/>
      <c r="X197" s="120"/>
      <c r="Y197" s="117"/>
      <c r="Z197" s="118"/>
      <c r="AA197" s="118"/>
      <c r="AB197" s="118"/>
      <c r="AC197" s="142"/>
      <c r="AD197" s="39"/>
      <c r="AE197" s="39"/>
      <c r="AF197" s="39"/>
      <c r="AG197" s="39"/>
      <c r="AH197" s="39"/>
      <c r="AI197" s="39"/>
      <c r="AJ197" s="39"/>
      <c r="AK197" s="39"/>
      <c r="AL197" s="39"/>
    </row>
    <row r="198" spans="1:38" ht="14.1" customHeight="1" x14ac:dyDescent="0.25">
      <c r="A198" s="61" t="s">
        <v>68</v>
      </c>
      <c r="B198" s="6">
        <v>1446</v>
      </c>
      <c r="C198" s="5">
        <v>0.90006535744296778</v>
      </c>
      <c r="D198" s="5"/>
      <c r="E198" s="6">
        <v>1435</v>
      </c>
      <c r="F198" s="5">
        <v>0.91476436052552734</v>
      </c>
      <c r="G198" s="5"/>
      <c r="H198" s="6">
        <v>11</v>
      </c>
      <c r="I198" s="5">
        <v>0.33222591362126247</v>
      </c>
      <c r="J198" s="5"/>
      <c r="K198" s="3" t="s">
        <v>96</v>
      </c>
      <c r="L198" s="3" t="s">
        <v>96</v>
      </c>
      <c r="M198" s="5"/>
      <c r="N198" s="98"/>
      <c r="O198" s="98"/>
      <c r="P198" s="120"/>
      <c r="Q198" s="133"/>
      <c r="R198" s="133"/>
      <c r="S198" s="133"/>
      <c r="T198" s="133"/>
      <c r="U198" s="133"/>
      <c r="V198" s="133"/>
      <c r="W198" s="120"/>
      <c r="X198" s="120"/>
      <c r="Y198" s="117"/>
      <c r="Z198" s="118"/>
      <c r="AA198" s="118"/>
      <c r="AB198" s="118"/>
      <c r="AC198" s="142"/>
      <c r="AD198" s="39"/>
      <c r="AE198" s="39"/>
      <c r="AF198" s="39"/>
      <c r="AG198" s="39"/>
      <c r="AH198" s="39"/>
      <c r="AI198" s="39"/>
      <c r="AJ198" s="39"/>
      <c r="AK198" s="39"/>
      <c r="AL198" s="39"/>
    </row>
    <row r="199" spans="1:38" ht="14.1" customHeight="1" x14ac:dyDescent="0.25">
      <c r="A199" s="61" t="s">
        <v>69</v>
      </c>
      <c r="B199" s="6">
        <v>15499</v>
      </c>
      <c r="C199" s="5">
        <v>9.6473810338925023</v>
      </c>
      <c r="D199" s="5"/>
      <c r="E199" s="6">
        <v>15435</v>
      </c>
      <c r="F199" s="5">
        <v>9.8392947071160375</v>
      </c>
      <c r="G199" s="5"/>
      <c r="H199" s="6">
        <v>63</v>
      </c>
      <c r="I199" s="5">
        <v>1.9027484143763214</v>
      </c>
      <c r="J199" s="5"/>
      <c r="K199" s="6">
        <v>1</v>
      </c>
      <c r="L199" s="5">
        <v>0.21141649048625794</v>
      </c>
      <c r="M199" s="5"/>
      <c r="N199" s="98"/>
      <c r="O199" s="98"/>
      <c r="P199" s="120"/>
      <c r="Q199" s="133"/>
      <c r="R199" s="133"/>
      <c r="S199" s="133"/>
      <c r="T199" s="133"/>
      <c r="U199" s="133"/>
      <c r="V199" s="133"/>
      <c r="W199" s="120"/>
      <c r="X199" s="120"/>
      <c r="Y199" s="117"/>
      <c r="Z199" s="118"/>
      <c r="AA199" s="118"/>
      <c r="AB199" s="118"/>
      <c r="AC199" s="142"/>
      <c r="AD199" s="39"/>
      <c r="AE199" s="39"/>
      <c r="AF199" s="39"/>
      <c r="AG199" s="39"/>
      <c r="AH199" s="39"/>
      <c r="AI199" s="39"/>
      <c r="AJ199" s="39"/>
      <c r="AK199" s="39"/>
      <c r="AL199" s="39"/>
    </row>
    <row r="200" spans="1:38" ht="14.1" customHeight="1" x14ac:dyDescent="0.25">
      <c r="A200" s="61" t="s">
        <v>35</v>
      </c>
      <c r="B200" s="6">
        <v>2172</v>
      </c>
      <c r="C200" s="5">
        <v>1.3519653916778189</v>
      </c>
      <c r="D200" s="5"/>
      <c r="E200" s="6">
        <v>2129</v>
      </c>
      <c r="F200" s="5">
        <v>1.3571660791350855</v>
      </c>
      <c r="G200" s="5"/>
      <c r="H200" s="6">
        <v>42</v>
      </c>
      <c r="I200" s="5">
        <v>1.2684989429175475</v>
      </c>
      <c r="J200" s="5"/>
      <c r="K200" s="6">
        <v>1</v>
      </c>
      <c r="L200" s="5">
        <v>0.21141649048625794</v>
      </c>
      <c r="M200" s="5"/>
      <c r="N200" s="98"/>
      <c r="O200" s="98"/>
      <c r="P200" s="120"/>
      <c r="Q200" s="133"/>
      <c r="R200" s="133"/>
      <c r="S200" s="133"/>
      <c r="T200" s="133"/>
      <c r="U200" s="133"/>
      <c r="V200" s="133"/>
      <c r="W200" s="120"/>
      <c r="X200" s="120"/>
      <c r="Y200" s="117"/>
      <c r="Z200" s="118"/>
      <c r="AA200" s="118"/>
      <c r="AB200" s="118"/>
      <c r="AC200" s="142"/>
      <c r="AD200" s="39"/>
      <c r="AE200" s="39"/>
      <c r="AF200" s="39"/>
      <c r="AG200" s="39"/>
      <c r="AH200" s="39"/>
      <c r="AI200" s="39"/>
      <c r="AJ200" s="39"/>
      <c r="AK200" s="39"/>
      <c r="AL200" s="39"/>
    </row>
    <row r="201" spans="1:38" ht="14.1" customHeight="1" x14ac:dyDescent="0.25">
      <c r="A201" s="61" t="s">
        <v>36</v>
      </c>
      <c r="B201" s="6">
        <v>8727</v>
      </c>
      <c r="C201" s="5">
        <v>5.4321371883850489</v>
      </c>
      <c r="D201" s="5"/>
      <c r="E201" s="6">
        <v>8489</v>
      </c>
      <c r="F201" s="5">
        <v>5.4114527223004885</v>
      </c>
      <c r="G201" s="5"/>
      <c r="H201" s="6">
        <v>224</v>
      </c>
      <c r="I201" s="5">
        <v>6.7653276955602539</v>
      </c>
      <c r="J201" s="5"/>
      <c r="K201" s="6">
        <v>14</v>
      </c>
      <c r="L201" s="5">
        <v>2.9598308668076108</v>
      </c>
      <c r="M201" s="5"/>
      <c r="N201" s="98"/>
      <c r="O201" s="98"/>
      <c r="P201" s="120"/>
      <c r="Q201" s="133"/>
      <c r="R201" s="133"/>
      <c r="S201" s="133"/>
      <c r="T201" s="133"/>
      <c r="U201" s="133"/>
      <c r="V201" s="133"/>
      <c r="W201" s="120"/>
      <c r="X201" s="120"/>
      <c r="Y201" s="117"/>
      <c r="Z201" s="118"/>
      <c r="AA201" s="118"/>
      <c r="AB201" s="118"/>
      <c r="AC201" s="142"/>
      <c r="AD201" s="39"/>
      <c r="AE201" s="39"/>
      <c r="AF201" s="39"/>
      <c r="AG201" s="39"/>
      <c r="AH201" s="39"/>
      <c r="AI201" s="39"/>
      <c r="AJ201" s="39"/>
      <c r="AK201" s="39"/>
      <c r="AL201" s="39"/>
    </row>
    <row r="202" spans="1:38" ht="14.1" customHeight="1" x14ac:dyDescent="0.25">
      <c r="A202" s="61" t="s">
        <v>37</v>
      </c>
      <c r="B202" s="6">
        <v>22187</v>
      </c>
      <c r="C202" s="5">
        <v>13.810338925025675</v>
      </c>
      <c r="D202" s="5"/>
      <c r="E202" s="6">
        <v>21991</v>
      </c>
      <c r="F202" s="5">
        <v>14.018524775133709</v>
      </c>
      <c r="G202" s="5"/>
      <c r="H202" s="6">
        <v>164</v>
      </c>
      <c r="I202" s="5">
        <v>4.9531863485351861</v>
      </c>
      <c r="J202" s="5"/>
      <c r="K202" s="6">
        <v>32</v>
      </c>
      <c r="L202" s="5">
        <v>6.7653276955602539</v>
      </c>
      <c r="M202" s="5"/>
      <c r="N202" s="98"/>
      <c r="O202" s="98"/>
      <c r="P202" s="120"/>
      <c r="Q202" s="133"/>
      <c r="R202" s="133"/>
      <c r="S202" s="133"/>
      <c r="T202" s="133"/>
      <c r="U202" s="133"/>
      <c r="V202" s="133"/>
      <c r="W202" s="120"/>
      <c r="X202" s="120"/>
      <c r="Y202" s="118"/>
      <c r="Z202" s="118"/>
      <c r="AA202" s="118"/>
      <c r="AB202" s="118"/>
      <c r="AC202" s="142"/>
      <c r="AD202" s="39"/>
      <c r="AE202" s="39"/>
      <c r="AF202" s="39"/>
      <c r="AG202" s="39"/>
      <c r="AH202" s="39"/>
      <c r="AI202" s="39"/>
      <c r="AJ202" s="39"/>
      <c r="AK202" s="39"/>
      <c r="AL202" s="39"/>
    </row>
    <row r="203" spans="1:38" ht="14.1" customHeight="1" x14ac:dyDescent="0.25">
      <c r="A203" s="61"/>
      <c r="B203" s="6"/>
      <c r="C203" s="5"/>
      <c r="D203" s="5"/>
      <c r="E203" s="6"/>
      <c r="F203" s="98"/>
      <c r="G203" s="98"/>
      <c r="H203" s="97"/>
      <c r="I203" s="98"/>
      <c r="J203" s="98"/>
      <c r="K203" s="97"/>
      <c r="L203" s="98"/>
      <c r="M203" s="5"/>
      <c r="N203" s="98"/>
      <c r="O203" s="98"/>
      <c r="P203" s="120"/>
      <c r="Q203" s="133"/>
      <c r="R203" s="133"/>
      <c r="S203" s="133"/>
      <c r="T203" s="133"/>
      <c r="U203" s="133"/>
      <c r="V203" s="133"/>
      <c r="W203" s="120"/>
      <c r="X203" s="120"/>
      <c r="Y203" s="118"/>
      <c r="Z203" s="118"/>
      <c r="AA203" s="118"/>
      <c r="AB203" s="118"/>
      <c r="AC203" s="142"/>
      <c r="AD203" s="39"/>
      <c r="AE203" s="39"/>
      <c r="AF203" s="39"/>
      <c r="AG203" s="39"/>
      <c r="AH203" s="39"/>
      <c r="AI203" s="39"/>
      <c r="AJ203" s="39"/>
      <c r="AK203" s="39"/>
      <c r="AL203" s="39"/>
    </row>
    <row r="204" spans="1:38" s="35" customFormat="1" ht="14.1" customHeight="1" x14ac:dyDescent="0.25">
      <c r="A204" s="62" t="s">
        <v>11</v>
      </c>
      <c r="B204" s="9">
        <v>104541</v>
      </c>
      <c r="C204" s="15">
        <v>100</v>
      </c>
      <c r="D204" s="15"/>
      <c r="E204" s="9">
        <v>102725</v>
      </c>
      <c r="F204" s="96">
        <v>100</v>
      </c>
      <c r="G204" s="96"/>
      <c r="H204" s="95">
        <v>1572</v>
      </c>
      <c r="I204" s="96">
        <v>100</v>
      </c>
      <c r="J204" s="96"/>
      <c r="K204" s="95">
        <v>244</v>
      </c>
      <c r="L204" s="96">
        <v>100</v>
      </c>
      <c r="M204" s="15"/>
      <c r="N204" s="96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117"/>
      <c r="Z204" s="117"/>
      <c r="AA204" s="117"/>
      <c r="AB204" s="117"/>
      <c r="AC204" s="142"/>
      <c r="AD204" s="39"/>
      <c r="AE204" s="39"/>
      <c r="AF204" s="39"/>
      <c r="AG204" s="39"/>
      <c r="AH204" s="39"/>
      <c r="AI204" s="39"/>
      <c r="AJ204" s="39"/>
      <c r="AK204" s="39"/>
      <c r="AL204" s="39"/>
    </row>
    <row r="205" spans="1:38" ht="14.1" customHeight="1" x14ac:dyDescent="0.25">
      <c r="A205" s="61" t="s">
        <v>57</v>
      </c>
      <c r="B205" s="6">
        <v>1492</v>
      </c>
      <c r="C205" s="5">
        <v>1.4271912455400275</v>
      </c>
      <c r="D205" s="5"/>
      <c r="E205" s="6">
        <v>1386</v>
      </c>
      <c r="F205" s="5">
        <v>1.3492333901192506</v>
      </c>
      <c r="G205" s="5"/>
      <c r="H205" s="6">
        <v>93</v>
      </c>
      <c r="I205" s="5">
        <v>5.9160305343511448</v>
      </c>
      <c r="J205" s="5"/>
      <c r="K205" s="6">
        <v>13</v>
      </c>
      <c r="L205" s="5">
        <v>5.3278688524590159</v>
      </c>
      <c r="M205" s="5"/>
      <c r="N205" s="98"/>
      <c r="O205" s="98"/>
      <c r="P205" s="120"/>
      <c r="Q205" s="133"/>
      <c r="R205" s="133"/>
      <c r="S205" s="133"/>
      <c r="T205" s="133"/>
      <c r="U205" s="133"/>
      <c r="V205" s="133"/>
      <c r="W205" s="120"/>
      <c r="X205" s="120"/>
      <c r="Y205" s="117"/>
      <c r="Z205" s="118"/>
      <c r="AA205" s="118"/>
      <c r="AB205" s="118"/>
      <c r="AC205" s="142"/>
      <c r="AD205" s="39"/>
      <c r="AE205" s="39"/>
      <c r="AF205" s="39"/>
      <c r="AG205" s="39"/>
      <c r="AH205" s="39"/>
      <c r="AI205" s="39"/>
      <c r="AJ205" s="39"/>
      <c r="AK205" s="39"/>
      <c r="AL205" s="39"/>
    </row>
    <row r="206" spans="1:38" ht="14.1" customHeight="1" x14ac:dyDescent="0.25">
      <c r="A206" s="61" t="s">
        <v>29</v>
      </c>
      <c r="B206" s="6">
        <v>210</v>
      </c>
      <c r="C206" s="5">
        <v>0.20087812437225586</v>
      </c>
      <c r="D206" s="5"/>
      <c r="E206" s="6">
        <v>204</v>
      </c>
      <c r="F206" s="5">
        <v>0.19858846434655633</v>
      </c>
      <c r="G206" s="5"/>
      <c r="H206" s="6">
        <v>5</v>
      </c>
      <c r="I206" s="5">
        <v>0.31806615776081421</v>
      </c>
      <c r="J206" s="5"/>
      <c r="K206" s="3">
        <v>1</v>
      </c>
      <c r="L206" s="16">
        <v>0.4098360655737705</v>
      </c>
      <c r="M206" s="5"/>
      <c r="N206" s="98"/>
      <c r="O206" s="98"/>
      <c r="P206" s="120"/>
      <c r="Q206" s="133"/>
      <c r="R206" s="133"/>
      <c r="S206" s="133"/>
      <c r="T206" s="133"/>
      <c r="U206" s="133"/>
      <c r="V206" s="133"/>
      <c r="W206" s="120"/>
      <c r="X206" s="120"/>
      <c r="Y206" s="117"/>
      <c r="Z206" s="118"/>
      <c r="AA206" s="118"/>
      <c r="AB206" s="118"/>
      <c r="AC206" s="142"/>
      <c r="AD206" s="39"/>
      <c r="AE206" s="39"/>
      <c r="AF206" s="39"/>
      <c r="AG206" s="39"/>
      <c r="AH206" s="39"/>
      <c r="AI206" s="39"/>
      <c r="AJ206" s="39"/>
      <c r="AK206" s="39"/>
      <c r="AL206" s="39"/>
    </row>
    <row r="207" spans="1:38" ht="14.1" customHeight="1" x14ac:dyDescent="0.25">
      <c r="A207" s="61" t="s">
        <v>30</v>
      </c>
      <c r="B207" s="6">
        <v>6495</v>
      </c>
      <c r="C207" s="5">
        <v>6.2128734180847704</v>
      </c>
      <c r="D207" s="5"/>
      <c r="E207" s="6">
        <v>6342</v>
      </c>
      <c r="F207" s="5">
        <v>6.1737649063032372</v>
      </c>
      <c r="G207" s="5"/>
      <c r="H207" s="6">
        <v>111</v>
      </c>
      <c r="I207" s="5">
        <v>7.0610687022900773</v>
      </c>
      <c r="J207" s="5"/>
      <c r="K207" s="3">
        <v>42</v>
      </c>
      <c r="L207" s="16">
        <v>17.21311475409836</v>
      </c>
      <c r="M207" s="5"/>
      <c r="N207" s="98"/>
      <c r="O207" s="98"/>
      <c r="P207" s="120"/>
      <c r="Q207" s="133"/>
      <c r="R207" s="133"/>
      <c r="S207" s="133"/>
      <c r="T207" s="133"/>
      <c r="U207" s="133"/>
      <c r="V207" s="133"/>
      <c r="W207" s="120"/>
      <c r="X207" s="120"/>
      <c r="Y207" s="117"/>
      <c r="Z207" s="118"/>
      <c r="AA207" s="118"/>
      <c r="AB207" s="118"/>
      <c r="AC207" s="142"/>
      <c r="AD207" s="39"/>
      <c r="AE207" s="39"/>
      <c r="AF207" s="39"/>
      <c r="AG207" s="39"/>
      <c r="AH207" s="39"/>
      <c r="AI207" s="39"/>
      <c r="AJ207" s="39"/>
      <c r="AK207" s="39"/>
      <c r="AL207" s="39"/>
    </row>
    <row r="208" spans="1:38" ht="14.1" customHeight="1" x14ac:dyDescent="0.25">
      <c r="A208" s="61" t="s">
        <v>31</v>
      </c>
      <c r="B208" s="6">
        <v>195</v>
      </c>
      <c r="C208" s="5">
        <v>0.18652968691709473</v>
      </c>
      <c r="D208" s="5"/>
      <c r="E208" s="6">
        <v>185</v>
      </c>
      <c r="F208" s="5">
        <v>0.18009247992212218</v>
      </c>
      <c r="G208" s="5"/>
      <c r="H208" s="6">
        <v>8</v>
      </c>
      <c r="I208" s="5">
        <v>0.5089058524173028</v>
      </c>
      <c r="J208" s="5"/>
      <c r="K208" s="3">
        <v>2</v>
      </c>
      <c r="L208" s="16">
        <v>0.81967213114754101</v>
      </c>
      <c r="M208" s="5"/>
      <c r="N208" s="98"/>
      <c r="O208" s="98"/>
      <c r="P208" s="120"/>
      <c r="Q208" s="133"/>
      <c r="R208" s="133"/>
      <c r="S208" s="133"/>
      <c r="T208" s="133"/>
      <c r="U208" s="133"/>
      <c r="V208" s="133"/>
      <c r="W208" s="120"/>
      <c r="X208" s="120"/>
      <c r="Y208" s="117"/>
      <c r="Z208" s="118"/>
      <c r="AA208" s="118"/>
      <c r="AB208" s="118"/>
      <c r="AC208" s="142"/>
      <c r="AD208" s="39"/>
      <c r="AE208" s="39"/>
      <c r="AF208" s="39"/>
      <c r="AG208" s="39"/>
      <c r="AH208" s="39"/>
      <c r="AI208" s="39"/>
      <c r="AJ208" s="39"/>
      <c r="AK208" s="39"/>
      <c r="AL208" s="39"/>
    </row>
    <row r="209" spans="1:38" ht="14.1" customHeight="1" x14ac:dyDescent="0.25">
      <c r="A209" s="61" t="s">
        <v>32</v>
      </c>
      <c r="B209" s="6">
        <v>1757</v>
      </c>
      <c r="C209" s="5">
        <v>1.680680307247874</v>
      </c>
      <c r="D209" s="5"/>
      <c r="E209" s="6">
        <v>1651</v>
      </c>
      <c r="F209" s="5">
        <v>1.6072036991968848</v>
      </c>
      <c r="G209" s="5"/>
      <c r="H209" s="6">
        <v>101</v>
      </c>
      <c r="I209" s="5">
        <v>6.4249363867684481</v>
      </c>
      <c r="J209" s="5"/>
      <c r="K209" s="3">
        <v>5</v>
      </c>
      <c r="L209" s="16">
        <v>2.0491803278688523</v>
      </c>
      <c r="M209" s="5"/>
      <c r="N209" s="98"/>
      <c r="O209" s="98"/>
      <c r="P209" s="120"/>
      <c r="Q209" s="133"/>
      <c r="R209" s="133"/>
      <c r="S209" s="133"/>
      <c r="T209" s="133"/>
      <c r="U209" s="133"/>
      <c r="V209" s="133"/>
      <c r="W209" s="120"/>
      <c r="X209" s="120"/>
      <c r="Y209" s="117"/>
      <c r="Z209" s="118"/>
      <c r="AA209" s="118"/>
      <c r="AB209" s="118"/>
      <c r="AC209" s="142"/>
      <c r="AD209" s="39"/>
      <c r="AE209" s="39"/>
      <c r="AF209" s="39"/>
      <c r="AG209" s="39"/>
      <c r="AH209" s="39"/>
      <c r="AI209" s="39"/>
      <c r="AJ209" s="39"/>
      <c r="AK209" s="39"/>
      <c r="AL209" s="39"/>
    </row>
    <row r="210" spans="1:38" ht="14.1" customHeight="1" x14ac:dyDescent="0.25">
      <c r="A210" s="61" t="s">
        <v>33</v>
      </c>
      <c r="B210" s="6">
        <v>44374</v>
      </c>
      <c r="C210" s="5">
        <v>42.446504242354678</v>
      </c>
      <c r="D210" s="5"/>
      <c r="E210" s="6">
        <v>43453</v>
      </c>
      <c r="F210" s="5">
        <v>42.400316378680948</v>
      </c>
      <c r="G210" s="5"/>
      <c r="H210" s="6">
        <v>783</v>
      </c>
      <c r="I210" s="5">
        <v>49.909160305343512</v>
      </c>
      <c r="J210" s="5"/>
      <c r="K210" s="3">
        <v>138</v>
      </c>
      <c r="L210" s="16">
        <v>56.657377049180326</v>
      </c>
      <c r="M210" s="5"/>
      <c r="N210" s="98"/>
      <c r="O210" s="98"/>
      <c r="P210" s="120"/>
      <c r="Q210" s="133"/>
      <c r="R210" s="133"/>
      <c r="S210" s="133"/>
      <c r="T210" s="133"/>
      <c r="U210" s="133"/>
      <c r="V210" s="133"/>
      <c r="W210" s="120"/>
      <c r="X210" s="120"/>
      <c r="Y210" s="117"/>
      <c r="Z210" s="118"/>
      <c r="AA210" s="118"/>
      <c r="AB210" s="118"/>
      <c r="AC210" s="142"/>
      <c r="AD210" s="39"/>
      <c r="AE210" s="39"/>
      <c r="AF210" s="39"/>
      <c r="AG210" s="39"/>
      <c r="AH210" s="39"/>
      <c r="AI210" s="39"/>
      <c r="AJ210" s="39"/>
      <c r="AK210" s="39"/>
      <c r="AL210" s="39"/>
    </row>
    <row r="211" spans="1:38" ht="14.1" customHeight="1" x14ac:dyDescent="0.25">
      <c r="A211" s="61" t="s">
        <v>34</v>
      </c>
      <c r="B211" s="6">
        <v>5307</v>
      </c>
      <c r="C211" s="5">
        <v>5.0764771716360091</v>
      </c>
      <c r="D211" s="5"/>
      <c r="E211" s="6">
        <v>5127</v>
      </c>
      <c r="F211" s="5">
        <v>4.9909953760038945</v>
      </c>
      <c r="G211" s="5"/>
      <c r="H211" s="6">
        <v>160</v>
      </c>
      <c r="I211" s="5">
        <v>10.178117048346055</v>
      </c>
      <c r="J211" s="5"/>
      <c r="K211" s="3">
        <v>20</v>
      </c>
      <c r="L211" s="16">
        <v>8.1967213114754092</v>
      </c>
      <c r="M211" s="5"/>
      <c r="N211" s="98"/>
      <c r="O211" s="98"/>
      <c r="P211" s="120"/>
      <c r="Q211" s="133"/>
      <c r="R211" s="133"/>
      <c r="S211" s="133"/>
      <c r="T211" s="133"/>
      <c r="U211" s="133"/>
      <c r="V211" s="133"/>
      <c r="W211" s="120"/>
      <c r="X211" s="120"/>
      <c r="Y211" s="117"/>
      <c r="Z211" s="118"/>
      <c r="AA211" s="118"/>
      <c r="AB211" s="118"/>
      <c r="AC211" s="142"/>
      <c r="AD211" s="39"/>
      <c r="AE211" s="39"/>
      <c r="AF211" s="39"/>
      <c r="AG211" s="39"/>
      <c r="AH211" s="39"/>
      <c r="AI211" s="39"/>
      <c r="AJ211" s="39"/>
      <c r="AK211" s="39"/>
      <c r="AL211" s="39"/>
    </row>
    <row r="212" spans="1:38" ht="14.1" customHeight="1" x14ac:dyDescent="0.25">
      <c r="A212" s="61" t="s">
        <v>68</v>
      </c>
      <c r="B212" s="6">
        <v>728</v>
      </c>
      <c r="C212" s="5">
        <v>0.6963774978238203</v>
      </c>
      <c r="D212" s="5"/>
      <c r="E212" s="6">
        <v>725</v>
      </c>
      <c r="F212" s="5">
        <v>0.70576782672183014</v>
      </c>
      <c r="G212" s="5"/>
      <c r="H212" s="6">
        <v>3</v>
      </c>
      <c r="I212" s="5">
        <v>0.19083969465648853</v>
      </c>
      <c r="J212" s="5"/>
      <c r="K212" s="3" t="s">
        <v>96</v>
      </c>
      <c r="L212" s="3" t="s">
        <v>96</v>
      </c>
      <c r="M212" s="5"/>
      <c r="N212" s="98"/>
      <c r="O212" s="98"/>
      <c r="P212" s="120"/>
      <c r="Q212" s="133"/>
      <c r="R212" s="133"/>
      <c r="S212" s="133"/>
      <c r="T212" s="133"/>
      <c r="U212" s="133"/>
      <c r="V212" s="133"/>
      <c r="W212" s="120"/>
      <c r="X212" s="120"/>
      <c r="Y212" s="117"/>
      <c r="Z212" s="118"/>
      <c r="AA212" s="118"/>
      <c r="AB212" s="118"/>
      <c r="AC212" s="142"/>
      <c r="AD212" s="39"/>
      <c r="AE212" s="39"/>
      <c r="AF212" s="39"/>
      <c r="AG212" s="39"/>
      <c r="AH212" s="39"/>
      <c r="AI212" s="39"/>
      <c r="AJ212" s="39"/>
      <c r="AK212" s="39"/>
      <c r="AL212" s="39"/>
    </row>
    <row r="213" spans="1:38" ht="14.1" customHeight="1" x14ac:dyDescent="0.25">
      <c r="A213" s="61" t="s">
        <v>69</v>
      </c>
      <c r="B213" s="6">
        <v>7372</v>
      </c>
      <c r="C213" s="5">
        <v>7.0517787279631916</v>
      </c>
      <c r="D213" s="5"/>
      <c r="E213" s="6">
        <v>7342</v>
      </c>
      <c r="F213" s="5">
        <v>7.1472377707471404</v>
      </c>
      <c r="G213" s="5"/>
      <c r="H213" s="6">
        <v>29</v>
      </c>
      <c r="I213" s="5">
        <v>1.8447837150127224</v>
      </c>
      <c r="J213" s="5"/>
      <c r="K213" s="6">
        <v>1</v>
      </c>
      <c r="L213" s="5">
        <v>0.4098360655737705</v>
      </c>
      <c r="M213" s="5"/>
      <c r="N213" s="98"/>
      <c r="O213" s="98"/>
      <c r="P213" s="120"/>
      <c r="Q213" s="133"/>
      <c r="R213" s="133"/>
      <c r="S213" s="133"/>
      <c r="T213" s="133"/>
      <c r="U213" s="133"/>
      <c r="V213" s="133"/>
      <c r="W213" s="120"/>
      <c r="X213" s="120"/>
      <c r="Y213" s="117"/>
      <c r="Z213" s="118"/>
      <c r="AA213" s="118"/>
      <c r="AB213" s="118"/>
      <c r="AC213" s="142"/>
      <c r="AD213" s="39"/>
      <c r="AE213" s="39"/>
      <c r="AF213" s="39"/>
      <c r="AG213" s="39"/>
      <c r="AH213" s="39"/>
      <c r="AI213" s="39"/>
      <c r="AJ213" s="39"/>
      <c r="AK213" s="39"/>
      <c r="AL213" s="39"/>
    </row>
    <row r="214" spans="1:38" ht="14.1" customHeight="1" x14ac:dyDescent="0.25">
      <c r="A214" s="61" t="s">
        <v>35</v>
      </c>
      <c r="B214" s="6">
        <v>1610</v>
      </c>
      <c r="C214" s="5">
        <v>1.5400656201872949</v>
      </c>
      <c r="D214" s="5"/>
      <c r="E214" s="6">
        <v>1590</v>
      </c>
      <c r="F214" s="5">
        <v>1.5478218544658067</v>
      </c>
      <c r="G214" s="5"/>
      <c r="H214" s="6">
        <v>19</v>
      </c>
      <c r="I214" s="5">
        <v>1.2086513994910941</v>
      </c>
      <c r="J214" s="5"/>
      <c r="K214" s="6">
        <v>1</v>
      </c>
      <c r="L214" s="5">
        <v>0.4098360655737705</v>
      </c>
      <c r="M214" s="5"/>
      <c r="N214" s="98"/>
      <c r="O214" s="98"/>
      <c r="P214" s="120"/>
      <c r="Q214" s="133"/>
      <c r="R214" s="133"/>
      <c r="S214" s="133"/>
      <c r="T214" s="133"/>
      <c r="U214" s="133"/>
      <c r="V214" s="133"/>
      <c r="W214" s="120"/>
      <c r="X214" s="120"/>
      <c r="Y214" s="117"/>
      <c r="Z214" s="118"/>
      <c r="AA214" s="118"/>
      <c r="AB214" s="118"/>
      <c r="AC214" s="142"/>
      <c r="AD214" s="39"/>
      <c r="AE214" s="39"/>
      <c r="AF214" s="39"/>
      <c r="AG214" s="39"/>
      <c r="AH214" s="39"/>
      <c r="AI214" s="39"/>
      <c r="AJ214" s="39"/>
      <c r="AK214" s="39"/>
      <c r="AL214" s="39"/>
    </row>
    <row r="215" spans="1:38" ht="14.1" customHeight="1" x14ac:dyDescent="0.25">
      <c r="A215" s="61" t="s">
        <v>36</v>
      </c>
      <c r="B215" s="6">
        <v>14394</v>
      </c>
      <c r="C215" s="5">
        <v>13.768760581972622</v>
      </c>
      <c r="D215" s="5"/>
      <c r="E215" s="6">
        <v>14283</v>
      </c>
      <c r="F215" s="5">
        <v>13.904112922852274</v>
      </c>
      <c r="G215" s="5"/>
      <c r="H215" s="6">
        <v>106</v>
      </c>
      <c r="I215" s="5">
        <v>6.7430025445292623</v>
      </c>
      <c r="J215" s="5"/>
      <c r="K215" s="6">
        <v>5</v>
      </c>
      <c r="L215" s="5">
        <v>2.0491803278688523</v>
      </c>
      <c r="M215" s="5"/>
      <c r="N215" s="98"/>
      <c r="O215" s="98"/>
      <c r="P215" s="120"/>
      <c r="Q215" s="133"/>
      <c r="R215" s="133"/>
      <c r="S215" s="133"/>
      <c r="T215" s="133"/>
      <c r="U215" s="133"/>
      <c r="V215" s="133"/>
      <c r="W215" s="120"/>
      <c r="X215" s="120"/>
      <c r="Y215" s="117"/>
      <c r="Z215" s="118"/>
      <c r="AA215" s="118"/>
      <c r="AB215" s="118"/>
      <c r="AC215" s="142"/>
      <c r="AD215" s="39"/>
      <c r="AE215" s="39"/>
      <c r="AF215" s="39"/>
      <c r="AG215" s="39"/>
      <c r="AH215" s="39"/>
      <c r="AI215" s="39"/>
      <c r="AJ215" s="39"/>
      <c r="AK215" s="39"/>
      <c r="AL215" s="39"/>
    </row>
    <row r="216" spans="1:38" ht="14.1" customHeight="1" x14ac:dyDescent="0.25">
      <c r="A216" s="61" t="s">
        <v>37</v>
      </c>
      <c r="B216" s="6">
        <v>20607</v>
      </c>
      <c r="C216" s="5">
        <v>19.711883375900364</v>
      </c>
      <c r="D216" s="5"/>
      <c r="E216" s="6">
        <v>20437</v>
      </c>
      <c r="F216" s="5">
        <v>19.894864930640058</v>
      </c>
      <c r="G216" s="5"/>
      <c r="H216" s="6">
        <v>154</v>
      </c>
      <c r="I216" s="5">
        <v>9.7964376590330797</v>
      </c>
      <c r="J216" s="5"/>
      <c r="K216" s="6">
        <v>16</v>
      </c>
      <c r="L216" s="5">
        <v>6.557377049180328</v>
      </c>
      <c r="M216" s="5"/>
      <c r="N216" s="98"/>
      <c r="O216" s="98"/>
      <c r="P216" s="120"/>
      <c r="Q216" s="133"/>
      <c r="R216" s="133"/>
      <c r="S216" s="133"/>
      <c r="T216" s="133"/>
      <c r="U216" s="133"/>
      <c r="V216" s="133"/>
      <c r="W216" s="120"/>
      <c r="X216" s="120"/>
      <c r="Y216" s="117"/>
      <c r="Z216" s="118"/>
      <c r="AA216" s="118"/>
      <c r="AB216" s="118"/>
      <c r="AC216" s="142"/>
      <c r="AD216" s="39"/>
      <c r="AE216" s="39"/>
      <c r="AF216" s="39"/>
      <c r="AG216" s="39"/>
      <c r="AH216" s="39"/>
      <c r="AI216" s="39"/>
      <c r="AJ216" s="39"/>
      <c r="AK216" s="39"/>
      <c r="AL216" s="39"/>
    </row>
    <row r="217" spans="1:38" ht="14.1" customHeight="1" x14ac:dyDescent="0.25">
      <c r="A217" s="61"/>
      <c r="B217" s="6"/>
      <c r="C217" s="98"/>
      <c r="D217" s="98"/>
      <c r="E217" s="97"/>
      <c r="F217" s="98"/>
      <c r="G217" s="98"/>
      <c r="H217" s="97"/>
      <c r="I217" s="98"/>
      <c r="J217" s="98"/>
      <c r="K217" s="97"/>
      <c r="L217" s="98"/>
      <c r="M217" s="5"/>
      <c r="N217" s="98"/>
      <c r="O217" s="98"/>
      <c r="P217" s="120"/>
      <c r="Q217" s="133"/>
      <c r="R217" s="133"/>
      <c r="S217" s="133"/>
      <c r="T217" s="133"/>
      <c r="U217" s="133"/>
      <c r="V217" s="133"/>
      <c r="W217" s="120"/>
      <c r="X217" s="120"/>
      <c r="Y217" s="118"/>
      <c r="Z217" s="118"/>
      <c r="AA217" s="118"/>
      <c r="AB217" s="118"/>
      <c r="AC217" s="142"/>
      <c r="AD217" s="39"/>
      <c r="AE217" s="39"/>
      <c r="AF217" s="39"/>
      <c r="AG217" s="39"/>
      <c r="AH217" s="39"/>
      <c r="AI217" s="39"/>
      <c r="AJ217" s="39"/>
      <c r="AK217" s="39"/>
      <c r="AL217" s="39"/>
    </row>
    <row r="218" spans="1:38" ht="14.1" customHeight="1" x14ac:dyDescent="0.25">
      <c r="A218" s="62" t="s">
        <v>71</v>
      </c>
      <c r="B218" s="9">
        <v>1338873</v>
      </c>
      <c r="C218" s="96">
        <v>0</v>
      </c>
      <c r="D218" s="96"/>
      <c r="E218" s="95">
        <v>1290157</v>
      </c>
      <c r="F218" s="96">
        <v>0</v>
      </c>
      <c r="G218" s="96"/>
      <c r="H218" s="95">
        <v>39222</v>
      </c>
      <c r="I218" s="96">
        <v>0</v>
      </c>
      <c r="J218" s="96"/>
      <c r="K218" s="95">
        <v>9494</v>
      </c>
      <c r="L218" s="96">
        <v>0</v>
      </c>
      <c r="M218" s="15"/>
      <c r="N218" s="96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118"/>
      <c r="Z218" s="118"/>
      <c r="AA218" s="118"/>
      <c r="AB218" s="118"/>
      <c r="AC218" s="142"/>
      <c r="AD218" s="39"/>
      <c r="AE218" s="39"/>
      <c r="AF218" s="39"/>
      <c r="AG218" s="39"/>
      <c r="AH218" s="39"/>
      <c r="AI218" s="39"/>
      <c r="AJ218" s="39"/>
      <c r="AK218" s="39"/>
      <c r="AL218" s="39"/>
    </row>
    <row r="219" spans="1:38" ht="14.1" customHeight="1" x14ac:dyDescent="0.25">
      <c r="A219" s="61" t="s">
        <v>57</v>
      </c>
      <c r="B219" s="6">
        <v>7712</v>
      </c>
      <c r="C219" s="5">
        <v>0.57600683559979182</v>
      </c>
      <c r="D219" s="5"/>
      <c r="E219" s="6">
        <v>6603</v>
      </c>
      <c r="F219" s="5">
        <v>0.51179817650099957</v>
      </c>
      <c r="G219" s="5"/>
      <c r="H219" s="6">
        <v>798</v>
      </c>
      <c r="I219" s="5">
        <v>2.0345724338381519</v>
      </c>
      <c r="J219" s="5"/>
      <c r="K219" s="6">
        <v>311</v>
      </c>
      <c r="L219" s="5">
        <v>3.2757531072256159</v>
      </c>
      <c r="M219" s="5"/>
      <c r="N219" s="98"/>
      <c r="O219" s="98"/>
      <c r="P219" s="120"/>
      <c r="Q219" s="133"/>
      <c r="R219" s="133"/>
      <c r="S219" s="133"/>
      <c r="T219" s="133"/>
      <c r="U219" s="133"/>
      <c r="V219" s="133"/>
      <c r="W219" s="120"/>
      <c r="X219" s="120"/>
      <c r="Y219" s="118"/>
      <c r="Z219" s="118"/>
      <c r="AA219" s="118"/>
      <c r="AB219" s="118"/>
      <c r="AC219" s="142"/>
      <c r="AD219" s="39"/>
      <c r="AE219" s="39"/>
      <c r="AF219" s="39"/>
      <c r="AG219" s="39"/>
      <c r="AH219" s="39"/>
      <c r="AI219" s="39"/>
      <c r="AJ219" s="39"/>
      <c r="AK219" s="39"/>
      <c r="AL219" s="39"/>
    </row>
    <row r="220" spans="1:38" ht="14.1" customHeight="1" x14ac:dyDescent="0.25">
      <c r="A220" s="61" t="s">
        <v>29</v>
      </c>
      <c r="B220" s="6">
        <v>5664</v>
      </c>
      <c r="C220" s="5">
        <v>0.4230423647351168</v>
      </c>
      <c r="D220" s="5"/>
      <c r="E220" s="6">
        <v>5046</v>
      </c>
      <c r="F220" s="5">
        <v>0.39111518985673838</v>
      </c>
      <c r="G220" s="5"/>
      <c r="H220" s="6">
        <v>358</v>
      </c>
      <c r="I220" s="5">
        <v>0.91275304675947166</v>
      </c>
      <c r="J220" s="5"/>
      <c r="K220" s="6">
        <v>260</v>
      </c>
      <c r="L220" s="5">
        <v>2.7385717295133767</v>
      </c>
      <c r="M220" s="5"/>
      <c r="N220" s="98"/>
      <c r="O220" s="98"/>
      <c r="P220" s="120"/>
      <c r="Q220" s="133"/>
      <c r="R220" s="133"/>
      <c r="S220" s="133"/>
      <c r="T220" s="133"/>
      <c r="U220" s="133"/>
      <c r="V220" s="133"/>
      <c r="W220" s="120"/>
      <c r="X220" s="120"/>
      <c r="Y220" s="118"/>
      <c r="Z220" s="118"/>
      <c r="AA220" s="118"/>
      <c r="AB220" s="118"/>
      <c r="AC220" s="142"/>
      <c r="AD220" s="39"/>
      <c r="AE220" s="39"/>
      <c r="AF220" s="39"/>
      <c r="AG220" s="39"/>
      <c r="AH220" s="39"/>
      <c r="AI220" s="39"/>
      <c r="AJ220" s="39"/>
      <c r="AK220" s="39"/>
      <c r="AL220" s="39"/>
    </row>
    <row r="221" spans="1:38" ht="14.1" customHeight="1" x14ac:dyDescent="0.25">
      <c r="A221" s="61" t="s">
        <v>30</v>
      </c>
      <c r="B221" s="6">
        <v>116895</v>
      </c>
      <c r="C221" s="5">
        <v>8.7308504988897369</v>
      </c>
      <c r="D221" s="5"/>
      <c r="E221" s="6">
        <v>110701</v>
      </c>
      <c r="F221" s="5">
        <v>8.5804285834979765</v>
      </c>
      <c r="G221" s="5"/>
      <c r="H221" s="6">
        <v>4881</v>
      </c>
      <c r="I221" s="5">
        <v>12.444546428025088</v>
      </c>
      <c r="J221" s="5"/>
      <c r="K221" s="6">
        <v>1313</v>
      </c>
      <c r="L221" s="5">
        <v>13.829787234042554</v>
      </c>
      <c r="M221" s="5"/>
      <c r="N221" s="98"/>
      <c r="O221" s="98"/>
      <c r="P221" s="120"/>
      <c r="Q221" s="133"/>
      <c r="R221" s="133"/>
      <c r="S221" s="133"/>
      <c r="T221" s="133"/>
      <c r="U221" s="133"/>
      <c r="V221" s="133"/>
      <c r="W221" s="120"/>
      <c r="X221" s="120"/>
      <c r="Y221" s="118"/>
      <c r="Z221" s="118"/>
      <c r="AA221" s="118"/>
      <c r="AB221" s="118"/>
      <c r="AC221" s="142"/>
      <c r="AD221" s="39"/>
      <c r="AE221" s="39"/>
      <c r="AF221" s="39"/>
      <c r="AG221" s="39"/>
      <c r="AH221" s="39"/>
      <c r="AI221" s="39"/>
      <c r="AJ221" s="39"/>
      <c r="AK221" s="39"/>
      <c r="AL221" s="39"/>
    </row>
    <row r="222" spans="1:38" ht="14.1" customHeight="1" x14ac:dyDescent="0.25">
      <c r="A222" s="61" t="s">
        <v>31</v>
      </c>
      <c r="B222" s="6">
        <v>3502</v>
      </c>
      <c r="C222" s="5">
        <v>0.26156327000395108</v>
      </c>
      <c r="D222" s="5"/>
      <c r="E222" s="6">
        <v>3160</v>
      </c>
      <c r="F222" s="5">
        <v>0.24493143082586072</v>
      </c>
      <c r="G222" s="5"/>
      <c r="H222" s="6">
        <v>246</v>
      </c>
      <c r="I222" s="5">
        <v>0.62719902095762581</v>
      </c>
      <c r="J222" s="5"/>
      <c r="K222" s="6">
        <v>96</v>
      </c>
      <c r="L222" s="5">
        <v>1.0111649462818622</v>
      </c>
      <c r="M222" s="5"/>
      <c r="N222" s="98"/>
      <c r="O222" s="98"/>
      <c r="P222" s="120"/>
      <c r="Q222" s="133"/>
      <c r="R222" s="133"/>
      <c r="S222" s="133"/>
      <c r="T222" s="133"/>
      <c r="U222" s="133"/>
      <c r="V222" s="133"/>
      <c r="W222" s="120"/>
      <c r="X222" s="120"/>
      <c r="Y222" s="118"/>
      <c r="Z222" s="118"/>
      <c r="AA222" s="118"/>
      <c r="AB222" s="118"/>
      <c r="AC222" s="142"/>
      <c r="AD222" s="39"/>
      <c r="AE222" s="39"/>
      <c r="AF222" s="39"/>
      <c r="AG222" s="39"/>
      <c r="AH222" s="39"/>
      <c r="AI222" s="39"/>
      <c r="AJ222" s="39"/>
      <c r="AK222" s="39"/>
      <c r="AL222" s="39"/>
    </row>
    <row r="223" spans="1:38" ht="14.1" customHeight="1" x14ac:dyDescent="0.25">
      <c r="A223" s="61" t="s">
        <v>32</v>
      </c>
      <c r="B223" s="6">
        <v>36196</v>
      </c>
      <c r="C223" s="5">
        <v>2.7034677672938359</v>
      </c>
      <c r="D223" s="5"/>
      <c r="E223" s="6">
        <v>32685</v>
      </c>
      <c r="F223" s="5">
        <v>2.5334126001719173</v>
      </c>
      <c r="G223" s="5"/>
      <c r="H223" s="6">
        <v>2702</v>
      </c>
      <c r="I223" s="5">
        <v>6.8889908724695319</v>
      </c>
      <c r="J223" s="5"/>
      <c r="K223" s="6">
        <v>809</v>
      </c>
      <c r="L223" s="5">
        <v>8.5211712660627761</v>
      </c>
      <c r="M223" s="5"/>
      <c r="N223" s="98"/>
      <c r="O223" s="98"/>
      <c r="P223" s="120"/>
      <c r="Q223" s="133"/>
      <c r="R223" s="133"/>
      <c r="S223" s="133"/>
      <c r="T223" s="133"/>
      <c r="U223" s="133"/>
      <c r="V223" s="133"/>
      <c r="W223" s="120"/>
      <c r="X223" s="120"/>
      <c r="Y223" s="118"/>
      <c r="Z223" s="118"/>
      <c r="AA223" s="118"/>
      <c r="AB223" s="118"/>
      <c r="AC223" s="142"/>
      <c r="AD223" s="39"/>
      <c r="AE223" s="39"/>
      <c r="AF223" s="39"/>
      <c r="AG223" s="39"/>
      <c r="AH223" s="39"/>
      <c r="AI223" s="39"/>
      <c r="AJ223" s="39"/>
      <c r="AK223" s="39"/>
      <c r="AL223" s="39"/>
    </row>
    <row r="224" spans="1:38" ht="14.1" customHeight="1" x14ac:dyDescent="0.25">
      <c r="A224" s="61" t="s">
        <v>33</v>
      </c>
      <c r="B224" s="6">
        <v>593130</v>
      </c>
      <c r="C224" s="5">
        <v>44.400691701154628</v>
      </c>
      <c r="D224" s="5"/>
      <c r="E224" s="6">
        <v>574363</v>
      </c>
      <c r="F224" s="5">
        <v>44.618845380833498</v>
      </c>
      <c r="G224" s="5"/>
      <c r="H224" s="6">
        <v>15160</v>
      </c>
      <c r="I224" s="5">
        <v>38.651777063892709</v>
      </c>
      <c r="J224" s="5"/>
      <c r="K224" s="6">
        <v>3607</v>
      </c>
      <c r="L224" s="5">
        <v>38.092416262902887</v>
      </c>
      <c r="M224" s="5"/>
      <c r="N224" s="98"/>
      <c r="O224" s="98"/>
      <c r="P224" s="120"/>
      <c r="Q224" s="133"/>
      <c r="R224" s="133"/>
      <c r="S224" s="133"/>
      <c r="T224" s="133"/>
      <c r="U224" s="133"/>
      <c r="V224" s="133"/>
      <c r="W224" s="120"/>
      <c r="X224" s="120"/>
      <c r="Y224" s="118"/>
      <c r="Z224" s="118"/>
      <c r="AA224" s="118"/>
      <c r="AB224" s="118"/>
      <c r="AC224" s="142"/>
      <c r="AD224" s="39"/>
      <c r="AE224" s="39"/>
      <c r="AF224" s="39"/>
      <c r="AG224" s="39"/>
      <c r="AH224" s="39"/>
      <c r="AI224" s="39"/>
      <c r="AJ224" s="39"/>
      <c r="AK224" s="39"/>
      <c r="AL224" s="39"/>
    </row>
    <row r="225" spans="1:38" ht="14.1" customHeight="1" x14ac:dyDescent="0.25">
      <c r="A225" s="61" t="s">
        <v>34</v>
      </c>
      <c r="B225" s="6">
        <v>80222</v>
      </c>
      <c r="C225" s="5">
        <v>5.9917557527861121</v>
      </c>
      <c r="D225" s="5"/>
      <c r="E225" s="6">
        <v>76462</v>
      </c>
      <c r="F225" s="5">
        <v>5.9265655265211912</v>
      </c>
      <c r="G225" s="5"/>
      <c r="H225" s="6">
        <v>3164</v>
      </c>
      <c r="I225" s="5">
        <v>8.0669012289021467</v>
      </c>
      <c r="J225" s="5"/>
      <c r="K225" s="6">
        <v>596</v>
      </c>
      <c r="L225" s="5">
        <v>6.2776490414998944</v>
      </c>
      <c r="M225" s="5"/>
      <c r="N225" s="98"/>
      <c r="O225" s="98"/>
      <c r="P225" s="120"/>
      <c r="Q225" s="133"/>
      <c r="R225" s="133"/>
      <c r="S225" s="133"/>
      <c r="T225" s="133"/>
      <c r="U225" s="133"/>
      <c r="V225" s="133"/>
      <c r="W225" s="120"/>
      <c r="X225" s="120"/>
      <c r="Y225" s="118"/>
      <c r="Z225" s="118"/>
      <c r="AA225" s="118"/>
      <c r="AB225" s="118"/>
      <c r="AC225" s="142"/>
      <c r="AD225" s="39"/>
      <c r="AE225" s="39"/>
      <c r="AF225" s="39"/>
      <c r="AG225" s="39"/>
      <c r="AH225" s="39"/>
      <c r="AI225" s="39"/>
      <c r="AJ225" s="39"/>
      <c r="AK225" s="39"/>
      <c r="AL225" s="39"/>
    </row>
    <row r="226" spans="1:38" ht="14.1" customHeight="1" x14ac:dyDescent="0.25">
      <c r="A226" s="61" t="s">
        <v>68</v>
      </c>
      <c r="B226" s="6">
        <v>6919</v>
      </c>
      <c r="C226" s="5">
        <v>0.51677791694955377</v>
      </c>
      <c r="D226" s="5"/>
      <c r="E226" s="6">
        <v>6687</v>
      </c>
      <c r="F226" s="5">
        <v>0.5183090120039654</v>
      </c>
      <c r="G226" s="5"/>
      <c r="H226" s="6">
        <v>193</v>
      </c>
      <c r="I226" s="5">
        <v>0.49207077660496662</v>
      </c>
      <c r="J226" s="5"/>
      <c r="K226" s="6">
        <v>39</v>
      </c>
      <c r="L226" s="5">
        <v>0.41078575942700651</v>
      </c>
      <c r="M226" s="5"/>
      <c r="N226" s="98"/>
      <c r="O226" s="98"/>
      <c r="P226" s="120"/>
      <c r="Q226" s="133"/>
      <c r="R226" s="133"/>
      <c r="S226" s="133"/>
      <c r="T226" s="133"/>
      <c r="U226" s="133"/>
      <c r="V226" s="133"/>
      <c r="W226" s="120"/>
      <c r="X226" s="120"/>
      <c r="Y226" s="118"/>
      <c r="Z226" s="118"/>
      <c r="AA226" s="118"/>
      <c r="AB226" s="118"/>
      <c r="AC226" s="142"/>
      <c r="AD226" s="39"/>
      <c r="AE226" s="39"/>
      <c r="AF226" s="39"/>
      <c r="AG226" s="39"/>
      <c r="AH226" s="39"/>
      <c r="AI226" s="39"/>
      <c r="AJ226" s="39"/>
      <c r="AK226" s="39"/>
      <c r="AL226" s="39"/>
    </row>
    <row r="227" spans="1:38" ht="14.1" customHeight="1" x14ac:dyDescent="0.25">
      <c r="A227" s="61" t="s">
        <v>69</v>
      </c>
      <c r="B227" s="6">
        <v>84861</v>
      </c>
      <c r="C227" s="5">
        <v>6.3382411924058522</v>
      </c>
      <c r="D227" s="5"/>
      <c r="E227" s="6">
        <v>83812</v>
      </c>
      <c r="F227" s="5">
        <v>6.4962636330307095</v>
      </c>
      <c r="G227" s="5"/>
      <c r="H227" s="6">
        <v>961</v>
      </c>
      <c r="I227" s="5">
        <v>2.4501555249604814</v>
      </c>
      <c r="J227" s="5"/>
      <c r="K227" s="6">
        <v>88</v>
      </c>
      <c r="L227" s="5">
        <v>0.92690120075837379</v>
      </c>
      <c r="M227" s="5"/>
      <c r="N227" s="98"/>
      <c r="O227" s="98"/>
      <c r="P227" s="120"/>
      <c r="Q227" s="133"/>
      <c r="R227" s="133"/>
      <c r="S227" s="133"/>
      <c r="T227" s="133"/>
      <c r="U227" s="133"/>
      <c r="V227" s="133"/>
      <c r="W227" s="120"/>
      <c r="X227" s="120"/>
      <c r="Y227" s="118"/>
      <c r="Z227" s="118"/>
      <c r="AA227" s="118"/>
      <c r="AB227" s="118"/>
      <c r="AC227" s="142"/>
      <c r="AD227" s="39"/>
      <c r="AE227" s="39"/>
      <c r="AF227" s="39"/>
      <c r="AG227" s="39"/>
      <c r="AH227" s="39"/>
      <c r="AI227" s="39"/>
      <c r="AJ227" s="39"/>
      <c r="AK227" s="39"/>
      <c r="AL227" s="39"/>
    </row>
    <row r="228" spans="1:38" ht="14.1" customHeight="1" x14ac:dyDescent="0.25">
      <c r="A228" s="61" t="s">
        <v>35</v>
      </c>
      <c r="B228" s="6">
        <v>31224</v>
      </c>
      <c r="C228" s="5">
        <v>2.3321106632219784</v>
      </c>
      <c r="D228" s="5"/>
      <c r="E228" s="6">
        <v>29476</v>
      </c>
      <c r="F228" s="5">
        <v>2.2846831819693261</v>
      </c>
      <c r="G228" s="5"/>
      <c r="H228" s="6">
        <v>1412</v>
      </c>
      <c r="I228" s="5">
        <v>3.6000203967161291</v>
      </c>
      <c r="J228" s="5"/>
      <c r="K228" s="6">
        <v>336</v>
      </c>
      <c r="L228" s="5">
        <v>3.5390773119865182</v>
      </c>
      <c r="M228" s="5"/>
      <c r="N228" s="98"/>
      <c r="O228" s="98"/>
      <c r="P228" s="120"/>
      <c r="Q228" s="133"/>
      <c r="R228" s="133"/>
      <c r="S228" s="133"/>
      <c r="T228" s="133"/>
      <c r="U228" s="133"/>
      <c r="V228" s="133"/>
      <c r="W228" s="120"/>
      <c r="X228" s="120"/>
      <c r="Y228" s="118"/>
      <c r="Z228" s="118"/>
      <c r="AA228" s="118"/>
      <c r="AB228" s="118"/>
      <c r="AC228" s="142"/>
      <c r="AD228" s="39"/>
      <c r="AE228" s="39"/>
      <c r="AF228" s="39"/>
      <c r="AG228" s="39"/>
      <c r="AH228" s="39"/>
      <c r="AI228" s="39"/>
      <c r="AJ228" s="39"/>
      <c r="AK228" s="39"/>
      <c r="AL228" s="39"/>
    </row>
    <row r="229" spans="1:38" ht="14.1" customHeight="1" x14ac:dyDescent="0.25">
      <c r="A229" s="61" t="s">
        <v>36</v>
      </c>
      <c r="B229" s="6">
        <v>137216</v>
      </c>
      <c r="C229" s="5">
        <v>10.248619547933224</v>
      </c>
      <c r="D229" s="5"/>
      <c r="E229" s="6">
        <v>130998</v>
      </c>
      <c r="F229" s="5">
        <v>10.153647966875349</v>
      </c>
      <c r="G229" s="5"/>
      <c r="H229" s="6">
        <v>5233</v>
      </c>
      <c r="I229" s="5">
        <v>13.342001937688034</v>
      </c>
      <c r="J229" s="5"/>
      <c r="K229" s="6">
        <v>985</v>
      </c>
      <c r="L229" s="5">
        <v>10.374973667579523</v>
      </c>
      <c r="M229" s="5"/>
      <c r="N229" s="98"/>
      <c r="O229" s="98"/>
      <c r="P229" s="120"/>
      <c r="Q229" s="133"/>
      <c r="R229" s="133"/>
      <c r="S229" s="133"/>
      <c r="T229" s="133"/>
      <c r="U229" s="133"/>
      <c r="V229" s="133"/>
      <c r="W229" s="120"/>
      <c r="X229" s="120"/>
      <c r="Y229" s="118"/>
      <c r="Z229" s="118"/>
      <c r="AA229" s="118"/>
      <c r="AB229" s="118"/>
      <c r="AC229" s="142"/>
      <c r="AD229" s="39"/>
      <c r="AE229" s="39"/>
      <c r="AF229" s="39"/>
      <c r="AG229" s="39"/>
      <c r="AH229" s="39"/>
      <c r="AI229" s="39"/>
      <c r="AJ229" s="39"/>
      <c r="AK229" s="39"/>
      <c r="AL229" s="39"/>
    </row>
    <row r="230" spans="1:38" ht="14.1" customHeight="1" x14ac:dyDescent="0.25">
      <c r="A230" s="61" t="s">
        <v>37</v>
      </c>
      <c r="B230" s="6">
        <v>235332</v>
      </c>
      <c r="C230" s="5">
        <v>17.576872489026218</v>
      </c>
      <c r="D230" s="5"/>
      <c r="E230" s="6">
        <v>230164</v>
      </c>
      <c r="F230" s="5">
        <v>17.839999317912472</v>
      </c>
      <c r="G230" s="5"/>
      <c r="H230" s="6">
        <v>4114</v>
      </c>
      <c r="I230" s="5">
        <v>10.48901126918566</v>
      </c>
      <c r="J230" s="5"/>
      <c r="K230" s="6">
        <v>1054</v>
      </c>
      <c r="L230" s="5">
        <v>11.101748472719612</v>
      </c>
      <c r="M230" s="5"/>
      <c r="N230" s="98"/>
      <c r="O230" s="98"/>
      <c r="P230" s="120"/>
      <c r="Q230" s="133"/>
      <c r="R230" s="133"/>
      <c r="S230" s="133"/>
      <c r="T230" s="133"/>
      <c r="U230" s="133"/>
      <c r="V230" s="133"/>
      <c r="W230" s="120"/>
      <c r="X230" s="120"/>
      <c r="Y230" s="118"/>
      <c r="Z230" s="118"/>
      <c r="AA230" s="118"/>
      <c r="AB230" s="118"/>
      <c r="AC230" s="142"/>
      <c r="AD230" s="39"/>
      <c r="AE230" s="39"/>
      <c r="AF230" s="39"/>
      <c r="AG230" s="39"/>
      <c r="AH230" s="39"/>
      <c r="AI230" s="39"/>
      <c r="AJ230" s="39"/>
      <c r="AK230" s="39"/>
      <c r="AL230" s="39"/>
    </row>
    <row r="231" spans="1:38" ht="14.1" customHeight="1" x14ac:dyDescent="0.25">
      <c r="A231" s="61"/>
      <c r="B231" s="6"/>
      <c r="C231" s="5"/>
      <c r="D231" s="5"/>
      <c r="E231" s="6"/>
      <c r="F231" s="5"/>
      <c r="G231" s="5"/>
      <c r="H231" s="6"/>
      <c r="I231" s="5"/>
      <c r="J231" s="5"/>
      <c r="K231" s="6"/>
      <c r="L231" s="5"/>
      <c r="M231" s="5"/>
      <c r="N231" s="98"/>
      <c r="O231" s="98"/>
      <c r="P231" s="120"/>
      <c r="Q231" s="133"/>
      <c r="R231" s="133"/>
      <c r="S231" s="133"/>
      <c r="T231" s="133"/>
      <c r="U231" s="133"/>
      <c r="V231" s="133"/>
      <c r="W231" s="120"/>
      <c r="X231" s="120"/>
      <c r="Y231" s="118"/>
      <c r="Z231" s="118"/>
      <c r="AA231" s="118"/>
      <c r="AB231" s="118"/>
      <c r="AC231" s="142"/>
      <c r="AD231" s="39"/>
      <c r="AE231" s="39"/>
      <c r="AF231" s="39"/>
      <c r="AG231" s="39"/>
      <c r="AH231" s="39"/>
      <c r="AI231" s="39"/>
      <c r="AJ231" s="39"/>
      <c r="AK231" s="39"/>
      <c r="AL231" s="39"/>
    </row>
    <row r="232" spans="1:38" s="35" customFormat="1" ht="14.1" customHeight="1" x14ac:dyDescent="0.25">
      <c r="A232" s="62" t="s">
        <v>10</v>
      </c>
      <c r="B232" s="9">
        <v>56948</v>
      </c>
      <c r="C232" s="15">
        <v>100</v>
      </c>
      <c r="D232" s="15"/>
      <c r="E232" s="9">
        <v>55641</v>
      </c>
      <c r="F232" s="96">
        <v>100</v>
      </c>
      <c r="G232" s="96"/>
      <c r="H232" s="95">
        <v>1129</v>
      </c>
      <c r="I232" s="96">
        <v>100</v>
      </c>
      <c r="J232" s="96"/>
      <c r="K232" s="95">
        <v>178</v>
      </c>
      <c r="L232" s="96">
        <v>100</v>
      </c>
      <c r="M232" s="15"/>
      <c r="N232" s="96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117"/>
      <c r="Z232" s="118"/>
      <c r="AA232" s="118"/>
      <c r="AB232" s="149"/>
      <c r="AC232" s="142"/>
      <c r="AD232" s="39"/>
      <c r="AE232" s="39"/>
      <c r="AF232" s="39"/>
      <c r="AG232" s="39"/>
      <c r="AH232" s="39"/>
      <c r="AI232" s="39"/>
      <c r="AJ232" s="39"/>
      <c r="AK232" s="39"/>
      <c r="AL232" s="39"/>
    </row>
    <row r="233" spans="1:38" ht="14.1" customHeight="1" x14ac:dyDescent="0.25">
      <c r="A233" s="61" t="s">
        <v>57</v>
      </c>
      <c r="B233" s="6">
        <v>2624</v>
      </c>
      <c r="C233" s="5">
        <v>4.6077122989393837</v>
      </c>
      <c r="D233" s="5"/>
      <c r="E233" s="6">
        <v>2555</v>
      </c>
      <c r="F233" s="5">
        <v>4.591937599971244</v>
      </c>
      <c r="G233" s="5"/>
      <c r="H233" s="6">
        <v>61</v>
      </c>
      <c r="I233" s="5">
        <v>5.403011514614704</v>
      </c>
      <c r="J233" s="5"/>
      <c r="K233" s="6">
        <v>8</v>
      </c>
      <c r="L233" s="5">
        <v>4.4943820224719104</v>
      </c>
      <c r="M233" s="5"/>
      <c r="N233" s="98"/>
      <c r="O233" s="98"/>
      <c r="P233" s="120"/>
      <c r="Q233" s="133"/>
      <c r="R233" s="133"/>
      <c r="S233" s="133"/>
      <c r="T233" s="133"/>
      <c r="U233" s="133"/>
      <c r="V233" s="133"/>
      <c r="W233" s="120"/>
      <c r="X233" s="120"/>
      <c r="Y233" s="117"/>
      <c r="Z233" s="118"/>
      <c r="AA233" s="118"/>
      <c r="AB233" s="149"/>
      <c r="AC233" s="142"/>
      <c r="AD233" s="39"/>
      <c r="AE233" s="39"/>
      <c r="AF233" s="39"/>
      <c r="AG233" s="39"/>
      <c r="AH233" s="39"/>
      <c r="AI233" s="39"/>
      <c r="AJ233" s="39"/>
      <c r="AK233" s="39"/>
      <c r="AL233" s="39"/>
    </row>
    <row r="234" spans="1:38" ht="14.1" customHeight="1" x14ac:dyDescent="0.25">
      <c r="A234" s="61" t="s">
        <v>29</v>
      </c>
      <c r="B234" s="6">
        <v>105</v>
      </c>
      <c r="C234" s="5">
        <v>0.18437873147432746</v>
      </c>
      <c r="D234" s="5"/>
      <c r="E234" s="6">
        <v>100</v>
      </c>
      <c r="F234" s="5">
        <v>0.17972358512607611</v>
      </c>
      <c r="G234" s="5"/>
      <c r="H234" s="6">
        <v>5</v>
      </c>
      <c r="I234" s="5">
        <v>0.44286979627989376</v>
      </c>
      <c r="J234" s="5"/>
      <c r="K234" s="3" t="s">
        <v>96</v>
      </c>
      <c r="L234" s="3" t="s">
        <v>96</v>
      </c>
      <c r="M234" s="5"/>
      <c r="N234" s="98"/>
      <c r="O234" s="98"/>
      <c r="P234" s="120"/>
      <c r="Q234" s="133"/>
      <c r="R234" s="133"/>
      <c r="S234" s="133"/>
      <c r="T234" s="133"/>
      <c r="U234" s="133"/>
      <c r="V234" s="133"/>
      <c r="W234" s="120"/>
      <c r="X234" s="120"/>
      <c r="Y234" s="118"/>
      <c r="Z234" s="118"/>
      <c r="AA234" s="118"/>
      <c r="AB234" s="149"/>
      <c r="AC234" s="142"/>
      <c r="AD234" s="39"/>
      <c r="AE234" s="39"/>
      <c r="AF234" s="39"/>
      <c r="AG234" s="39"/>
      <c r="AH234" s="39"/>
      <c r="AI234" s="39"/>
      <c r="AJ234" s="39"/>
      <c r="AK234" s="39"/>
      <c r="AL234" s="39"/>
    </row>
    <row r="235" spans="1:38" ht="14.1" customHeight="1" x14ac:dyDescent="0.25">
      <c r="A235" s="61" t="s">
        <v>30</v>
      </c>
      <c r="B235" s="6">
        <v>3155</v>
      </c>
      <c r="C235" s="5">
        <v>5.5401418838238392</v>
      </c>
      <c r="D235" s="5"/>
      <c r="E235" s="6">
        <v>3082</v>
      </c>
      <c r="F235" s="5">
        <v>5.5390808935856652</v>
      </c>
      <c r="G235" s="5"/>
      <c r="H235" s="6">
        <v>64</v>
      </c>
      <c r="I235" s="5">
        <v>5.6687333923826397</v>
      </c>
      <c r="J235" s="5"/>
      <c r="K235" s="6">
        <v>9</v>
      </c>
      <c r="L235" s="5">
        <v>5.0561797752808983</v>
      </c>
      <c r="M235" s="5"/>
      <c r="N235" s="98"/>
      <c r="O235" s="98"/>
      <c r="P235" s="120"/>
      <c r="Q235" s="133"/>
      <c r="R235" s="133"/>
      <c r="S235" s="133"/>
      <c r="T235" s="133"/>
      <c r="U235" s="133"/>
      <c r="V235" s="133"/>
      <c r="W235" s="120"/>
      <c r="X235" s="120"/>
      <c r="Y235" s="118"/>
      <c r="Z235" s="118"/>
      <c r="AA235" s="118"/>
      <c r="AB235" s="149"/>
      <c r="AC235" s="142"/>
      <c r="AD235" s="39"/>
      <c r="AE235" s="39"/>
      <c r="AF235" s="39"/>
      <c r="AG235" s="39"/>
      <c r="AH235" s="39"/>
      <c r="AI235" s="39"/>
      <c r="AJ235" s="39"/>
      <c r="AK235" s="39"/>
      <c r="AL235" s="39"/>
    </row>
    <row r="236" spans="1:38" ht="14.1" customHeight="1" x14ac:dyDescent="0.25">
      <c r="A236" s="61" t="s">
        <v>31</v>
      </c>
      <c r="B236" s="6">
        <v>160</v>
      </c>
      <c r="C236" s="5">
        <v>0.28095806700849901</v>
      </c>
      <c r="D236" s="5"/>
      <c r="E236" s="6">
        <v>153</v>
      </c>
      <c r="F236" s="5">
        <v>0.27497708524289644</v>
      </c>
      <c r="G236" s="5"/>
      <c r="H236" s="6">
        <v>3</v>
      </c>
      <c r="I236" s="5">
        <v>0.26572187776793621</v>
      </c>
      <c r="J236" s="5"/>
      <c r="K236" s="6">
        <v>4</v>
      </c>
      <c r="L236" s="5">
        <v>2.2471910112359552</v>
      </c>
      <c r="M236" s="5"/>
      <c r="N236" s="98"/>
      <c r="O236" s="98"/>
      <c r="P236" s="120"/>
      <c r="Q236" s="133"/>
      <c r="R236" s="133"/>
      <c r="S236" s="133"/>
      <c r="T236" s="133"/>
      <c r="U236" s="133"/>
      <c r="V236" s="133"/>
      <c r="W236" s="120"/>
      <c r="X236" s="120"/>
      <c r="Y236" s="118"/>
      <c r="Z236" s="118"/>
      <c r="AA236" s="118"/>
      <c r="AB236" s="149"/>
      <c r="AC236" s="142"/>
      <c r="AD236" s="39"/>
      <c r="AE236" s="39"/>
      <c r="AF236" s="39"/>
      <c r="AG236" s="39"/>
      <c r="AH236" s="39"/>
      <c r="AI236" s="39"/>
      <c r="AJ236" s="39"/>
      <c r="AK236" s="39"/>
      <c r="AL236" s="39"/>
    </row>
    <row r="237" spans="1:38" ht="14.1" customHeight="1" x14ac:dyDescent="0.25">
      <c r="A237" s="61" t="s">
        <v>32</v>
      </c>
      <c r="B237" s="6">
        <v>2237</v>
      </c>
      <c r="C237" s="5">
        <v>3.928144974362576</v>
      </c>
      <c r="D237" s="5"/>
      <c r="E237" s="6">
        <v>2108</v>
      </c>
      <c r="F237" s="5">
        <v>3.7885731744576843</v>
      </c>
      <c r="G237" s="5"/>
      <c r="H237" s="6">
        <v>107</v>
      </c>
      <c r="I237" s="5">
        <v>9.4774136403897256</v>
      </c>
      <c r="J237" s="5"/>
      <c r="K237" s="6">
        <v>22</v>
      </c>
      <c r="L237" s="5">
        <v>12.359550561797752</v>
      </c>
      <c r="M237" s="5"/>
      <c r="N237" s="98"/>
      <c r="O237" s="98"/>
      <c r="P237" s="120"/>
      <c r="Q237" s="133"/>
      <c r="R237" s="133"/>
      <c r="S237" s="133"/>
      <c r="T237" s="133"/>
      <c r="U237" s="133"/>
      <c r="V237" s="133"/>
      <c r="W237" s="120"/>
      <c r="X237" s="120"/>
      <c r="Y237" s="118"/>
      <c r="Z237" s="118"/>
      <c r="AA237" s="118"/>
      <c r="AB237" s="149"/>
      <c r="AC237" s="142"/>
      <c r="AD237" s="39"/>
      <c r="AE237" s="39"/>
      <c r="AF237" s="39"/>
      <c r="AG237" s="39"/>
      <c r="AH237" s="39"/>
      <c r="AI237" s="39"/>
      <c r="AJ237" s="39"/>
      <c r="AK237" s="39"/>
      <c r="AL237" s="39"/>
    </row>
    <row r="238" spans="1:38" ht="14.1" customHeight="1" x14ac:dyDescent="0.25">
      <c r="A238" s="61" t="s">
        <v>33</v>
      </c>
      <c r="B238" s="6">
        <v>26771</v>
      </c>
      <c r="C238" s="5">
        <v>47.009552574278288</v>
      </c>
      <c r="D238" s="5"/>
      <c r="E238" s="6">
        <v>26057</v>
      </c>
      <c r="F238" s="5">
        <v>46.730574576301649</v>
      </c>
      <c r="G238" s="5"/>
      <c r="H238" s="6">
        <v>604</v>
      </c>
      <c r="I238" s="5">
        <v>53.498671390611165</v>
      </c>
      <c r="J238" s="5"/>
      <c r="K238" s="6">
        <v>110</v>
      </c>
      <c r="L238" s="5">
        <v>61.69775280898876</v>
      </c>
      <c r="M238" s="5"/>
      <c r="N238" s="98"/>
      <c r="O238" s="98"/>
      <c r="P238" s="120"/>
      <c r="Q238" s="133"/>
      <c r="R238" s="133"/>
      <c r="S238" s="133"/>
      <c r="T238" s="133"/>
      <c r="U238" s="133"/>
      <c r="V238" s="133"/>
      <c r="W238" s="120"/>
      <c r="X238" s="120"/>
      <c r="Y238" s="118"/>
      <c r="Z238" s="118"/>
      <c r="AA238" s="118"/>
      <c r="AB238" s="149"/>
      <c r="AC238" s="142"/>
      <c r="AD238" s="39"/>
      <c r="AE238" s="39"/>
      <c r="AF238" s="39"/>
      <c r="AG238" s="39"/>
      <c r="AH238" s="39"/>
      <c r="AI238" s="39"/>
      <c r="AJ238" s="39"/>
      <c r="AK238" s="39"/>
      <c r="AL238" s="39"/>
    </row>
    <row r="239" spans="1:38" ht="14.1" customHeight="1" x14ac:dyDescent="0.25">
      <c r="A239" s="61" t="s">
        <v>34</v>
      </c>
      <c r="B239" s="6">
        <v>2040</v>
      </c>
      <c r="C239" s="5">
        <v>3.5822153543583619</v>
      </c>
      <c r="D239" s="5"/>
      <c r="E239" s="6">
        <v>1941</v>
      </c>
      <c r="F239" s="5">
        <v>3.4884347872971371</v>
      </c>
      <c r="G239" s="5"/>
      <c r="H239" s="6">
        <v>86</v>
      </c>
      <c r="I239" s="5">
        <v>7.6173604960141725</v>
      </c>
      <c r="J239" s="5"/>
      <c r="K239" s="6">
        <v>13</v>
      </c>
      <c r="L239" s="5">
        <v>7.3033707865168536</v>
      </c>
      <c r="M239" s="5"/>
      <c r="N239" s="98"/>
      <c r="O239" s="98"/>
      <c r="P239" s="120"/>
      <c r="Q239" s="133"/>
      <c r="R239" s="133"/>
      <c r="S239" s="133"/>
      <c r="T239" s="133"/>
      <c r="U239" s="133"/>
      <c r="V239" s="133"/>
      <c r="W239" s="120"/>
      <c r="X239" s="120"/>
      <c r="Y239" s="118"/>
      <c r="Z239" s="118"/>
      <c r="AA239" s="118"/>
      <c r="AB239" s="149"/>
      <c r="AC239" s="142"/>
      <c r="AD239" s="39"/>
      <c r="AE239" s="39"/>
      <c r="AF239" s="39"/>
      <c r="AG239" s="39"/>
      <c r="AH239" s="39"/>
      <c r="AI239" s="39"/>
      <c r="AJ239" s="39"/>
      <c r="AK239" s="39"/>
      <c r="AL239" s="39"/>
    </row>
    <row r="240" spans="1:38" ht="14.1" customHeight="1" x14ac:dyDescent="0.25">
      <c r="A240" s="61" t="s">
        <v>68</v>
      </c>
      <c r="B240" s="6">
        <v>1046</v>
      </c>
      <c r="C240" s="5">
        <v>1.836763363068062</v>
      </c>
      <c r="D240" s="5"/>
      <c r="E240" s="6">
        <v>1030</v>
      </c>
      <c r="F240" s="5">
        <v>1.8511529267985838</v>
      </c>
      <c r="G240" s="5"/>
      <c r="H240" s="6">
        <v>15</v>
      </c>
      <c r="I240" s="5">
        <v>1.328609388839681</v>
      </c>
      <c r="J240" s="5"/>
      <c r="K240" s="6">
        <v>1</v>
      </c>
      <c r="L240" s="5">
        <v>0.5617977528089888</v>
      </c>
      <c r="M240" s="5"/>
      <c r="N240" s="98"/>
      <c r="O240" s="98"/>
      <c r="P240" s="120"/>
      <c r="Q240" s="133"/>
      <c r="R240" s="133"/>
      <c r="S240" s="133"/>
      <c r="T240" s="133"/>
      <c r="U240" s="133"/>
      <c r="V240" s="133"/>
      <c r="W240" s="120"/>
      <c r="X240" s="120"/>
      <c r="Y240" s="118"/>
      <c r="Z240" s="118"/>
      <c r="AA240" s="118"/>
      <c r="AB240" s="149"/>
      <c r="AC240" s="142"/>
      <c r="AD240" s="39"/>
      <c r="AE240" s="39"/>
      <c r="AF240" s="39"/>
      <c r="AG240" s="39"/>
      <c r="AH240" s="39"/>
      <c r="AI240" s="39"/>
      <c r="AJ240" s="39"/>
      <c r="AK240" s="39"/>
      <c r="AL240" s="39"/>
    </row>
    <row r="241" spans="1:38" ht="14.1" customHeight="1" x14ac:dyDescent="0.25">
      <c r="A241" s="61" t="s">
        <v>69</v>
      </c>
      <c r="B241" s="6">
        <v>4549</v>
      </c>
      <c r="C241" s="5">
        <v>7.9879890426353866</v>
      </c>
      <c r="D241" s="5"/>
      <c r="E241" s="6">
        <v>4504</v>
      </c>
      <c r="F241" s="5">
        <v>8.0947502740784678</v>
      </c>
      <c r="G241" s="5"/>
      <c r="H241" s="6">
        <v>45</v>
      </c>
      <c r="I241" s="5">
        <v>3.9858281665190431</v>
      </c>
      <c r="J241" s="5"/>
      <c r="K241" s="3" t="s">
        <v>96</v>
      </c>
      <c r="L241" s="3" t="s">
        <v>96</v>
      </c>
      <c r="M241" s="5"/>
      <c r="N241" s="98"/>
      <c r="O241" s="98"/>
      <c r="P241" s="120"/>
      <c r="Q241" s="133"/>
      <c r="R241" s="133"/>
      <c r="S241" s="133"/>
      <c r="T241" s="133"/>
      <c r="U241" s="133"/>
      <c r="V241" s="133"/>
      <c r="W241" s="120"/>
      <c r="X241" s="120"/>
      <c r="Y241" s="118"/>
      <c r="Z241" s="118"/>
      <c r="AA241" s="118"/>
      <c r="AB241" s="149"/>
      <c r="AC241" s="142"/>
      <c r="AD241" s="39"/>
      <c r="AE241" s="39"/>
      <c r="AF241" s="39"/>
      <c r="AG241" s="39"/>
      <c r="AH241" s="39"/>
      <c r="AI241" s="39"/>
      <c r="AJ241" s="39"/>
      <c r="AK241" s="39"/>
      <c r="AL241" s="39"/>
    </row>
    <row r="242" spans="1:38" ht="14.1" customHeight="1" x14ac:dyDescent="0.25">
      <c r="A242" s="61" t="s">
        <v>35</v>
      </c>
      <c r="B242" s="6">
        <v>904</v>
      </c>
      <c r="C242" s="5">
        <v>1.5874130785980192</v>
      </c>
      <c r="D242" s="5"/>
      <c r="E242" s="6">
        <v>885</v>
      </c>
      <c r="F242" s="5">
        <v>1.5905537283657734</v>
      </c>
      <c r="G242" s="5"/>
      <c r="H242" s="6">
        <v>18</v>
      </c>
      <c r="I242" s="5">
        <v>1.5943312666076175</v>
      </c>
      <c r="J242" s="5"/>
      <c r="K242" s="6">
        <v>1</v>
      </c>
      <c r="L242" s="5">
        <v>0.5617977528089888</v>
      </c>
      <c r="M242" s="5"/>
      <c r="N242" s="98"/>
      <c r="O242" s="98"/>
      <c r="P242" s="120"/>
      <c r="Q242" s="133"/>
      <c r="R242" s="133"/>
      <c r="S242" s="133"/>
      <c r="T242" s="133"/>
      <c r="U242" s="133"/>
      <c r="V242" s="133"/>
      <c r="W242" s="120"/>
      <c r="X242" s="120"/>
      <c r="Y242" s="118"/>
      <c r="Z242" s="118"/>
      <c r="AA242" s="118"/>
      <c r="AB242" s="149"/>
      <c r="AC242" s="142"/>
      <c r="AD242" s="39"/>
      <c r="AE242" s="39"/>
      <c r="AF242" s="39"/>
      <c r="AG242" s="39"/>
      <c r="AH242" s="39"/>
      <c r="AI242" s="39"/>
      <c r="AJ242" s="39"/>
      <c r="AK242" s="39"/>
      <c r="AL242" s="39"/>
    </row>
    <row r="243" spans="1:38" ht="14.1" customHeight="1" x14ac:dyDescent="0.25">
      <c r="A243" s="61" t="s">
        <v>36</v>
      </c>
      <c r="B243" s="6">
        <v>4471</v>
      </c>
      <c r="C243" s="5">
        <v>7.8510219849687441</v>
      </c>
      <c r="D243" s="5"/>
      <c r="E243" s="6">
        <v>4403</v>
      </c>
      <c r="F243" s="5">
        <v>7.9132294531011311</v>
      </c>
      <c r="G243" s="5"/>
      <c r="H243" s="6">
        <v>62</v>
      </c>
      <c r="I243" s="5">
        <v>5.491585473870682</v>
      </c>
      <c r="J243" s="5"/>
      <c r="K243" s="6">
        <v>6</v>
      </c>
      <c r="L243" s="5">
        <v>3.3707865168539324</v>
      </c>
      <c r="M243" s="5"/>
      <c r="N243" s="98"/>
      <c r="O243" s="98"/>
      <c r="P243" s="120"/>
      <c r="Q243" s="133"/>
      <c r="R243" s="133"/>
      <c r="S243" s="133"/>
      <c r="T243" s="133"/>
      <c r="U243" s="133"/>
      <c r="V243" s="133"/>
      <c r="W243" s="120"/>
      <c r="X243" s="120"/>
      <c r="Y243" s="118"/>
      <c r="Z243" s="118"/>
      <c r="AA243" s="118"/>
      <c r="AB243" s="149"/>
      <c r="AC243" s="142"/>
      <c r="AD243" s="39"/>
      <c r="AE243" s="39"/>
      <c r="AF243" s="39"/>
      <c r="AG243" s="39"/>
      <c r="AH243" s="39"/>
      <c r="AI243" s="39"/>
      <c r="AJ243" s="39"/>
      <c r="AK243" s="39"/>
      <c r="AL243" s="39"/>
    </row>
    <row r="244" spans="1:38" ht="14.1" customHeight="1" x14ac:dyDescent="0.25">
      <c r="A244" s="61" t="s">
        <v>37</v>
      </c>
      <c r="B244" s="6">
        <v>8886</v>
      </c>
      <c r="C244" s="5">
        <v>15.603708646484513</v>
      </c>
      <c r="D244" s="5"/>
      <c r="E244" s="6">
        <v>8823</v>
      </c>
      <c r="F244" s="5">
        <v>15.857011915673693</v>
      </c>
      <c r="G244" s="5"/>
      <c r="H244" s="6">
        <v>59</v>
      </c>
      <c r="I244" s="5">
        <v>5.2258635961027453</v>
      </c>
      <c r="J244" s="5"/>
      <c r="K244" s="6">
        <v>4</v>
      </c>
      <c r="L244" s="5">
        <v>2.2471910112359552</v>
      </c>
      <c r="M244" s="5"/>
      <c r="N244" s="98"/>
      <c r="O244" s="98"/>
      <c r="P244" s="120"/>
      <c r="Q244" s="133"/>
      <c r="R244" s="133"/>
      <c r="S244" s="133"/>
      <c r="T244" s="133"/>
      <c r="U244" s="133"/>
      <c r="V244" s="133"/>
      <c r="W244" s="120"/>
      <c r="X244" s="120"/>
      <c r="Y244" s="118"/>
      <c r="Z244" s="118"/>
      <c r="AA244" s="118"/>
      <c r="AB244" s="149"/>
      <c r="AC244" s="142"/>
      <c r="AD244" s="39"/>
      <c r="AE244" s="39"/>
      <c r="AF244" s="39"/>
      <c r="AG244" s="39"/>
      <c r="AH244" s="39"/>
      <c r="AI244" s="39"/>
      <c r="AJ244" s="39"/>
      <c r="AK244" s="39"/>
      <c r="AL244" s="39"/>
    </row>
    <row r="245" spans="1:38" ht="14.1" customHeight="1" x14ac:dyDescent="0.25">
      <c r="A245" s="61"/>
      <c r="B245" s="6"/>
      <c r="C245" s="5"/>
      <c r="D245" s="5"/>
      <c r="E245" s="6"/>
      <c r="F245" s="5"/>
      <c r="G245" s="5"/>
      <c r="H245" s="6"/>
      <c r="I245" s="5"/>
      <c r="J245" s="5"/>
      <c r="K245" s="6"/>
      <c r="L245" s="5"/>
      <c r="M245" s="5"/>
      <c r="N245" s="98"/>
      <c r="O245" s="98"/>
      <c r="P245" s="120"/>
      <c r="Q245" s="133"/>
      <c r="R245" s="133"/>
      <c r="S245" s="133"/>
      <c r="T245" s="133"/>
      <c r="U245" s="133"/>
      <c r="V245" s="133"/>
      <c r="W245" s="120"/>
      <c r="X245" s="120"/>
      <c r="Y245" s="118"/>
      <c r="Z245" s="118"/>
      <c r="AA245" s="118"/>
      <c r="AB245" s="118"/>
      <c r="AC245" s="142"/>
      <c r="AD245" s="39"/>
      <c r="AE245" s="39"/>
      <c r="AF245" s="39"/>
      <c r="AG245" s="39"/>
      <c r="AH245" s="39"/>
      <c r="AI245" s="39"/>
      <c r="AJ245" s="39"/>
      <c r="AK245" s="39"/>
      <c r="AL245" s="39"/>
    </row>
    <row r="246" spans="1:38" s="35" customFormat="1" ht="14.1" customHeight="1" x14ac:dyDescent="0.25">
      <c r="A246" s="62" t="s">
        <v>9</v>
      </c>
      <c r="B246" s="9">
        <v>22881</v>
      </c>
      <c r="C246" s="15">
        <v>100</v>
      </c>
      <c r="D246" s="15"/>
      <c r="E246" s="9">
        <v>22291</v>
      </c>
      <c r="F246" s="96">
        <v>100</v>
      </c>
      <c r="G246" s="96"/>
      <c r="H246" s="95">
        <v>517</v>
      </c>
      <c r="I246" s="96">
        <v>100</v>
      </c>
      <c r="J246" s="96"/>
      <c r="K246" s="95">
        <v>73</v>
      </c>
      <c r="L246" s="96">
        <v>100</v>
      </c>
      <c r="M246" s="15"/>
      <c r="N246" s="96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118"/>
      <c r="Z246" s="118"/>
      <c r="AA246" s="118"/>
      <c r="AB246" s="149"/>
      <c r="AC246" s="142"/>
      <c r="AD246" s="39"/>
      <c r="AE246" s="39"/>
      <c r="AF246" s="39"/>
      <c r="AG246" s="39"/>
      <c r="AH246" s="39"/>
      <c r="AI246" s="39"/>
      <c r="AJ246" s="39"/>
      <c r="AK246" s="39"/>
      <c r="AL246" s="39"/>
    </row>
    <row r="247" spans="1:38" ht="14.1" customHeight="1" x14ac:dyDescent="0.25">
      <c r="A247" s="61" t="s">
        <v>57</v>
      </c>
      <c r="B247" s="6">
        <v>2368</v>
      </c>
      <c r="C247" s="5">
        <v>10.349198024561863</v>
      </c>
      <c r="D247" s="5"/>
      <c r="E247" s="6">
        <v>2312</v>
      </c>
      <c r="F247" s="5">
        <v>10.371898972679556</v>
      </c>
      <c r="G247" s="5"/>
      <c r="H247" s="6">
        <v>49</v>
      </c>
      <c r="I247" s="5">
        <v>9.4777562862669242</v>
      </c>
      <c r="J247" s="5"/>
      <c r="K247" s="6">
        <v>7</v>
      </c>
      <c r="L247" s="5">
        <v>9.5890410958904102</v>
      </c>
      <c r="M247" s="5"/>
      <c r="N247" s="98"/>
      <c r="O247" s="98"/>
      <c r="P247" s="120"/>
      <c r="Q247" s="133"/>
      <c r="R247" s="133"/>
      <c r="S247" s="133"/>
      <c r="T247" s="133"/>
      <c r="U247" s="133"/>
      <c r="V247" s="133"/>
      <c r="W247" s="120"/>
      <c r="X247" s="120"/>
      <c r="Y247" s="118"/>
      <c r="Z247" s="118"/>
      <c r="AA247" s="118"/>
      <c r="AB247" s="149"/>
      <c r="AC247" s="142"/>
      <c r="AD247" s="39"/>
      <c r="AE247" s="39"/>
      <c r="AF247" s="39"/>
      <c r="AG247" s="39"/>
      <c r="AH247" s="39"/>
      <c r="AI247" s="39"/>
      <c r="AJ247" s="39"/>
      <c r="AK247" s="39"/>
      <c r="AL247" s="39"/>
    </row>
    <row r="248" spans="1:38" ht="14.1" customHeight="1" x14ac:dyDescent="0.25">
      <c r="A248" s="61" t="s">
        <v>29</v>
      </c>
      <c r="B248" s="6">
        <v>2106</v>
      </c>
      <c r="C248" s="5">
        <v>9.2041431755605085</v>
      </c>
      <c r="D248" s="5"/>
      <c r="E248" s="6">
        <v>2025</v>
      </c>
      <c r="F248" s="5">
        <v>9.0843838320398369</v>
      </c>
      <c r="G248" s="5"/>
      <c r="H248" s="6">
        <v>80</v>
      </c>
      <c r="I248" s="5">
        <v>15.473887814313347</v>
      </c>
      <c r="J248" s="5"/>
      <c r="K248" s="6">
        <v>1</v>
      </c>
      <c r="L248" s="5">
        <v>1.3698630136986301</v>
      </c>
      <c r="M248" s="5"/>
      <c r="N248" s="98"/>
      <c r="O248" s="98"/>
      <c r="P248" s="120"/>
      <c r="Q248" s="133"/>
      <c r="R248" s="133"/>
      <c r="S248" s="133"/>
      <c r="T248" s="133"/>
      <c r="U248" s="133"/>
      <c r="V248" s="133"/>
      <c r="W248" s="120"/>
      <c r="X248" s="120"/>
      <c r="Y248" s="118"/>
      <c r="Z248" s="118"/>
      <c r="AA248" s="118"/>
      <c r="AB248" s="149"/>
      <c r="AC248" s="142"/>
      <c r="AD248" s="39"/>
      <c r="AE248" s="39"/>
      <c r="AF248" s="39"/>
      <c r="AG248" s="39"/>
      <c r="AH248" s="39"/>
      <c r="AI248" s="39"/>
      <c r="AJ248" s="39"/>
      <c r="AK248" s="39"/>
      <c r="AL248" s="39"/>
    </row>
    <row r="249" spans="1:38" ht="14.1" customHeight="1" x14ac:dyDescent="0.25">
      <c r="A249" s="61" t="s">
        <v>30</v>
      </c>
      <c r="B249" s="6">
        <v>1309</v>
      </c>
      <c r="C249" s="5">
        <v>5.7209038066518074</v>
      </c>
      <c r="D249" s="5"/>
      <c r="E249" s="6">
        <v>1282</v>
      </c>
      <c r="F249" s="5">
        <v>5.7512000358889237</v>
      </c>
      <c r="G249" s="5"/>
      <c r="H249" s="6">
        <v>21</v>
      </c>
      <c r="I249" s="5">
        <v>4.061895551257253</v>
      </c>
      <c r="J249" s="5"/>
      <c r="K249" s="6">
        <v>6</v>
      </c>
      <c r="L249" s="5">
        <v>8.2191780821917799</v>
      </c>
      <c r="M249" s="5"/>
      <c r="N249" s="98"/>
      <c r="O249" s="98"/>
      <c r="P249" s="120"/>
      <c r="Q249" s="133"/>
      <c r="R249" s="133"/>
      <c r="S249" s="133"/>
      <c r="T249" s="133"/>
      <c r="U249" s="133"/>
      <c r="V249" s="133"/>
      <c r="W249" s="120"/>
      <c r="X249" s="120"/>
      <c r="Y249" s="118"/>
      <c r="Z249" s="118"/>
      <c r="AA249" s="118"/>
      <c r="AB249" s="118"/>
      <c r="AC249" s="142"/>
      <c r="AD249" s="39"/>
      <c r="AE249" s="39"/>
      <c r="AF249" s="39"/>
      <c r="AG249" s="39"/>
      <c r="AH249" s="39"/>
      <c r="AI249" s="39"/>
      <c r="AJ249" s="39"/>
      <c r="AK249" s="39"/>
      <c r="AL249" s="39"/>
    </row>
    <row r="250" spans="1:38" ht="14.1" customHeight="1" x14ac:dyDescent="0.25">
      <c r="A250" s="61" t="s">
        <v>31</v>
      </c>
      <c r="B250" s="6">
        <v>43</v>
      </c>
      <c r="C250" s="5">
        <v>0.18792884926358114</v>
      </c>
      <c r="D250" s="5"/>
      <c r="E250" s="6">
        <v>42</v>
      </c>
      <c r="F250" s="5">
        <v>0.18841684984971513</v>
      </c>
      <c r="G250" s="5"/>
      <c r="H250" s="3" t="s">
        <v>96</v>
      </c>
      <c r="I250" s="3" t="s">
        <v>96</v>
      </c>
      <c r="J250" s="5"/>
      <c r="K250" s="6">
        <v>1</v>
      </c>
      <c r="L250" s="5">
        <v>1.3698630136986301</v>
      </c>
      <c r="M250" s="5"/>
      <c r="N250" s="98"/>
      <c r="O250" s="98"/>
      <c r="P250" s="120"/>
      <c r="Q250" s="133"/>
      <c r="R250" s="133"/>
      <c r="S250" s="133"/>
      <c r="T250" s="133"/>
      <c r="U250" s="133"/>
      <c r="V250" s="133"/>
      <c r="W250" s="120"/>
      <c r="X250" s="120"/>
      <c r="Y250" s="117"/>
      <c r="Z250" s="117"/>
      <c r="AA250" s="117"/>
      <c r="AB250" s="117"/>
      <c r="AC250" s="142"/>
      <c r="AD250" s="39"/>
      <c r="AE250" s="39"/>
      <c r="AF250" s="39"/>
      <c r="AG250" s="39"/>
      <c r="AH250" s="39"/>
      <c r="AI250" s="39"/>
      <c r="AJ250" s="39"/>
      <c r="AK250" s="39"/>
      <c r="AL250" s="39"/>
    </row>
    <row r="251" spans="1:38" ht="14.1" customHeight="1" x14ac:dyDescent="0.25">
      <c r="A251" s="61" t="s">
        <v>32</v>
      </c>
      <c r="B251" s="6">
        <v>298</v>
      </c>
      <c r="C251" s="5">
        <v>1.3023906297801668</v>
      </c>
      <c r="D251" s="5"/>
      <c r="E251" s="6">
        <v>287</v>
      </c>
      <c r="F251" s="5">
        <v>1.2875151406397201</v>
      </c>
      <c r="G251" s="5"/>
      <c r="H251" s="6">
        <v>10</v>
      </c>
      <c r="I251" s="5">
        <v>1.9342359767891684</v>
      </c>
      <c r="J251" s="5"/>
      <c r="K251" s="16">
        <v>1</v>
      </c>
      <c r="L251" s="16">
        <v>1.3698630136986301</v>
      </c>
      <c r="M251" s="16"/>
      <c r="N251" s="90"/>
      <c r="O251" s="98"/>
      <c r="P251" s="120"/>
      <c r="Q251" s="133"/>
      <c r="R251" s="133"/>
      <c r="S251" s="133"/>
      <c r="T251" s="133"/>
      <c r="U251" s="133"/>
      <c r="V251" s="133"/>
      <c r="W251" s="120"/>
      <c r="X251" s="120"/>
      <c r="Y251" s="117"/>
      <c r="Z251" s="118"/>
      <c r="AA251" s="118"/>
      <c r="AB251" s="118"/>
      <c r="AC251" s="142"/>
      <c r="AD251" s="39"/>
      <c r="AE251" s="39"/>
      <c r="AF251" s="39"/>
      <c r="AG251" s="39"/>
      <c r="AH251" s="39"/>
      <c r="AI251" s="39"/>
      <c r="AJ251" s="39"/>
      <c r="AK251" s="39"/>
      <c r="AL251" s="39"/>
    </row>
    <row r="252" spans="1:38" ht="14.1" customHeight="1" x14ac:dyDescent="0.25">
      <c r="A252" s="61" t="s">
        <v>33</v>
      </c>
      <c r="B252" s="6">
        <v>9280</v>
      </c>
      <c r="C252" s="5">
        <v>40.557667934093786</v>
      </c>
      <c r="D252" s="5"/>
      <c r="E252" s="6">
        <v>8962</v>
      </c>
      <c r="F252" s="5">
        <v>40.104566865551114</v>
      </c>
      <c r="G252" s="5"/>
      <c r="H252" s="6">
        <v>270</v>
      </c>
      <c r="I252" s="5">
        <v>52.12437137330754</v>
      </c>
      <c r="J252" s="5"/>
      <c r="K252" s="6">
        <v>48</v>
      </c>
      <c r="L252" s="5">
        <v>65.653424657534245</v>
      </c>
      <c r="M252" s="5"/>
      <c r="N252" s="98"/>
      <c r="O252" s="98"/>
      <c r="P252" s="120"/>
      <c r="Q252" s="133"/>
      <c r="R252" s="133"/>
      <c r="S252" s="133"/>
      <c r="T252" s="133"/>
      <c r="U252" s="133"/>
      <c r="V252" s="133"/>
      <c r="W252" s="120"/>
      <c r="X252" s="120"/>
      <c r="Y252" s="117"/>
      <c r="Z252" s="118"/>
      <c r="AA252" s="118"/>
      <c r="AB252" s="118"/>
      <c r="AC252" s="142"/>
      <c r="AD252" s="39"/>
      <c r="AE252" s="39"/>
      <c r="AF252" s="39"/>
      <c r="AG252" s="39"/>
      <c r="AH252" s="39"/>
      <c r="AI252" s="39"/>
      <c r="AJ252" s="39"/>
      <c r="AK252" s="39"/>
      <c r="AL252" s="39"/>
    </row>
    <row r="253" spans="1:38" ht="14.1" customHeight="1" x14ac:dyDescent="0.25">
      <c r="A253" s="61" t="s">
        <v>34</v>
      </c>
      <c r="B253" s="6">
        <v>1180</v>
      </c>
      <c r="C253" s="5">
        <v>5.1571172588610636</v>
      </c>
      <c r="D253" s="5"/>
      <c r="E253" s="6">
        <v>1123</v>
      </c>
      <c r="F253" s="5">
        <v>5.0379076757435737</v>
      </c>
      <c r="G253" s="5"/>
      <c r="H253" s="6">
        <v>48</v>
      </c>
      <c r="I253" s="5">
        <v>9.2843326885880089</v>
      </c>
      <c r="J253" s="5"/>
      <c r="K253" s="3">
        <v>9</v>
      </c>
      <c r="L253" s="16">
        <v>12.328767123287671</v>
      </c>
      <c r="M253" s="5"/>
      <c r="N253" s="98"/>
      <c r="O253" s="98"/>
      <c r="P253" s="120"/>
      <c r="Q253" s="133"/>
      <c r="R253" s="133"/>
      <c r="S253" s="133"/>
      <c r="T253" s="133"/>
      <c r="U253" s="133"/>
      <c r="V253" s="133"/>
      <c r="W253" s="120"/>
      <c r="X253" s="120"/>
      <c r="Y253" s="117"/>
      <c r="Z253" s="118"/>
      <c r="AA253" s="118"/>
      <c r="AB253" s="118"/>
      <c r="AC253" s="142"/>
      <c r="AD253" s="39"/>
      <c r="AE253" s="39"/>
      <c r="AF253" s="39"/>
      <c r="AG253" s="39"/>
      <c r="AH253" s="39"/>
      <c r="AI253" s="39"/>
      <c r="AJ253" s="39"/>
      <c r="AK253" s="39"/>
      <c r="AL253" s="39"/>
    </row>
    <row r="254" spans="1:38" ht="14.1" customHeight="1" x14ac:dyDescent="0.25">
      <c r="A254" s="61" t="s">
        <v>68</v>
      </c>
      <c r="B254" s="6">
        <v>387</v>
      </c>
      <c r="C254" s="5">
        <v>1.69135964337223</v>
      </c>
      <c r="D254" s="5"/>
      <c r="E254" s="6">
        <v>380</v>
      </c>
      <c r="F254" s="5">
        <v>1.7047238795926609</v>
      </c>
      <c r="G254" s="5"/>
      <c r="H254" s="6">
        <v>7</v>
      </c>
      <c r="I254" s="5">
        <v>1.3539651837524178</v>
      </c>
      <c r="J254" s="5"/>
      <c r="K254" s="3" t="s">
        <v>96</v>
      </c>
      <c r="L254" s="3" t="s">
        <v>96</v>
      </c>
      <c r="M254" s="5"/>
      <c r="N254" s="98"/>
      <c r="O254" s="98"/>
      <c r="P254" s="120"/>
      <c r="Q254" s="133"/>
      <c r="R254" s="133"/>
      <c r="S254" s="133"/>
      <c r="T254" s="133"/>
      <c r="U254" s="133"/>
      <c r="V254" s="133"/>
      <c r="W254" s="120"/>
      <c r="X254" s="120"/>
      <c r="Y254" s="117"/>
      <c r="Z254" s="118"/>
      <c r="AA254" s="118"/>
      <c r="AB254" s="118"/>
      <c r="AC254" s="142"/>
      <c r="AD254" s="39"/>
      <c r="AE254" s="39"/>
      <c r="AF254" s="39"/>
      <c r="AG254" s="39"/>
      <c r="AH254" s="39"/>
      <c r="AI254" s="39"/>
      <c r="AJ254" s="39"/>
      <c r="AK254" s="39"/>
      <c r="AL254" s="39"/>
    </row>
    <row r="255" spans="1:38" ht="14.1" customHeight="1" x14ac:dyDescent="0.25">
      <c r="A255" s="61" t="s">
        <v>69</v>
      </c>
      <c r="B255" s="6">
        <v>2384</v>
      </c>
      <c r="C255" s="5">
        <v>10.419125038241335</v>
      </c>
      <c r="D255" s="5"/>
      <c r="E255" s="6">
        <v>2379</v>
      </c>
      <c r="F255" s="5">
        <v>10.67246870934458</v>
      </c>
      <c r="G255" s="5"/>
      <c r="H255" s="6">
        <v>5</v>
      </c>
      <c r="I255" s="5">
        <v>0.96711798839458418</v>
      </c>
      <c r="J255" s="5"/>
      <c r="K255" s="3" t="s">
        <v>96</v>
      </c>
      <c r="L255" s="3" t="s">
        <v>96</v>
      </c>
      <c r="M255" s="5"/>
      <c r="N255" s="98"/>
      <c r="O255" s="98"/>
      <c r="P255" s="120"/>
      <c r="Q255" s="133"/>
      <c r="R255" s="133"/>
      <c r="S255" s="133"/>
      <c r="T255" s="133"/>
      <c r="U255" s="133"/>
      <c r="V255" s="133"/>
      <c r="W255" s="120"/>
      <c r="X255" s="120"/>
      <c r="Y255" s="117"/>
      <c r="Z255" s="118"/>
      <c r="AA255" s="118"/>
      <c r="AB255" s="118"/>
      <c r="AC255" s="142"/>
      <c r="AD255" s="39"/>
      <c r="AE255" s="39"/>
      <c r="AF255" s="39"/>
      <c r="AG255" s="39"/>
      <c r="AH255" s="39"/>
      <c r="AI255" s="39"/>
      <c r="AJ255" s="39"/>
      <c r="AK255" s="39"/>
      <c r="AL255" s="39"/>
    </row>
    <row r="256" spans="1:38" ht="14.1" customHeight="1" x14ac:dyDescent="0.25">
      <c r="A256" s="61" t="s">
        <v>35</v>
      </c>
      <c r="B256" s="6">
        <v>269</v>
      </c>
      <c r="C256" s="5">
        <v>1.1756479174861239</v>
      </c>
      <c r="D256" s="5"/>
      <c r="E256" s="6">
        <v>266</v>
      </c>
      <c r="F256" s="5">
        <v>1.1933067157148625</v>
      </c>
      <c r="G256" s="5"/>
      <c r="H256" s="6">
        <v>3</v>
      </c>
      <c r="I256" s="5">
        <v>0.58027079303675055</v>
      </c>
      <c r="J256" s="5"/>
      <c r="K256" s="3" t="s">
        <v>96</v>
      </c>
      <c r="L256" s="16" t="s">
        <v>96</v>
      </c>
      <c r="M256" s="5"/>
      <c r="N256" s="98"/>
      <c r="O256" s="98"/>
      <c r="P256" s="120"/>
      <c r="Q256" s="133"/>
      <c r="R256" s="133"/>
      <c r="S256" s="133"/>
      <c r="T256" s="133"/>
      <c r="U256" s="133"/>
      <c r="V256" s="133"/>
      <c r="W256" s="120"/>
      <c r="X256" s="120"/>
      <c r="Y256" s="117"/>
      <c r="Z256" s="118"/>
      <c r="AA256" s="118"/>
      <c r="AB256" s="118"/>
      <c r="AC256" s="142"/>
      <c r="AD256" s="39"/>
      <c r="AE256" s="39"/>
      <c r="AF256" s="39"/>
      <c r="AG256" s="39"/>
      <c r="AH256" s="39"/>
      <c r="AI256" s="39"/>
      <c r="AJ256" s="39"/>
      <c r="AK256" s="39"/>
      <c r="AL256" s="39"/>
    </row>
    <row r="257" spans="1:38" ht="14.1" customHeight="1" x14ac:dyDescent="0.25">
      <c r="A257" s="61" t="s">
        <v>36</v>
      </c>
      <c r="B257" s="6">
        <v>1361</v>
      </c>
      <c r="C257" s="5">
        <v>5.9481666011100911</v>
      </c>
      <c r="D257" s="5"/>
      <c r="E257" s="6">
        <v>1346</v>
      </c>
      <c r="F257" s="5">
        <v>6.0383114261361088</v>
      </c>
      <c r="G257" s="5"/>
      <c r="H257" s="6">
        <v>15</v>
      </c>
      <c r="I257" s="5">
        <v>2.9013539651837523</v>
      </c>
      <c r="J257" s="5"/>
      <c r="K257" s="3" t="s">
        <v>96</v>
      </c>
      <c r="L257" s="16" t="s">
        <v>96</v>
      </c>
      <c r="M257" s="5"/>
      <c r="N257" s="98"/>
      <c r="O257" s="98"/>
      <c r="P257" s="120"/>
      <c r="Q257" s="133"/>
      <c r="R257" s="133"/>
      <c r="S257" s="133"/>
      <c r="T257" s="133"/>
      <c r="U257" s="133"/>
      <c r="V257" s="133"/>
      <c r="W257" s="120"/>
      <c r="X257" s="120"/>
      <c r="Y257" s="117"/>
      <c r="Z257" s="118"/>
      <c r="AA257" s="118"/>
      <c r="AB257" s="118"/>
      <c r="AC257" s="142"/>
      <c r="AD257" s="39"/>
      <c r="AE257" s="39"/>
      <c r="AF257" s="39"/>
      <c r="AG257" s="39"/>
      <c r="AH257" s="39"/>
      <c r="AI257" s="39"/>
      <c r="AJ257" s="39"/>
      <c r="AK257" s="39"/>
      <c r="AL257" s="39"/>
    </row>
    <row r="258" spans="1:38" ht="14.1" customHeight="1" x14ac:dyDescent="0.25">
      <c r="A258" s="61" t="s">
        <v>37</v>
      </c>
      <c r="B258" s="6">
        <v>1896</v>
      </c>
      <c r="C258" s="5">
        <v>8.2863511210174376</v>
      </c>
      <c r="D258" s="5"/>
      <c r="E258" s="6">
        <v>1887</v>
      </c>
      <c r="F258" s="5">
        <v>8.465299896819344</v>
      </c>
      <c r="G258" s="5"/>
      <c r="H258" s="6">
        <v>9</v>
      </c>
      <c r="I258" s="5">
        <v>1.7408123791102514</v>
      </c>
      <c r="J258" s="5"/>
      <c r="K258" s="3" t="s">
        <v>96</v>
      </c>
      <c r="L258" s="3" t="s">
        <v>96</v>
      </c>
      <c r="M258" s="5"/>
      <c r="N258" s="98"/>
      <c r="O258" s="98"/>
      <c r="P258" s="120"/>
      <c r="Q258" s="133"/>
      <c r="R258" s="133"/>
      <c r="S258" s="133"/>
      <c r="T258" s="133"/>
      <c r="U258" s="133"/>
      <c r="V258" s="133"/>
      <c r="W258" s="120"/>
      <c r="X258" s="120"/>
      <c r="Y258" s="117"/>
      <c r="Z258" s="118"/>
      <c r="AA258" s="118"/>
      <c r="AB258" s="118"/>
      <c r="AC258" s="142"/>
      <c r="AD258" s="39"/>
      <c r="AE258" s="39"/>
      <c r="AF258" s="39"/>
      <c r="AG258" s="39"/>
      <c r="AH258" s="39"/>
      <c r="AI258" s="39"/>
      <c r="AJ258" s="39"/>
      <c r="AK258" s="39"/>
      <c r="AL258" s="39"/>
    </row>
    <row r="259" spans="1:38" ht="14.1" customHeight="1" x14ac:dyDescent="0.25">
      <c r="A259" s="61"/>
      <c r="B259" s="6"/>
      <c r="C259" s="5"/>
      <c r="D259" s="5"/>
      <c r="E259" s="6"/>
      <c r="F259" s="5"/>
      <c r="G259" s="5"/>
      <c r="H259" s="6"/>
      <c r="I259" s="5"/>
      <c r="J259" s="5"/>
      <c r="K259" s="6"/>
      <c r="L259" s="5"/>
      <c r="M259" s="5"/>
      <c r="N259" s="98"/>
      <c r="O259" s="98"/>
      <c r="P259" s="120"/>
      <c r="Q259" s="133"/>
      <c r="R259" s="133"/>
      <c r="S259" s="133"/>
      <c r="T259" s="133"/>
      <c r="U259" s="133"/>
      <c r="V259" s="133"/>
      <c r="W259" s="120"/>
      <c r="X259" s="120"/>
      <c r="Y259" s="118"/>
      <c r="Z259" s="118"/>
      <c r="AA259" s="118"/>
      <c r="AB259" s="118"/>
      <c r="AC259" s="142"/>
      <c r="AD259" s="39"/>
      <c r="AE259" s="39"/>
      <c r="AF259" s="39"/>
      <c r="AG259" s="39"/>
      <c r="AH259" s="39"/>
      <c r="AI259" s="39"/>
      <c r="AJ259" s="39"/>
      <c r="AK259" s="39"/>
      <c r="AL259" s="39"/>
    </row>
    <row r="260" spans="1:38" s="35" customFormat="1" ht="14.1" customHeight="1" x14ac:dyDescent="0.25">
      <c r="A260" s="62" t="s">
        <v>8</v>
      </c>
      <c r="B260" s="9">
        <v>18607</v>
      </c>
      <c r="C260" s="15">
        <v>100</v>
      </c>
      <c r="D260" s="15"/>
      <c r="E260" s="9">
        <v>18260</v>
      </c>
      <c r="F260" s="96">
        <v>100</v>
      </c>
      <c r="G260" s="96"/>
      <c r="H260" s="95">
        <v>313</v>
      </c>
      <c r="I260" s="96">
        <v>100</v>
      </c>
      <c r="J260" s="15"/>
      <c r="K260" s="9">
        <v>34</v>
      </c>
      <c r="L260" s="15">
        <v>100</v>
      </c>
      <c r="M260" s="15"/>
      <c r="N260" s="96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117"/>
      <c r="Z260" s="118"/>
      <c r="AA260" s="118"/>
      <c r="AB260" s="118"/>
      <c r="AC260" s="142"/>
      <c r="AD260" s="39"/>
      <c r="AE260" s="39"/>
      <c r="AF260" s="39"/>
      <c r="AG260" s="39"/>
      <c r="AH260" s="39"/>
      <c r="AI260" s="39"/>
      <c r="AJ260" s="39"/>
      <c r="AK260" s="39"/>
      <c r="AL260" s="39"/>
    </row>
    <row r="261" spans="1:38" ht="14.1" customHeight="1" x14ac:dyDescent="0.25">
      <c r="A261" s="61" t="s">
        <v>57</v>
      </c>
      <c r="B261" s="6">
        <v>212</v>
      </c>
      <c r="C261" s="5">
        <v>1.139356156285269</v>
      </c>
      <c r="D261" s="5"/>
      <c r="E261" s="6">
        <v>207</v>
      </c>
      <c r="F261" s="5">
        <v>1.1336254107338444</v>
      </c>
      <c r="G261" s="5"/>
      <c r="H261" s="6">
        <v>4</v>
      </c>
      <c r="I261" s="5">
        <v>1.2779552715654952</v>
      </c>
      <c r="J261" s="5"/>
      <c r="K261" s="6">
        <v>1</v>
      </c>
      <c r="L261" s="5">
        <v>2.9411764705882351</v>
      </c>
      <c r="M261" s="5"/>
      <c r="N261" s="98"/>
      <c r="O261" s="98"/>
      <c r="P261" s="120"/>
      <c r="Q261" s="133"/>
      <c r="R261" s="133"/>
      <c r="S261" s="133"/>
      <c r="T261" s="133"/>
      <c r="U261" s="133"/>
      <c r="V261" s="133"/>
      <c r="W261" s="120"/>
      <c r="X261" s="120"/>
      <c r="Y261" s="117"/>
      <c r="Z261" s="118"/>
      <c r="AA261" s="118"/>
      <c r="AB261" s="118"/>
      <c r="AC261" s="142"/>
      <c r="AD261" s="39"/>
      <c r="AE261" s="39"/>
      <c r="AF261" s="39"/>
      <c r="AG261" s="39"/>
      <c r="AH261" s="39"/>
      <c r="AI261" s="39"/>
      <c r="AJ261" s="39"/>
      <c r="AK261" s="39"/>
      <c r="AL261" s="39"/>
    </row>
    <row r="262" spans="1:38" ht="14.1" customHeight="1" x14ac:dyDescent="0.25">
      <c r="A262" s="61" t="s">
        <v>29</v>
      </c>
      <c r="B262" s="6">
        <v>120</v>
      </c>
      <c r="C262" s="5">
        <v>0.64491857902939753</v>
      </c>
      <c r="D262" s="5"/>
      <c r="E262" s="6">
        <v>114</v>
      </c>
      <c r="F262" s="5">
        <v>0.62431544359255209</v>
      </c>
      <c r="G262" s="5"/>
      <c r="H262" s="6">
        <v>6</v>
      </c>
      <c r="I262" s="5">
        <v>1.9169329073482428</v>
      </c>
      <c r="J262" s="5"/>
      <c r="K262" s="3" t="s">
        <v>96</v>
      </c>
      <c r="L262" s="3" t="s">
        <v>96</v>
      </c>
      <c r="M262" s="5"/>
      <c r="N262" s="98"/>
      <c r="O262" s="98"/>
      <c r="P262" s="120"/>
      <c r="Q262" s="133"/>
      <c r="R262" s="133"/>
      <c r="S262" s="133"/>
      <c r="T262" s="133"/>
      <c r="U262" s="133"/>
      <c r="V262" s="133"/>
      <c r="W262" s="120"/>
      <c r="X262" s="120"/>
      <c r="Y262" s="117"/>
      <c r="Z262" s="118"/>
      <c r="AA262" s="118"/>
      <c r="AB262" s="118"/>
      <c r="AC262" s="142"/>
      <c r="AD262" s="39"/>
      <c r="AE262" s="39"/>
      <c r="AF262" s="39"/>
      <c r="AG262" s="39"/>
      <c r="AH262" s="39"/>
      <c r="AI262" s="39"/>
      <c r="AJ262" s="39"/>
      <c r="AK262" s="39"/>
      <c r="AL262" s="39"/>
    </row>
    <row r="263" spans="1:38" ht="14.1" customHeight="1" x14ac:dyDescent="0.25">
      <c r="A263" s="61" t="s">
        <v>30</v>
      </c>
      <c r="B263" s="6">
        <v>1072</v>
      </c>
      <c r="C263" s="5">
        <v>5.7612726393292846</v>
      </c>
      <c r="D263" s="5"/>
      <c r="E263" s="6">
        <v>1044</v>
      </c>
      <c r="F263" s="5">
        <v>5.7174151150054771</v>
      </c>
      <c r="G263" s="5"/>
      <c r="H263" s="6">
        <v>27</v>
      </c>
      <c r="I263" s="5">
        <v>8.6261980830670915</v>
      </c>
      <c r="J263" s="5"/>
      <c r="K263" s="6">
        <v>1</v>
      </c>
      <c r="L263" s="5">
        <v>2.9411764705882351</v>
      </c>
      <c r="M263" s="5"/>
      <c r="N263" s="98"/>
      <c r="O263" s="98"/>
      <c r="P263" s="120"/>
      <c r="Q263" s="133"/>
      <c r="R263" s="133"/>
      <c r="S263" s="133"/>
      <c r="T263" s="133"/>
      <c r="U263" s="133"/>
      <c r="V263" s="133"/>
      <c r="W263" s="120"/>
      <c r="X263" s="120"/>
      <c r="Y263" s="117"/>
      <c r="Z263" s="118"/>
      <c r="AA263" s="118"/>
      <c r="AB263" s="118"/>
      <c r="AC263" s="142"/>
      <c r="AD263" s="39"/>
      <c r="AE263" s="39"/>
      <c r="AF263" s="39"/>
      <c r="AG263" s="39"/>
      <c r="AH263" s="39"/>
      <c r="AI263" s="39"/>
      <c r="AJ263" s="39"/>
      <c r="AK263" s="39"/>
      <c r="AL263" s="39"/>
    </row>
    <row r="264" spans="1:38" ht="14.1" customHeight="1" x14ac:dyDescent="0.25">
      <c r="A264" s="61" t="s">
        <v>31</v>
      </c>
      <c r="B264" s="6">
        <v>50</v>
      </c>
      <c r="C264" s="5">
        <v>0.26871607459558233</v>
      </c>
      <c r="D264" s="5"/>
      <c r="E264" s="6">
        <v>45</v>
      </c>
      <c r="F264" s="5">
        <v>0.24644030668127057</v>
      </c>
      <c r="G264" s="5"/>
      <c r="H264" s="6">
        <v>2</v>
      </c>
      <c r="I264" s="5">
        <v>0.63897763578274758</v>
      </c>
      <c r="J264" s="5"/>
      <c r="K264" s="6">
        <v>3</v>
      </c>
      <c r="L264" s="5">
        <v>8.8235294117647065</v>
      </c>
      <c r="M264" s="5"/>
      <c r="N264" s="98"/>
      <c r="O264" s="98"/>
      <c r="P264" s="120"/>
      <c r="Q264" s="133"/>
      <c r="R264" s="133"/>
      <c r="S264" s="133"/>
      <c r="T264" s="133"/>
      <c r="U264" s="133"/>
      <c r="V264" s="133"/>
      <c r="W264" s="120"/>
      <c r="X264" s="120"/>
      <c r="Y264" s="118"/>
      <c r="Z264" s="118"/>
      <c r="AA264" s="118"/>
      <c r="AB264" s="118"/>
      <c r="AC264" s="142"/>
      <c r="AD264" s="39"/>
      <c r="AE264" s="39"/>
      <c r="AF264" s="39"/>
      <c r="AG264" s="39"/>
      <c r="AH264" s="39"/>
      <c r="AI264" s="39"/>
      <c r="AJ264" s="39"/>
      <c r="AK264" s="39"/>
      <c r="AL264" s="39"/>
    </row>
    <row r="265" spans="1:38" ht="14.1" customHeight="1" x14ac:dyDescent="0.25">
      <c r="A265" s="61" t="s">
        <v>32</v>
      </c>
      <c r="B265" s="6">
        <v>458</v>
      </c>
      <c r="C265" s="5">
        <v>2.4614392432955339</v>
      </c>
      <c r="D265" s="5"/>
      <c r="E265" s="6">
        <v>438</v>
      </c>
      <c r="F265" s="5">
        <v>2.3986856516977002</v>
      </c>
      <c r="G265" s="5"/>
      <c r="H265" s="6">
        <v>15</v>
      </c>
      <c r="I265" s="5">
        <v>4.7923322683706067</v>
      </c>
      <c r="J265" s="5"/>
      <c r="K265" s="6">
        <v>5</v>
      </c>
      <c r="L265" s="5">
        <v>14.705882352941178</v>
      </c>
      <c r="M265" s="5"/>
      <c r="N265" s="98"/>
      <c r="O265" s="98"/>
      <c r="P265" s="120"/>
      <c r="Q265" s="133"/>
      <c r="R265" s="133"/>
      <c r="S265" s="133"/>
      <c r="T265" s="133"/>
      <c r="U265" s="133"/>
      <c r="V265" s="133"/>
      <c r="W265" s="120"/>
      <c r="X265" s="120"/>
      <c r="Y265" s="117"/>
      <c r="Z265" s="117"/>
      <c r="AA265" s="117"/>
      <c r="AB265" s="117"/>
      <c r="AC265" s="142"/>
      <c r="AD265" s="39"/>
      <c r="AE265" s="39"/>
      <c r="AF265" s="39"/>
      <c r="AG265" s="39"/>
      <c r="AH265" s="39"/>
      <c r="AI265" s="39"/>
      <c r="AJ265" s="39"/>
      <c r="AK265" s="39"/>
      <c r="AL265" s="39"/>
    </row>
    <row r="266" spans="1:38" ht="14.1" customHeight="1" x14ac:dyDescent="0.25">
      <c r="A266" s="61" t="s">
        <v>33</v>
      </c>
      <c r="B266" s="6">
        <v>7567</v>
      </c>
      <c r="C266" s="5">
        <v>40.667490729295423</v>
      </c>
      <c r="D266" s="5"/>
      <c r="E266" s="6">
        <v>7415</v>
      </c>
      <c r="F266" s="5">
        <v>40.607886089813796</v>
      </c>
      <c r="G266" s="5"/>
      <c r="H266" s="6">
        <v>141</v>
      </c>
      <c r="I266" s="5">
        <v>45.14792332268371</v>
      </c>
      <c r="J266" s="5"/>
      <c r="K266" s="6">
        <v>11</v>
      </c>
      <c r="L266" s="5">
        <v>32.352941176470587</v>
      </c>
      <c r="M266" s="5"/>
      <c r="N266" s="98"/>
      <c r="O266" s="98"/>
      <c r="P266" s="120"/>
      <c r="Q266" s="133"/>
      <c r="R266" s="133"/>
      <c r="S266" s="133"/>
      <c r="T266" s="133"/>
      <c r="U266" s="133"/>
      <c r="V266" s="133"/>
      <c r="W266" s="120"/>
      <c r="X266" s="120"/>
      <c r="Y266" s="117"/>
      <c r="Z266" s="118"/>
      <c r="AA266" s="118"/>
      <c r="AB266" s="118"/>
      <c r="AC266" s="142"/>
      <c r="AD266" s="39"/>
      <c r="AE266" s="39"/>
      <c r="AF266" s="39"/>
      <c r="AG266" s="39"/>
      <c r="AH266" s="39"/>
      <c r="AI266" s="39"/>
      <c r="AJ266" s="39"/>
      <c r="AK266" s="39"/>
      <c r="AL266" s="39"/>
    </row>
    <row r="267" spans="1:38" ht="14.1" customHeight="1" x14ac:dyDescent="0.25">
      <c r="A267" s="61" t="s">
        <v>34</v>
      </c>
      <c r="B267" s="6">
        <v>1218</v>
      </c>
      <c r="C267" s="5">
        <v>6.5459235771483852</v>
      </c>
      <c r="D267" s="5"/>
      <c r="E267" s="6">
        <v>1168</v>
      </c>
      <c r="F267" s="5">
        <v>6.3964950711938666</v>
      </c>
      <c r="G267" s="5"/>
      <c r="H267" s="6">
        <v>46</v>
      </c>
      <c r="I267" s="5">
        <v>14.696485623003195</v>
      </c>
      <c r="J267" s="5"/>
      <c r="K267" s="6">
        <v>4</v>
      </c>
      <c r="L267" s="5">
        <v>11.76470588235294</v>
      </c>
      <c r="M267" s="5"/>
      <c r="N267" s="98"/>
      <c r="O267" s="98"/>
      <c r="P267" s="120"/>
      <c r="Q267" s="133"/>
      <c r="R267" s="133"/>
      <c r="S267" s="133"/>
      <c r="T267" s="133"/>
      <c r="U267" s="133"/>
      <c r="V267" s="133"/>
      <c r="W267" s="120"/>
      <c r="X267" s="120"/>
      <c r="Y267" s="117"/>
      <c r="Z267" s="118"/>
      <c r="AA267" s="118"/>
      <c r="AB267" s="118"/>
      <c r="AC267" s="142"/>
      <c r="AD267" s="39"/>
      <c r="AE267" s="39"/>
      <c r="AF267" s="39"/>
      <c r="AG267" s="39"/>
      <c r="AH267" s="39"/>
      <c r="AI267" s="39"/>
      <c r="AJ267" s="39"/>
      <c r="AK267" s="39"/>
      <c r="AL267" s="39"/>
    </row>
    <row r="268" spans="1:38" ht="14.1" customHeight="1" x14ac:dyDescent="0.25">
      <c r="A268" s="61" t="s">
        <v>68</v>
      </c>
      <c r="B268" s="6">
        <v>319</v>
      </c>
      <c r="C268" s="5">
        <v>1.7144085559198152</v>
      </c>
      <c r="D268" s="5"/>
      <c r="E268" s="6">
        <v>315</v>
      </c>
      <c r="F268" s="5">
        <v>1.7250821467688939</v>
      </c>
      <c r="G268" s="5"/>
      <c r="H268" s="6">
        <v>4</v>
      </c>
      <c r="I268" s="5">
        <v>1.2779552715654952</v>
      </c>
      <c r="J268" s="5"/>
      <c r="K268" s="3" t="s">
        <v>96</v>
      </c>
      <c r="L268" s="3" t="s">
        <v>96</v>
      </c>
      <c r="M268" s="6"/>
      <c r="N268" s="97"/>
      <c r="O268" s="98"/>
      <c r="P268" s="120"/>
      <c r="Q268" s="133"/>
      <c r="R268" s="133"/>
      <c r="S268" s="133"/>
      <c r="T268" s="133"/>
      <c r="U268" s="133"/>
      <c r="V268" s="133"/>
      <c r="W268" s="120"/>
      <c r="X268" s="120"/>
      <c r="Y268" s="117"/>
      <c r="Z268" s="118"/>
      <c r="AA268" s="118"/>
      <c r="AB268" s="118"/>
      <c r="AC268" s="142"/>
      <c r="AD268" s="39"/>
      <c r="AE268" s="39"/>
      <c r="AF268" s="39"/>
      <c r="AG268" s="39"/>
      <c r="AH268" s="39"/>
      <c r="AI268" s="39"/>
      <c r="AJ268" s="39"/>
      <c r="AK268" s="39"/>
      <c r="AL268" s="39"/>
    </row>
    <row r="269" spans="1:38" ht="14.1" customHeight="1" x14ac:dyDescent="0.25">
      <c r="A269" s="61" t="s">
        <v>69</v>
      </c>
      <c r="B269" s="6">
        <v>1979</v>
      </c>
      <c r="C269" s="5">
        <v>10.635782232493147</v>
      </c>
      <c r="D269" s="5"/>
      <c r="E269" s="6">
        <v>1973</v>
      </c>
      <c r="F269" s="5">
        <v>10.905038335158817</v>
      </c>
      <c r="G269" s="5"/>
      <c r="H269" s="6">
        <v>6</v>
      </c>
      <c r="I269" s="5">
        <v>1.9169329073482428</v>
      </c>
      <c r="J269" s="5"/>
      <c r="K269" s="3" t="s">
        <v>96</v>
      </c>
      <c r="L269" s="3" t="s">
        <v>96</v>
      </c>
      <c r="M269" s="5"/>
      <c r="N269" s="98"/>
      <c r="O269" s="98"/>
      <c r="P269" s="120"/>
      <c r="Q269" s="133"/>
      <c r="R269" s="133"/>
      <c r="S269" s="133"/>
      <c r="T269" s="133"/>
      <c r="U269" s="133"/>
      <c r="V269" s="133"/>
      <c r="W269" s="120"/>
      <c r="X269" s="120"/>
      <c r="Y269" s="117"/>
      <c r="Z269" s="118"/>
      <c r="AA269" s="118"/>
      <c r="AB269" s="118"/>
      <c r="AC269" s="142"/>
      <c r="AD269" s="39"/>
      <c r="AE269" s="39"/>
      <c r="AF269" s="39"/>
      <c r="AG269" s="39"/>
      <c r="AH269" s="39"/>
      <c r="AI269" s="39"/>
      <c r="AJ269" s="39"/>
      <c r="AK269" s="39"/>
      <c r="AL269" s="39"/>
    </row>
    <row r="270" spans="1:38" ht="14.1" customHeight="1" x14ac:dyDescent="0.25">
      <c r="A270" s="61" t="s">
        <v>35</v>
      </c>
      <c r="B270" s="6">
        <v>293</v>
      </c>
      <c r="C270" s="5">
        <v>1.5746761971301124</v>
      </c>
      <c r="D270" s="5"/>
      <c r="E270" s="6">
        <v>289</v>
      </c>
      <c r="F270" s="5">
        <v>1.5826944140197152</v>
      </c>
      <c r="G270" s="5"/>
      <c r="H270" s="6">
        <v>4</v>
      </c>
      <c r="I270" s="5">
        <v>1.2779552715654952</v>
      </c>
      <c r="J270" s="5"/>
      <c r="K270" s="3" t="s">
        <v>96</v>
      </c>
      <c r="L270" s="3" t="s">
        <v>96</v>
      </c>
      <c r="M270" s="5"/>
      <c r="N270" s="98"/>
      <c r="O270" s="98"/>
      <c r="P270" s="120"/>
      <c r="Q270" s="133"/>
      <c r="R270" s="133"/>
      <c r="S270" s="133"/>
      <c r="T270" s="133"/>
      <c r="U270" s="133"/>
      <c r="V270" s="133"/>
      <c r="W270" s="120"/>
      <c r="X270" s="120"/>
      <c r="Y270" s="117"/>
      <c r="Z270" s="118"/>
      <c r="AA270" s="118"/>
      <c r="AB270" s="118"/>
      <c r="AC270" s="142"/>
      <c r="AD270" s="39"/>
      <c r="AE270" s="39"/>
      <c r="AF270" s="39"/>
      <c r="AG270" s="39"/>
      <c r="AH270" s="39"/>
      <c r="AI270" s="39"/>
      <c r="AJ270" s="39"/>
      <c r="AK270" s="39"/>
      <c r="AL270" s="39"/>
    </row>
    <row r="271" spans="1:38" ht="14.1" customHeight="1" x14ac:dyDescent="0.25">
      <c r="A271" s="61" t="s">
        <v>36</v>
      </c>
      <c r="B271" s="6">
        <v>2120</v>
      </c>
      <c r="C271" s="5">
        <v>11.393561562852691</v>
      </c>
      <c r="D271" s="5"/>
      <c r="E271" s="6">
        <v>2080</v>
      </c>
      <c r="F271" s="5">
        <v>11.391018619934282</v>
      </c>
      <c r="G271" s="5"/>
      <c r="H271" s="6">
        <v>38</v>
      </c>
      <c r="I271" s="5">
        <v>12.140575079872203</v>
      </c>
      <c r="J271" s="5"/>
      <c r="K271" s="6">
        <v>2</v>
      </c>
      <c r="L271" s="5">
        <v>5.8823529411764701</v>
      </c>
      <c r="M271" s="5"/>
      <c r="N271" s="98"/>
      <c r="O271" s="98"/>
      <c r="P271" s="120"/>
      <c r="Q271" s="133"/>
      <c r="R271" s="133"/>
      <c r="S271" s="133"/>
      <c r="T271" s="133"/>
      <c r="U271" s="133"/>
      <c r="V271" s="133"/>
      <c r="W271" s="120"/>
      <c r="X271" s="120"/>
      <c r="Y271" s="117"/>
      <c r="Z271" s="118"/>
      <c r="AA271" s="118"/>
      <c r="AB271" s="118"/>
      <c r="AC271" s="142"/>
      <c r="AD271" s="39"/>
      <c r="AE271" s="39"/>
      <c r="AF271" s="39"/>
      <c r="AG271" s="39"/>
      <c r="AH271" s="39"/>
      <c r="AI271" s="39"/>
      <c r="AJ271" s="39"/>
      <c r="AK271" s="39"/>
      <c r="AL271" s="39"/>
    </row>
    <row r="272" spans="1:38" ht="14.1" customHeight="1" x14ac:dyDescent="0.25">
      <c r="A272" s="61" t="s">
        <v>37</v>
      </c>
      <c r="B272" s="6">
        <v>3199</v>
      </c>
      <c r="C272" s="5">
        <v>17.192454452625356</v>
      </c>
      <c r="D272" s="5"/>
      <c r="E272" s="6">
        <v>3172</v>
      </c>
      <c r="F272" s="5">
        <v>17.371303395399782</v>
      </c>
      <c r="G272" s="5"/>
      <c r="H272" s="6">
        <v>20</v>
      </c>
      <c r="I272" s="5">
        <v>6.3897763578274756</v>
      </c>
      <c r="J272" s="5"/>
      <c r="K272" s="6">
        <v>7</v>
      </c>
      <c r="L272" s="5">
        <v>20.588235294117645</v>
      </c>
      <c r="M272" s="5"/>
      <c r="N272" s="98"/>
      <c r="O272" s="98"/>
      <c r="P272" s="120"/>
      <c r="Q272" s="133"/>
      <c r="R272" s="133"/>
      <c r="S272" s="133"/>
      <c r="T272" s="133"/>
      <c r="U272" s="133"/>
      <c r="V272" s="133"/>
      <c r="W272" s="120"/>
      <c r="X272" s="120"/>
      <c r="Y272" s="117"/>
      <c r="Z272" s="118"/>
      <c r="AA272" s="118"/>
      <c r="AB272" s="118"/>
      <c r="AC272" s="142"/>
      <c r="AD272" s="39"/>
      <c r="AE272" s="39"/>
      <c r="AF272" s="39"/>
      <c r="AG272" s="39"/>
      <c r="AH272" s="39"/>
      <c r="AI272" s="39"/>
      <c r="AJ272" s="39"/>
      <c r="AK272" s="39"/>
      <c r="AL272" s="39"/>
    </row>
    <row r="273" spans="1:38" ht="14.1" customHeight="1" x14ac:dyDescent="0.25">
      <c r="A273" s="61"/>
      <c r="B273" s="6"/>
      <c r="C273" s="5"/>
      <c r="D273" s="5"/>
      <c r="E273" s="6"/>
      <c r="F273" s="5"/>
      <c r="G273" s="5"/>
      <c r="H273" s="6"/>
      <c r="I273" s="5"/>
      <c r="J273" s="5"/>
      <c r="K273" s="6"/>
      <c r="L273" s="5"/>
      <c r="M273" s="5"/>
      <c r="N273" s="98"/>
      <c r="O273" s="98"/>
      <c r="P273" s="120"/>
      <c r="Q273" s="133"/>
      <c r="R273" s="133"/>
      <c r="S273" s="133"/>
      <c r="T273" s="133"/>
      <c r="U273" s="133"/>
      <c r="V273" s="133"/>
      <c r="W273" s="120"/>
      <c r="X273" s="120"/>
      <c r="Y273" s="118"/>
      <c r="Z273" s="118"/>
      <c r="AA273" s="118"/>
      <c r="AB273" s="118"/>
      <c r="AC273" s="142"/>
      <c r="AD273" s="39"/>
      <c r="AE273" s="39"/>
      <c r="AF273" s="39"/>
      <c r="AG273" s="39"/>
      <c r="AH273" s="39"/>
      <c r="AI273" s="39"/>
      <c r="AJ273" s="39"/>
      <c r="AK273" s="39"/>
      <c r="AL273" s="39"/>
    </row>
    <row r="274" spans="1:38" s="35" customFormat="1" ht="14.1" customHeight="1" x14ac:dyDescent="0.25">
      <c r="A274" s="62" t="s">
        <v>7</v>
      </c>
      <c r="B274" s="9">
        <v>17927</v>
      </c>
      <c r="C274" s="96">
        <v>100</v>
      </c>
      <c r="D274" s="15"/>
      <c r="E274" s="9">
        <v>17615</v>
      </c>
      <c r="F274" s="15">
        <v>100</v>
      </c>
      <c r="G274" s="15"/>
      <c r="H274" s="9">
        <v>289</v>
      </c>
      <c r="I274" s="15">
        <v>100</v>
      </c>
      <c r="J274" s="15"/>
      <c r="K274" s="9">
        <v>23</v>
      </c>
      <c r="L274" s="96">
        <v>100</v>
      </c>
      <c r="M274" s="15"/>
      <c r="N274" s="96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117"/>
      <c r="Z274" s="118"/>
      <c r="AA274" s="118"/>
      <c r="AB274" s="118"/>
      <c r="AC274" s="142"/>
      <c r="AD274" s="39"/>
      <c r="AE274" s="39"/>
      <c r="AF274" s="39"/>
      <c r="AG274" s="39"/>
      <c r="AH274" s="39"/>
      <c r="AI274" s="39"/>
      <c r="AJ274" s="39"/>
      <c r="AK274" s="39"/>
      <c r="AL274" s="39"/>
    </row>
    <row r="275" spans="1:38" ht="14.1" customHeight="1" x14ac:dyDescent="0.25">
      <c r="A275" s="61" t="s">
        <v>57</v>
      </c>
      <c r="B275" s="6">
        <v>845</v>
      </c>
      <c r="C275" s="5">
        <v>4.7135605511240026</v>
      </c>
      <c r="D275" s="5"/>
      <c r="E275" s="6">
        <v>828</v>
      </c>
      <c r="F275" s="5">
        <v>4.7005393130854385</v>
      </c>
      <c r="G275" s="5"/>
      <c r="H275" s="6">
        <v>15</v>
      </c>
      <c r="I275" s="5">
        <v>5.1903114186851207</v>
      </c>
      <c r="J275" s="5"/>
      <c r="K275" s="6">
        <v>2</v>
      </c>
      <c r="L275" s="5">
        <v>8.695652173913043</v>
      </c>
      <c r="M275" s="5"/>
      <c r="N275" s="98"/>
      <c r="O275" s="98"/>
      <c r="P275" s="120"/>
      <c r="Q275" s="133"/>
      <c r="R275" s="133"/>
      <c r="S275" s="133"/>
      <c r="T275" s="133"/>
      <c r="U275" s="133"/>
      <c r="V275" s="133"/>
      <c r="W275" s="120"/>
      <c r="X275" s="120"/>
      <c r="Y275" s="111"/>
      <c r="Z275" s="118"/>
      <c r="AA275" s="118"/>
      <c r="AB275" s="118"/>
      <c r="AC275" s="142"/>
      <c r="AD275" s="39"/>
      <c r="AE275" s="39"/>
      <c r="AF275" s="39"/>
      <c r="AG275" s="39"/>
      <c r="AH275" s="39"/>
      <c r="AI275" s="39"/>
      <c r="AJ275" s="39"/>
      <c r="AK275" s="39"/>
      <c r="AL275" s="39"/>
    </row>
    <row r="276" spans="1:38" ht="14.1" customHeight="1" x14ac:dyDescent="0.25">
      <c r="A276" s="61" t="s">
        <v>29</v>
      </c>
      <c r="B276" s="6">
        <v>241</v>
      </c>
      <c r="C276" s="5">
        <v>1.3443409382495677</v>
      </c>
      <c r="D276" s="5"/>
      <c r="E276" s="6">
        <v>235</v>
      </c>
      <c r="F276" s="5">
        <v>1.3340902639795629</v>
      </c>
      <c r="G276" s="5"/>
      <c r="H276" s="6">
        <v>6</v>
      </c>
      <c r="I276" s="5">
        <v>2.0761245674740483</v>
      </c>
      <c r="J276" s="5"/>
      <c r="K276" s="3" t="s">
        <v>96</v>
      </c>
      <c r="L276" s="3" t="s">
        <v>96</v>
      </c>
      <c r="M276" s="5"/>
      <c r="N276" s="98"/>
      <c r="O276" s="98"/>
      <c r="P276" s="120"/>
      <c r="Q276" s="133"/>
      <c r="R276" s="133"/>
      <c r="S276" s="133"/>
      <c r="T276" s="133"/>
      <c r="U276" s="133"/>
      <c r="V276" s="133"/>
      <c r="W276" s="120"/>
      <c r="X276" s="120"/>
      <c r="Y276" s="111"/>
      <c r="Z276" s="118"/>
      <c r="AA276" s="118"/>
      <c r="AB276" s="118"/>
      <c r="AC276" s="142"/>
      <c r="AD276" s="39"/>
      <c r="AE276" s="39"/>
      <c r="AF276" s="39"/>
      <c r="AG276" s="39"/>
      <c r="AH276" s="39"/>
      <c r="AI276" s="39"/>
      <c r="AJ276" s="39"/>
      <c r="AK276" s="39"/>
      <c r="AL276" s="39"/>
    </row>
    <row r="277" spans="1:38" ht="14.1" customHeight="1" x14ac:dyDescent="0.25">
      <c r="A277" s="61" t="s">
        <v>30</v>
      </c>
      <c r="B277" s="6">
        <v>1006</v>
      </c>
      <c r="C277" s="5">
        <v>5.6116472360127183</v>
      </c>
      <c r="D277" s="5"/>
      <c r="E277" s="6">
        <v>985</v>
      </c>
      <c r="F277" s="5">
        <v>5.5918251490207211</v>
      </c>
      <c r="G277" s="5"/>
      <c r="H277" s="6">
        <v>19</v>
      </c>
      <c r="I277" s="5">
        <v>6.5743944636678195</v>
      </c>
      <c r="J277" s="5"/>
      <c r="K277" s="6">
        <v>2</v>
      </c>
      <c r="L277" s="5">
        <v>8.695652173913043</v>
      </c>
      <c r="M277" s="5"/>
      <c r="N277" s="98"/>
      <c r="O277" s="98"/>
      <c r="P277" s="120"/>
      <c r="Q277" s="133"/>
      <c r="R277" s="133"/>
      <c r="S277" s="133"/>
      <c r="T277" s="133"/>
      <c r="U277" s="133"/>
      <c r="V277" s="133"/>
      <c r="W277" s="120"/>
      <c r="X277" s="120"/>
      <c r="Y277" s="111"/>
      <c r="Z277" s="118"/>
      <c r="AA277" s="118"/>
      <c r="AB277" s="118"/>
      <c r="AC277" s="142"/>
      <c r="AD277" s="39"/>
      <c r="AE277" s="39"/>
      <c r="AF277" s="39"/>
      <c r="AG277" s="39"/>
      <c r="AH277" s="39"/>
      <c r="AI277" s="39"/>
      <c r="AJ277" s="39"/>
      <c r="AK277" s="39"/>
      <c r="AL277" s="39"/>
    </row>
    <row r="278" spans="1:38" ht="14.1" customHeight="1" x14ac:dyDescent="0.25">
      <c r="A278" s="61" t="s">
        <v>31</v>
      </c>
      <c r="B278" s="6">
        <v>24</v>
      </c>
      <c r="C278" s="5">
        <v>0.13387627600825572</v>
      </c>
      <c r="D278" s="5"/>
      <c r="E278" s="6">
        <v>22</v>
      </c>
      <c r="F278" s="5">
        <v>0.12489355662787396</v>
      </c>
      <c r="G278" s="5"/>
      <c r="H278" s="6">
        <v>2</v>
      </c>
      <c r="I278" s="5">
        <v>0.69204152249134954</v>
      </c>
      <c r="J278" s="5"/>
      <c r="K278" s="3" t="s">
        <v>96</v>
      </c>
      <c r="L278" s="3" t="s">
        <v>96</v>
      </c>
      <c r="M278" s="3"/>
      <c r="N278" s="89"/>
      <c r="O278" s="98"/>
      <c r="P278" s="120"/>
      <c r="Q278" s="133"/>
      <c r="R278" s="133"/>
      <c r="S278" s="133"/>
      <c r="T278" s="133"/>
      <c r="U278" s="133"/>
      <c r="V278" s="133"/>
      <c r="W278" s="120"/>
      <c r="X278" s="120"/>
      <c r="Y278" s="111"/>
      <c r="Z278" s="118"/>
      <c r="AA278" s="118"/>
      <c r="AB278" s="118"/>
      <c r="AC278" s="142"/>
      <c r="AD278" s="39"/>
      <c r="AE278" s="39"/>
      <c r="AF278" s="39"/>
      <c r="AG278" s="39"/>
      <c r="AH278" s="39"/>
      <c r="AI278" s="39"/>
      <c r="AJ278" s="39"/>
      <c r="AK278" s="39"/>
      <c r="AL278" s="39"/>
    </row>
    <row r="279" spans="1:38" ht="14.1" customHeight="1" x14ac:dyDescent="0.25">
      <c r="A279" s="61" t="s">
        <v>32</v>
      </c>
      <c r="B279" s="6">
        <v>1177</v>
      </c>
      <c r="C279" s="5">
        <v>6.7655157025715411</v>
      </c>
      <c r="D279" s="5"/>
      <c r="E279" s="6">
        <v>1123</v>
      </c>
      <c r="F279" s="5">
        <v>6.3752483678682941</v>
      </c>
      <c r="G279" s="5"/>
      <c r="H279" s="6">
        <v>53</v>
      </c>
      <c r="I279" s="5">
        <v>18.339100346020761</v>
      </c>
      <c r="J279" s="5"/>
      <c r="K279" s="6">
        <v>1</v>
      </c>
      <c r="L279" s="5">
        <v>4.3478260869565215</v>
      </c>
      <c r="M279" s="5"/>
      <c r="N279" s="98"/>
      <c r="O279" s="98"/>
      <c r="P279" s="120"/>
      <c r="Q279" s="133"/>
      <c r="R279" s="133"/>
      <c r="S279" s="133"/>
      <c r="T279" s="133"/>
      <c r="U279" s="133"/>
      <c r="V279" s="133"/>
      <c r="W279" s="120"/>
      <c r="X279" s="120"/>
      <c r="Y279" s="111"/>
      <c r="Z279" s="118"/>
      <c r="AA279" s="118"/>
      <c r="AB279" s="118"/>
      <c r="AC279" s="142"/>
      <c r="AD279" s="39"/>
      <c r="AE279" s="39"/>
      <c r="AF279" s="39"/>
      <c r="AG279" s="39"/>
      <c r="AH279" s="39"/>
      <c r="AI279" s="39"/>
      <c r="AJ279" s="39"/>
      <c r="AK279" s="39"/>
      <c r="AL279" s="39"/>
    </row>
    <row r="280" spans="1:38" ht="14.1" customHeight="1" x14ac:dyDescent="0.25">
      <c r="A280" s="61" t="s">
        <v>33</v>
      </c>
      <c r="B280" s="6">
        <v>7546</v>
      </c>
      <c r="C280" s="5">
        <v>42.092932448262403</v>
      </c>
      <c r="D280" s="5"/>
      <c r="E280" s="6">
        <v>7421</v>
      </c>
      <c r="F280" s="5">
        <v>42.12886744252058</v>
      </c>
      <c r="G280" s="5"/>
      <c r="H280" s="6">
        <v>119</v>
      </c>
      <c r="I280" s="5">
        <v>41.17647058823529</v>
      </c>
      <c r="J280" s="5"/>
      <c r="K280" s="6">
        <v>6</v>
      </c>
      <c r="L280" s="5">
        <v>26.18695652173913</v>
      </c>
      <c r="M280" s="5"/>
      <c r="N280" s="98"/>
      <c r="O280" s="98"/>
      <c r="P280" s="120"/>
      <c r="Q280" s="133"/>
      <c r="R280" s="133"/>
      <c r="S280" s="133"/>
      <c r="T280" s="133"/>
      <c r="U280" s="133"/>
      <c r="V280" s="133"/>
      <c r="W280" s="120"/>
      <c r="X280" s="120"/>
      <c r="Y280" s="111"/>
      <c r="Z280" s="117"/>
      <c r="AA280" s="117"/>
      <c r="AB280" s="117"/>
      <c r="AC280" s="142"/>
      <c r="AD280" s="39"/>
      <c r="AE280" s="39"/>
      <c r="AF280" s="39"/>
      <c r="AG280" s="39"/>
      <c r="AH280" s="39"/>
      <c r="AI280" s="39"/>
      <c r="AJ280" s="39"/>
      <c r="AK280" s="39"/>
      <c r="AL280" s="39"/>
    </row>
    <row r="281" spans="1:38" ht="14.1" customHeight="1" x14ac:dyDescent="0.25">
      <c r="A281" s="61" t="s">
        <v>34</v>
      </c>
      <c r="B281" s="6">
        <v>1329</v>
      </c>
      <c r="C281" s="5">
        <v>7.4133987839571596</v>
      </c>
      <c r="D281" s="5"/>
      <c r="E281" s="6">
        <v>1283</v>
      </c>
      <c r="F281" s="5">
        <v>7.2835651433437416</v>
      </c>
      <c r="G281" s="5"/>
      <c r="H281" s="6">
        <v>41</v>
      </c>
      <c r="I281" s="5">
        <v>14.186851211072666</v>
      </c>
      <c r="J281" s="5"/>
      <c r="K281" s="6">
        <v>5</v>
      </c>
      <c r="L281" s="5">
        <v>21.839130434782611</v>
      </c>
      <c r="M281" s="5"/>
      <c r="N281" s="98"/>
      <c r="O281" s="98"/>
      <c r="P281" s="120"/>
      <c r="Q281" s="133"/>
      <c r="R281" s="133"/>
      <c r="S281" s="133"/>
      <c r="T281" s="133"/>
      <c r="U281" s="133"/>
      <c r="V281" s="133"/>
      <c r="W281" s="120"/>
      <c r="X281" s="120"/>
      <c r="Y281" s="111"/>
      <c r="Z281" s="118"/>
      <c r="AA281" s="118"/>
      <c r="AB281" s="118"/>
      <c r="AC281" s="142"/>
      <c r="AD281" s="39"/>
      <c r="AE281" s="39"/>
      <c r="AF281" s="39"/>
      <c r="AG281" s="39"/>
      <c r="AH281" s="39"/>
      <c r="AI281" s="39"/>
      <c r="AJ281" s="39"/>
      <c r="AK281" s="39"/>
      <c r="AL281" s="39"/>
    </row>
    <row r="282" spans="1:38" ht="14.1" customHeight="1" x14ac:dyDescent="0.25">
      <c r="A282" s="61" t="s">
        <v>68</v>
      </c>
      <c r="B282" s="6">
        <v>370</v>
      </c>
      <c r="C282" s="5">
        <v>2.0639259217939419</v>
      </c>
      <c r="D282" s="5"/>
      <c r="E282" s="6">
        <v>369</v>
      </c>
      <c r="F282" s="5">
        <v>2.09480556344025</v>
      </c>
      <c r="G282" s="5"/>
      <c r="H282" s="6">
        <v>1</v>
      </c>
      <c r="I282" s="5">
        <v>0.34602076124567477</v>
      </c>
      <c r="J282" s="5"/>
      <c r="K282" s="3" t="s">
        <v>96</v>
      </c>
      <c r="L282" s="3" t="s">
        <v>96</v>
      </c>
      <c r="M282" s="5"/>
      <c r="N282" s="98"/>
      <c r="O282" s="98"/>
      <c r="P282" s="120"/>
      <c r="Q282" s="133"/>
      <c r="R282" s="133"/>
      <c r="S282" s="133"/>
      <c r="T282" s="133"/>
      <c r="U282" s="133"/>
      <c r="V282" s="133"/>
      <c r="W282" s="120"/>
      <c r="X282" s="120"/>
      <c r="Y282" s="111"/>
      <c r="Z282" s="118"/>
      <c r="AA282" s="118"/>
      <c r="AB282" s="118"/>
      <c r="AC282" s="142"/>
      <c r="AD282" s="39"/>
      <c r="AE282" s="39"/>
      <c r="AF282" s="39"/>
      <c r="AG282" s="39"/>
      <c r="AH282" s="39"/>
      <c r="AI282" s="39"/>
      <c r="AJ282" s="39"/>
      <c r="AK282" s="39"/>
      <c r="AL282" s="39"/>
    </row>
    <row r="283" spans="1:38" ht="14.1" customHeight="1" x14ac:dyDescent="0.25">
      <c r="A283" s="61" t="s">
        <v>69</v>
      </c>
      <c r="B283" s="6">
        <v>1584</v>
      </c>
      <c r="C283" s="5">
        <v>8.8358342165448764</v>
      </c>
      <c r="D283" s="5"/>
      <c r="E283" s="6">
        <v>1581</v>
      </c>
      <c r="F283" s="5">
        <v>8.9753051376667621</v>
      </c>
      <c r="G283" s="5"/>
      <c r="H283" s="6">
        <v>2</v>
      </c>
      <c r="I283" s="5">
        <v>0.69204152249134954</v>
      </c>
      <c r="J283" s="5"/>
      <c r="K283" s="3">
        <v>1</v>
      </c>
      <c r="L283" s="16">
        <v>4.3478260869565215</v>
      </c>
      <c r="M283" s="5"/>
      <c r="N283" s="98"/>
      <c r="O283" s="98"/>
      <c r="P283" s="120"/>
      <c r="Q283" s="133"/>
      <c r="R283" s="133"/>
      <c r="S283" s="133"/>
      <c r="T283" s="133"/>
      <c r="U283" s="133"/>
      <c r="V283" s="133"/>
      <c r="W283" s="120"/>
      <c r="X283" s="120"/>
      <c r="Y283" s="111"/>
      <c r="Z283" s="118"/>
      <c r="AA283" s="118"/>
      <c r="AB283" s="118"/>
      <c r="AC283" s="142"/>
      <c r="AD283" s="39"/>
      <c r="AE283" s="39"/>
      <c r="AF283" s="39"/>
      <c r="AG283" s="39"/>
      <c r="AH283" s="39"/>
      <c r="AI283" s="39"/>
      <c r="AJ283" s="39"/>
      <c r="AK283" s="39"/>
      <c r="AL283" s="39"/>
    </row>
    <row r="284" spans="1:38" ht="14.1" customHeight="1" x14ac:dyDescent="0.25">
      <c r="A284" s="61" t="s">
        <v>35</v>
      </c>
      <c r="B284" s="6">
        <v>421</v>
      </c>
      <c r="C284" s="5">
        <v>2.3484130083114856</v>
      </c>
      <c r="D284" s="5"/>
      <c r="E284" s="6">
        <v>419</v>
      </c>
      <c r="F284" s="5">
        <v>2.3786545557763268</v>
      </c>
      <c r="G284" s="5"/>
      <c r="H284" s="6">
        <v>2</v>
      </c>
      <c r="I284" s="5">
        <v>0.69204152249134954</v>
      </c>
      <c r="J284" s="5"/>
      <c r="K284" s="3" t="s">
        <v>96</v>
      </c>
      <c r="L284" s="3" t="s">
        <v>96</v>
      </c>
      <c r="M284" s="5"/>
      <c r="N284" s="98"/>
      <c r="O284" s="98"/>
      <c r="P284" s="120"/>
      <c r="Q284" s="133"/>
      <c r="R284" s="133"/>
      <c r="S284" s="133"/>
      <c r="T284" s="133"/>
      <c r="U284" s="133"/>
      <c r="V284" s="133"/>
      <c r="W284" s="120"/>
      <c r="X284" s="120"/>
      <c r="Y284" s="111"/>
      <c r="Z284" s="118"/>
      <c r="AA284" s="118"/>
      <c r="AB284" s="118"/>
      <c r="AC284" s="142"/>
      <c r="AD284" s="39"/>
      <c r="AE284" s="39"/>
      <c r="AF284" s="39"/>
      <c r="AG284" s="39"/>
      <c r="AH284" s="39"/>
      <c r="AI284" s="39"/>
      <c r="AJ284" s="39"/>
      <c r="AK284" s="39"/>
      <c r="AL284" s="39"/>
    </row>
    <row r="285" spans="1:38" ht="14.1" customHeight="1" x14ac:dyDescent="0.25">
      <c r="A285" s="61" t="s">
        <v>36</v>
      </c>
      <c r="B285" s="6">
        <v>1460</v>
      </c>
      <c r="C285" s="5">
        <v>8.1441401238355553</v>
      </c>
      <c r="D285" s="5"/>
      <c r="E285" s="6">
        <v>1439</v>
      </c>
      <c r="F285" s="5">
        <v>8.1691739994323029</v>
      </c>
      <c r="G285" s="5"/>
      <c r="H285" s="6">
        <v>18</v>
      </c>
      <c r="I285" s="5">
        <v>6.2283737024221448</v>
      </c>
      <c r="J285" s="5"/>
      <c r="K285" s="6">
        <v>3</v>
      </c>
      <c r="L285" s="5">
        <v>13.043478260869565</v>
      </c>
      <c r="M285" s="5"/>
      <c r="N285" s="98"/>
      <c r="O285" s="98"/>
      <c r="P285" s="120"/>
      <c r="Q285" s="133"/>
      <c r="R285" s="133"/>
      <c r="S285" s="133"/>
      <c r="T285" s="133"/>
      <c r="U285" s="133"/>
      <c r="V285" s="133"/>
      <c r="W285" s="120"/>
      <c r="X285" s="120"/>
      <c r="Y285" s="111"/>
      <c r="Z285" s="118"/>
      <c r="AA285" s="118"/>
      <c r="AB285" s="118"/>
      <c r="AC285" s="142"/>
      <c r="AD285" s="39"/>
      <c r="AE285" s="39"/>
      <c r="AF285" s="39"/>
      <c r="AG285" s="39"/>
      <c r="AH285" s="39"/>
      <c r="AI285" s="39"/>
      <c r="AJ285" s="39"/>
      <c r="AK285" s="39"/>
      <c r="AL285" s="39"/>
    </row>
    <row r="286" spans="1:38" ht="14.1" customHeight="1" x14ac:dyDescent="0.25">
      <c r="A286" s="61" t="s">
        <v>37</v>
      </c>
      <c r="B286" s="6">
        <v>1924</v>
      </c>
      <c r="C286" s="5">
        <v>10.732414793328498</v>
      </c>
      <c r="D286" s="5"/>
      <c r="E286" s="6">
        <v>1910</v>
      </c>
      <c r="F286" s="5">
        <v>10.843031507238148</v>
      </c>
      <c r="G286" s="5"/>
      <c r="H286" s="6">
        <v>11</v>
      </c>
      <c r="I286" s="5">
        <v>3.8062283737024223</v>
      </c>
      <c r="J286" s="5"/>
      <c r="K286" s="6">
        <v>3</v>
      </c>
      <c r="L286" s="5">
        <v>13.043478260869565</v>
      </c>
      <c r="M286" s="5"/>
      <c r="N286" s="98"/>
      <c r="O286" s="98"/>
      <c r="P286" s="120"/>
      <c r="Q286" s="133"/>
      <c r="R286" s="133"/>
      <c r="S286" s="133"/>
      <c r="T286" s="133"/>
      <c r="U286" s="133"/>
      <c r="V286" s="133"/>
      <c r="W286" s="120"/>
      <c r="X286" s="120"/>
      <c r="Y286" s="111"/>
      <c r="Z286" s="118"/>
      <c r="AA286" s="118"/>
      <c r="AB286" s="118"/>
      <c r="AC286" s="142"/>
      <c r="AD286" s="39"/>
      <c r="AE286" s="39"/>
      <c r="AF286" s="39"/>
      <c r="AG286" s="39"/>
      <c r="AH286" s="39"/>
      <c r="AI286" s="39"/>
      <c r="AJ286" s="39"/>
      <c r="AK286" s="39"/>
      <c r="AL286" s="39"/>
    </row>
    <row r="287" spans="1:38" ht="14.1" customHeight="1" x14ac:dyDescent="0.25">
      <c r="A287" s="61"/>
      <c r="B287" s="6"/>
      <c r="C287" s="5"/>
      <c r="D287" s="5"/>
      <c r="E287" s="6"/>
      <c r="F287" s="5"/>
      <c r="G287" s="5"/>
      <c r="H287" s="6"/>
      <c r="I287" s="5"/>
      <c r="J287" s="5"/>
      <c r="K287" s="6"/>
      <c r="L287" s="5"/>
      <c r="M287" s="5"/>
      <c r="N287" s="98"/>
      <c r="O287" s="98"/>
      <c r="P287" s="120"/>
      <c r="Q287" s="133"/>
      <c r="R287" s="133"/>
      <c r="S287" s="133"/>
      <c r="T287" s="133"/>
      <c r="U287" s="133"/>
      <c r="V287" s="133"/>
      <c r="W287" s="120"/>
      <c r="X287" s="120"/>
      <c r="Y287" s="118"/>
      <c r="Z287" s="118"/>
      <c r="AA287" s="118"/>
      <c r="AB287" s="118"/>
      <c r="AC287" s="142"/>
      <c r="AD287" s="39"/>
      <c r="AE287" s="39"/>
      <c r="AF287" s="39"/>
      <c r="AG287" s="39"/>
      <c r="AH287" s="39"/>
      <c r="AI287" s="39"/>
      <c r="AJ287" s="39"/>
      <c r="AK287" s="39"/>
      <c r="AL287" s="39"/>
    </row>
    <row r="288" spans="1:38" s="35" customFormat="1" ht="14.1" customHeight="1" x14ac:dyDescent="0.25">
      <c r="A288" s="62" t="s">
        <v>6</v>
      </c>
      <c r="B288" s="9">
        <v>132024</v>
      </c>
      <c r="C288" s="15">
        <v>100</v>
      </c>
      <c r="D288" s="15"/>
      <c r="E288" s="9">
        <v>129386</v>
      </c>
      <c r="F288" s="15">
        <v>100</v>
      </c>
      <c r="G288" s="15"/>
      <c r="H288" s="9">
        <v>2258</v>
      </c>
      <c r="I288" s="96">
        <v>100</v>
      </c>
      <c r="J288" s="96"/>
      <c r="K288" s="95">
        <v>380</v>
      </c>
      <c r="L288" s="96">
        <v>100</v>
      </c>
      <c r="M288" s="15"/>
      <c r="N288" s="96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117"/>
      <c r="Z288" s="118"/>
      <c r="AA288" s="118"/>
      <c r="AB288" s="118"/>
      <c r="AC288" s="142"/>
      <c r="AD288" s="39"/>
      <c r="AE288" s="39"/>
      <c r="AF288" s="39"/>
      <c r="AG288" s="39"/>
      <c r="AH288" s="39"/>
      <c r="AI288" s="39"/>
      <c r="AJ288" s="39"/>
      <c r="AK288" s="39"/>
      <c r="AL288" s="39"/>
    </row>
    <row r="289" spans="1:38" ht="14.1" customHeight="1" x14ac:dyDescent="0.25">
      <c r="A289" s="61" t="s">
        <v>57</v>
      </c>
      <c r="B289" s="6">
        <v>3256</v>
      </c>
      <c r="C289" s="5">
        <v>2.4662182633460583</v>
      </c>
      <c r="D289" s="5"/>
      <c r="E289" s="6">
        <v>2826</v>
      </c>
      <c r="F289" s="5">
        <v>2.184162119549256</v>
      </c>
      <c r="G289" s="5"/>
      <c r="H289" s="6">
        <v>360</v>
      </c>
      <c r="I289" s="98">
        <v>15.943312666076173</v>
      </c>
      <c r="J289" s="98"/>
      <c r="K289" s="97">
        <v>70</v>
      </c>
      <c r="L289" s="98">
        <v>18.421052631578945</v>
      </c>
      <c r="M289" s="5"/>
      <c r="N289" s="98"/>
      <c r="O289" s="98"/>
      <c r="P289" s="120"/>
      <c r="Q289" s="133"/>
      <c r="R289" s="133"/>
      <c r="S289" s="133"/>
      <c r="T289" s="133"/>
      <c r="U289" s="133"/>
      <c r="V289" s="133"/>
      <c r="W289" s="120"/>
      <c r="X289" s="120"/>
      <c r="Y289" s="117"/>
      <c r="Z289" s="118"/>
      <c r="AA289" s="118"/>
      <c r="AB289" s="118"/>
      <c r="AC289" s="142"/>
      <c r="AD289" s="39"/>
      <c r="AE289" s="39"/>
      <c r="AF289" s="39"/>
      <c r="AG289" s="39"/>
      <c r="AH289" s="39"/>
      <c r="AI289" s="39"/>
      <c r="AJ289" s="39"/>
      <c r="AK289" s="39"/>
      <c r="AL289" s="39"/>
    </row>
    <row r="290" spans="1:38" ht="14.1" customHeight="1" x14ac:dyDescent="0.25">
      <c r="A290" s="61" t="s">
        <v>29</v>
      </c>
      <c r="B290" s="6">
        <v>563</v>
      </c>
      <c r="C290" s="5">
        <v>0.42643761740289643</v>
      </c>
      <c r="D290" s="5"/>
      <c r="E290" s="6">
        <v>526</v>
      </c>
      <c r="F290" s="5">
        <v>0.40653548297342834</v>
      </c>
      <c r="G290" s="5"/>
      <c r="H290" s="6">
        <v>33</v>
      </c>
      <c r="I290" s="5">
        <v>1.4614703277236492</v>
      </c>
      <c r="J290" s="5"/>
      <c r="K290" s="6">
        <v>4</v>
      </c>
      <c r="L290" s="5">
        <v>1.0026315789473683</v>
      </c>
      <c r="M290" s="5"/>
      <c r="N290" s="98"/>
      <c r="O290" s="98"/>
      <c r="P290" s="120"/>
      <c r="Q290" s="133"/>
      <c r="R290" s="133"/>
      <c r="S290" s="133"/>
      <c r="T290" s="133"/>
      <c r="U290" s="133"/>
      <c r="V290" s="133"/>
      <c r="W290" s="120"/>
      <c r="X290" s="120"/>
      <c r="Y290" s="117"/>
      <c r="Z290" s="118"/>
      <c r="AA290" s="118"/>
      <c r="AB290" s="118"/>
      <c r="AC290" s="142"/>
      <c r="AD290" s="39"/>
      <c r="AE290" s="39"/>
      <c r="AF290" s="39"/>
      <c r="AG290" s="39"/>
      <c r="AH290" s="39"/>
      <c r="AI290" s="39"/>
      <c r="AJ290" s="39"/>
      <c r="AK290" s="39"/>
      <c r="AL290" s="39"/>
    </row>
    <row r="291" spans="1:38" ht="14.1" customHeight="1" x14ac:dyDescent="0.25">
      <c r="A291" s="61" t="s">
        <v>30</v>
      </c>
      <c r="B291" s="6">
        <v>7426</v>
      </c>
      <c r="C291" s="5">
        <v>5.6247348966854505</v>
      </c>
      <c r="D291" s="5"/>
      <c r="E291" s="6">
        <v>7171</v>
      </c>
      <c r="F291" s="5">
        <v>5.5423307003848947</v>
      </c>
      <c r="G291" s="5"/>
      <c r="H291" s="6">
        <v>178</v>
      </c>
      <c r="I291" s="5">
        <v>7.8430823737821074</v>
      </c>
      <c r="J291" s="5"/>
      <c r="K291" s="6">
        <v>77</v>
      </c>
      <c r="L291" s="5">
        <v>20.263157894736842</v>
      </c>
      <c r="M291" s="5"/>
      <c r="N291" s="98"/>
      <c r="O291" s="98"/>
      <c r="P291" s="120"/>
      <c r="Q291" s="133"/>
      <c r="R291" s="133"/>
      <c r="S291" s="133"/>
      <c r="T291" s="133"/>
      <c r="U291" s="133"/>
      <c r="V291" s="133"/>
      <c r="W291" s="120"/>
      <c r="X291" s="120"/>
      <c r="Y291" s="117"/>
      <c r="Z291" s="118"/>
      <c r="AA291" s="118"/>
      <c r="AB291" s="118"/>
      <c r="AC291" s="142"/>
      <c r="AD291" s="39"/>
      <c r="AE291" s="39"/>
      <c r="AF291" s="39"/>
      <c r="AG291" s="39"/>
      <c r="AH291" s="39"/>
      <c r="AI291" s="39"/>
      <c r="AJ291" s="39"/>
      <c r="AK291" s="39"/>
      <c r="AL291" s="39"/>
    </row>
    <row r="292" spans="1:38" ht="14.1" customHeight="1" x14ac:dyDescent="0.25">
      <c r="A292" s="61" t="s">
        <v>31</v>
      </c>
      <c r="B292" s="6">
        <v>419</v>
      </c>
      <c r="C292" s="5">
        <v>0.31736653941707565</v>
      </c>
      <c r="D292" s="5"/>
      <c r="E292" s="6">
        <v>394</v>
      </c>
      <c r="F292" s="5">
        <v>0.30451517165690262</v>
      </c>
      <c r="G292" s="5"/>
      <c r="H292" s="6">
        <v>20</v>
      </c>
      <c r="I292" s="5">
        <v>0.88573959255978751</v>
      </c>
      <c r="J292" s="5"/>
      <c r="K292" s="6">
        <v>5</v>
      </c>
      <c r="L292" s="5">
        <v>1.3157894736842104</v>
      </c>
      <c r="M292" s="5"/>
      <c r="N292" s="98"/>
      <c r="O292" s="98"/>
      <c r="P292" s="120"/>
      <c r="Q292" s="133"/>
      <c r="R292" s="133"/>
      <c r="S292" s="133"/>
      <c r="T292" s="133"/>
      <c r="U292" s="133"/>
      <c r="V292" s="133"/>
      <c r="W292" s="120"/>
      <c r="X292" s="120"/>
      <c r="Y292" s="117"/>
      <c r="Z292" s="118"/>
      <c r="AA292" s="118"/>
      <c r="AB292" s="118"/>
      <c r="AC292" s="142"/>
      <c r="AD292" s="39"/>
      <c r="AE292" s="39"/>
      <c r="AF292" s="39"/>
      <c r="AG292" s="39"/>
      <c r="AH292" s="39"/>
      <c r="AI292" s="39"/>
      <c r="AJ292" s="39"/>
      <c r="AK292" s="39"/>
      <c r="AL292" s="39"/>
    </row>
    <row r="293" spans="1:38" ht="14.1" customHeight="1" x14ac:dyDescent="0.25">
      <c r="A293" s="61" t="s">
        <v>32</v>
      </c>
      <c r="B293" s="6">
        <v>4580</v>
      </c>
      <c r="C293" s="5">
        <v>3.4690662303823547</v>
      </c>
      <c r="D293" s="5"/>
      <c r="E293" s="6">
        <v>4295</v>
      </c>
      <c r="F293" s="5">
        <v>3.3195245235187736</v>
      </c>
      <c r="G293" s="5"/>
      <c r="H293" s="6">
        <v>260</v>
      </c>
      <c r="I293" s="5">
        <v>11.514614703277235</v>
      </c>
      <c r="J293" s="5"/>
      <c r="K293" s="6">
        <v>25</v>
      </c>
      <c r="L293" s="5">
        <v>6.5789473684210522</v>
      </c>
      <c r="M293" s="5"/>
      <c r="N293" s="98"/>
      <c r="O293" s="98"/>
      <c r="P293" s="120"/>
      <c r="Q293" s="133"/>
      <c r="R293" s="133"/>
      <c r="S293" s="133"/>
      <c r="T293" s="133"/>
      <c r="U293" s="133"/>
      <c r="V293" s="133"/>
      <c r="W293" s="120"/>
      <c r="X293" s="120"/>
      <c r="Y293" s="117"/>
      <c r="Z293" s="118"/>
      <c r="AA293" s="118"/>
      <c r="AB293" s="118"/>
      <c r="AC293" s="142"/>
      <c r="AD293" s="39"/>
      <c r="AE293" s="39"/>
      <c r="AF293" s="39"/>
      <c r="AG293" s="39"/>
      <c r="AH293" s="39"/>
      <c r="AI293" s="39"/>
      <c r="AJ293" s="39"/>
      <c r="AK293" s="39"/>
      <c r="AL293" s="39"/>
    </row>
    <row r="294" spans="1:38" ht="14.1" customHeight="1" x14ac:dyDescent="0.25">
      <c r="A294" s="61" t="s">
        <v>33</v>
      </c>
      <c r="B294" s="6">
        <v>60322</v>
      </c>
      <c r="C294" s="5">
        <v>45.690177543476942</v>
      </c>
      <c r="D294" s="5"/>
      <c r="E294" s="6">
        <v>59479</v>
      </c>
      <c r="F294" s="5">
        <v>45.970197702997233</v>
      </c>
      <c r="G294" s="5"/>
      <c r="H294" s="6">
        <v>715</v>
      </c>
      <c r="I294" s="5">
        <v>31.635190434012401</v>
      </c>
      <c r="J294" s="5"/>
      <c r="K294" s="6">
        <v>128</v>
      </c>
      <c r="L294" s="5">
        <v>33.684210526315788</v>
      </c>
      <c r="M294" s="5"/>
      <c r="N294" s="98"/>
      <c r="O294" s="98"/>
      <c r="P294" s="120"/>
      <c r="Q294" s="133"/>
      <c r="R294" s="133"/>
      <c r="S294" s="133"/>
      <c r="T294" s="133"/>
      <c r="U294" s="133"/>
      <c r="V294" s="133"/>
      <c r="W294" s="120"/>
      <c r="X294" s="120"/>
      <c r="Y294" s="118"/>
      <c r="Z294" s="118"/>
      <c r="AA294" s="118"/>
      <c r="AB294" s="118"/>
      <c r="AC294" s="142"/>
      <c r="AD294" s="39"/>
      <c r="AE294" s="39"/>
      <c r="AF294" s="39"/>
      <c r="AG294" s="39"/>
      <c r="AH294" s="39"/>
      <c r="AI294" s="39"/>
      <c r="AJ294" s="39"/>
      <c r="AK294" s="39"/>
      <c r="AL294" s="39"/>
    </row>
    <row r="295" spans="1:38" ht="14.1" customHeight="1" x14ac:dyDescent="0.25">
      <c r="A295" s="61" t="s">
        <v>34</v>
      </c>
      <c r="B295" s="6">
        <v>7542</v>
      </c>
      <c r="C295" s="5">
        <v>5.7125977095073628</v>
      </c>
      <c r="D295" s="5"/>
      <c r="E295" s="6">
        <v>7186</v>
      </c>
      <c r="F295" s="5">
        <v>5.5539239175799544</v>
      </c>
      <c r="G295" s="5"/>
      <c r="H295" s="6">
        <v>320</v>
      </c>
      <c r="I295" s="5">
        <v>14.1718334809566</v>
      </c>
      <c r="J295" s="5"/>
      <c r="K295" s="6">
        <v>36</v>
      </c>
      <c r="L295" s="5">
        <v>9.4736842105263168</v>
      </c>
      <c r="M295" s="5"/>
      <c r="N295" s="98"/>
      <c r="O295" s="98"/>
      <c r="P295" s="120"/>
      <c r="Q295" s="133"/>
      <c r="R295" s="133"/>
      <c r="S295" s="133"/>
      <c r="T295" s="133"/>
      <c r="U295" s="133"/>
      <c r="V295" s="133"/>
      <c r="W295" s="120"/>
      <c r="X295" s="120"/>
      <c r="Y295" s="117"/>
      <c r="Z295" s="117"/>
      <c r="AA295" s="117"/>
      <c r="AB295" s="117"/>
      <c r="AC295" s="142"/>
      <c r="AD295" s="39"/>
      <c r="AE295" s="39"/>
      <c r="AF295" s="39"/>
      <c r="AG295" s="39"/>
      <c r="AH295" s="39"/>
      <c r="AI295" s="39"/>
      <c r="AJ295" s="39"/>
      <c r="AK295" s="39"/>
      <c r="AL295" s="39"/>
    </row>
    <row r="296" spans="1:38" ht="14.1" customHeight="1" x14ac:dyDescent="0.25">
      <c r="A296" s="61" t="s">
        <v>68</v>
      </c>
      <c r="B296" s="6">
        <v>1240</v>
      </c>
      <c r="C296" s="5">
        <v>0.93922317154456758</v>
      </c>
      <c r="D296" s="5"/>
      <c r="E296" s="6">
        <v>1224</v>
      </c>
      <c r="F296" s="5">
        <v>0.94600652311687505</v>
      </c>
      <c r="G296" s="5"/>
      <c r="H296" s="6">
        <v>15</v>
      </c>
      <c r="I296" s="5">
        <v>0.66430469441984052</v>
      </c>
      <c r="J296" s="5"/>
      <c r="K296" s="3">
        <v>1</v>
      </c>
      <c r="L296" s="16">
        <v>0.26315789473684209</v>
      </c>
      <c r="M296" s="5"/>
      <c r="N296" s="98"/>
      <c r="O296" s="98"/>
      <c r="P296" s="120"/>
      <c r="Q296" s="133"/>
      <c r="R296" s="133"/>
      <c r="S296" s="133"/>
      <c r="T296" s="133"/>
      <c r="U296" s="133"/>
      <c r="V296" s="133"/>
      <c r="W296" s="120"/>
      <c r="X296" s="120"/>
      <c r="Y296" s="117"/>
      <c r="Z296" s="118"/>
      <c r="AA296" s="118"/>
      <c r="AB296" s="118"/>
      <c r="AC296" s="142"/>
      <c r="AD296" s="39"/>
      <c r="AE296" s="39"/>
      <c r="AF296" s="39"/>
      <c r="AG296" s="39"/>
      <c r="AH296" s="39"/>
      <c r="AI296" s="39"/>
      <c r="AJ296" s="39"/>
      <c r="AK296" s="39"/>
      <c r="AL296" s="39"/>
    </row>
    <row r="297" spans="1:38" ht="14.1" customHeight="1" x14ac:dyDescent="0.25">
      <c r="A297" s="61" t="s">
        <v>69</v>
      </c>
      <c r="B297" s="6">
        <v>12820</v>
      </c>
      <c r="C297" s="5">
        <v>9.7103556929043204</v>
      </c>
      <c r="D297" s="5"/>
      <c r="E297" s="6">
        <v>12777</v>
      </c>
      <c r="F297" s="5">
        <v>9.8751024067518891</v>
      </c>
      <c r="G297" s="5"/>
      <c r="H297" s="6">
        <v>42</v>
      </c>
      <c r="I297" s="5">
        <v>1.8600531443755535</v>
      </c>
      <c r="J297" s="5"/>
      <c r="K297" s="6">
        <v>1</v>
      </c>
      <c r="L297" s="5">
        <v>0.26315789473684209</v>
      </c>
      <c r="M297" s="5"/>
      <c r="N297" s="98"/>
      <c r="O297" s="98"/>
      <c r="P297" s="120"/>
      <c r="Q297" s="133"/>
      <c r="R297" s="133"/>
      <c r="S297" s="133"/>
      <c r="T297" s="133"/>
      <c r="U297" s="133"/>
      <c r="V297" s="133"/>
      <c r="W297" s="120"/>
      <c r="X297" s="120"/>
      <c r="Y297" s="117"/>
      <c r="Z297" s="118"/>
      <c r="AA297" s="118"/>
      <c r="AB297" s="118"/>
      <c r="AC297" s="142"/>
      <c r="AD297" s="39"/>
      <c r="AE297" s="39"/>
      <c r="AF297" s="39"/>
      <c r="AG297" s="39"/>
      <c r="AH297" s="39"/>
      <c r="AI297" s="39"/>
      <c r="AJ297" s="39"/>
      <c r="AK297" s="39"/>
      <c r="AL297" s="39"/>
    </row>
    <row r="298" spans="1:38" ht="14.1" customHeight="1" x14ac:dyDescent="0.25">
      <c r="A298" s="61" t="s">
        <v>35</v>
      </c>
      <c r="B298" s="6">
        <v>1859</v>
      </c>
      <c r="C298" s="5">
        <v>1.4080773192752831</v>
      </c>
      <c r="D298" s="5"/>
      <c r="E298" s="6">
        <v>1837</v>
      </c>
      <c r="F298" s="5">
        <v>1.4197826658216499</v>
      </c>
      <c r="G298" s="5"/>
      <c r="H298" s="6">
        <v>20</v>
      </c>
      <c r="I298" s="5">
        <v>0.88573959255978751</v>
      </c>
      <c r="J298" s="5"/>
      <c r="K298" s="6">
        <v>2</v>
      </c>
      <c r="L298" s="5">
        <v>0.52631578947368418</v>
      </c>
      <c r="M298" s="5"/>
      <c r="N298" s="98"/>
      <c r="O298" s="98"/>
      <c r="P298" s="120"/>
      <c r="Q298" s="133"/>
      <c r="R298" s="133"/>
      <c r="S298" s="133"/>
      <c r="T298" s="133"/>
      <c r="U298" s="133"/>
      <c r="V298" s="133"/>
      <c r="W298" s="120"/>
      <c r="X298" s="120"/>
      <c r="Y298" s="117"/>
      <c r="Z298" s="118"/>
      <c r="AA298" s="118"/>
      <c r="AB298" s="118"/>
      <c r="AC298" s="142"/>
      <c r="AD298" s="39"/>
      <c r="AE298" s="39"/>
      <c r="AF298" s="39"/>
      <c r="AG298" s="39"/>
      <c r="AH298" s="39"/>
      <c r="AI298" s="39"/>
      <c r="AJ298" s="39"/>
      <c r="AK298" s="39"/>
      <c r="AL298" s="39"/>
    </row>
    <row r="299" spans="1:38" ht="14.1" customHeight="1" x14ac:dyDescent="0.25">
      <c r="A299" s="61" t="s">
        <v>36</v>
      </c>
      <c r="B299" s="6">
        <v>15001</v>
      </c>
      <c r="C299" s="5">
        <v>11.362328061564565</v>
      </c>
      <c r="D299" s="5"/>
      <c r="E299" s="6">
        <v>14852</v>
      </c>
      <c r="F299" s="5">
        <v>11.47883078540182</v>
      </c>
      <c r="G299" s="5"/>
      <c r="H299" s="6">
        <v>139</v>
      </c>
      <c r="I299" s="5">
        <v>6.1558901682905223</v>
      </c>
      <c r="J299" s="5"/>
      <c r="K299" s="6">
        <v>10</v>
      </c>
      <c r="L299" s="5">
        <v>2.6315789473684208</v>
      </c>
      <c r="M299" s="5"/>
      <c r="N299" s="98"/>
      <c r="O299" s="98"/>
      <c r="P299" s="120"/>
      <c r="Q299" s="133"/>
      <c r="R299" s="133"/>
      <c r="S299" s="133"/>
      <c r="T299" s="133"/>
      <c r="U299" s="133"/>
      <c r="V299" s="133"/>
      <c r="W299" s="120"/>
      <c r="X299" s="120"/>
      <c r="Y299" s="117"/>
      <c r="Z299" s="118"/>
      <c r="AA299" s="118"/>
      <c r="AB299" s="118"/>
      <c r="AC299" s="142"/>
      <c r="AD299" s="39"/>
      <c r="AE299" s="39"/>
      <c r="AF299" s="39"/>
      <c r="AG299" s="39"/>
      <c r="AH299" s="39"/>
      <c r="AI299" s="39"/>
      <c r="AJ299" s="39"/>
      <c r="AK299" s="39"/>
      <c r="AL299" s="39"/>
    </row>
    <row r="300" spans="1:38" ht="14.1" customHeight="1" x14ac:dyDescent="0.25">
      <c r="A300" s="61" t="s">
        <v>37</v>
      </c>
      <c r="B300" s="6">
        <v>16996</v>
      </c>
      <c r="C300" s="5">
        <v>12.873416954493122</v>
      </c>
      <c r="D300" s="5"/>
      <c r="E300" s="6">
        <v>16819</v>
      </c>
      <c r="F300" s="5">
        <v>12.999088000247323</v>
      </c>
      <c r="G300" s="5"/>
      <c r="H300" s="6">
        <v>156</v>
      </c>
      <c r="I300" s="5">
        <v>6.9087688219663423</v>
      </c>
      <c r="J300" s="5"/>
      <c r="K300" s="6">
        <v>21</v>
      </c>
      <c r="L300" s="5">
        <v>5.5263157894736841</v>
      </c>
      <c r="M300" s="5"/>
      <c r="N300" s="98"/>
      <c r="O300" s="98"/>
      <c r="P300" s="120"/>
      <c r="Q300" s="133"/>
      <c r="R300" s="133"/>
      <c r="S300" s="133"/>
      <c r="T300" s="133"/>
      <c r="U300" s="133"/>
      <c r="V300" s="133"/>
      <c r="W300" s="120"/>
      <c r="X300" s="120"/>
      <c r="Y300" s="117"/>
      <c r="Z300" s="118"/>
      <c r="AA300" s="118"/>
      <c r="AB300" s="118"/>
      <c r="AC300" s="142"/>
      <c r="AD300" s="39"/>
      <c r="AE300" s="39"/>
      <c r="AF300" s="39"/>
      <c r="AG300" s="39"/>
      <c r="AH300" s="39"/>
      <c r="AI300" s="39"/>
      <c r="AJ300" s="39"/>
      <c r="AK300" s="39"/>
      <c r="AL300" s="39"/>
    </row>
    <row r="301" spans="1:38" ht="14.1" customHeight="1" x14ac:dyDescent="0.25">
      <c r="A301" s="61"/>
      <c r="B301" s="6"/>
      <c r="C301" s="5"/>
      <c r="D301" s="5"/>
      <c r="E301" s="6"/>
      <c r="F301" s="5"/>
      <c r="G301" s="5"/>
      <c r="H301" s="6"/>
      <c r="I301" s="5"/>
      <c r="J301" s="5"/>
      <c r="K301" s="6"/>
      <c r="L301" s="5"/>
      <c r="M301" s="5"/>
      <c r="N301" s="98"/>
      <c r="O301" s="98"/>
      <c r="P301" s="120"/>
      <c r="Q301" s="133"/>
      <c r="R301" s="133"/>
      <c r="S301" s="133"/>
      <c r="T301" s="133"/>
      <c r="U301" s="133"/>
      <c r="V301" s="133"/>
      <c r="W301" s="120"/>
      <c r="X301" s="120"/>
      <c r="Y301" s="118"/>
      <c r="Z301" s="118"/>
      <c r="AA301" s="118"/>
      <c r="AB301" s="118"/>
      <c r="AC301" s="142"/>
      <c r="AD301" s="39"/>
      <c r="AE301" s="39"/>
      <c r="AF301" s="39"/>
      <c r="AG301" s="39"/>
      <c r="AH301" s="39"/>
      <c r="AI301" s="39"/>
      <c r="AJ301" s="39"/>
      <c r="AK301" s="39"/>
      <c r="AL301" s="39"/>
    </row>
    <row r="302" spans="1:38" s="35" customFormat="1" ht="14.1" customHeight="1" x14ac:dyDescent="0.25">
      <c r="A302" s="62" t="s">
        <v>5</v>
      </c>
      <c r="B302" s="9">
        <v>76228</v>
      </c>
      <c r="C302" s="96">
        <v>100</v>
      </c>
      <c r="D302" s="96"/>
      <c r="E302" s="95">
        <v>74425</v>
      </c>
      <c r="F302" s="96">
        <v>100</v>
      </c>
      <c r="G302" s="96"/>
      <c r="H302" s="95">
        <v>1504</v>
      </c>
      <c r="I302" s="96">
        <v>100</v>
      </c>
      <c r="J302" s="96"/>
      <c r="K302" s="95">
        <v>299</v>
      </c>
      <c r="L302" s="15">
        <v>100</v>
      </c>
      <c r="M302" s="15"/>
      <c r="N302" s="96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117"/>
      <c r="Z302" s="118"/>
      <c r="AA302" s="118"/>
      <c r="AB302" s="118"/>
      <c r="AC302" s="142"/>
      <c r="AD302" s="39"/>
      <c r="AE302" s="39"/>
      <c r="AF302" s="39"/>
      <c r="AG302" s="39"/>
      <c r="AH302" s="39"/>
      <c r="AI302" s="39"/>
      <c r="AJ302" s="39"/>
      <c r="AK302" s="39"/>
      <c r="AL302" s="39"/>
    </row>
    <row r="303" spans="1:38" ht="14.1" customHeight="1" x14ac:dyDescent="0.25">
      <c r="A303" s="61" t="s">
        <v>57</v>
      </c>
      <c r="B303" s="6">
        <v>1964</v>
      </c>
      <c r="C303" s="5">
        <v>2.5364810830665894</v>
      </c>
      <c r="D303" s="5"/>
      <c r="E303" s="6">
        <v>1937</v>
      </c>
      <c r="F303" s="5">
        <v>2.6026200873362444</v>
      </c>
      <c r="G303" s="5"/>
      <c r="H303" s="6">
        <v>25</v>
      </c>
      <c r="I303" s="5">
        <v>1.6622340425531914</v>
      </c>
      <c r="J303" s="5"/>
      <c r="K303" s="6">
        <v>2</v>
      </c>
      <c r="L303" s="5">
        <v>0.66889632107023411</v>
      </c>
      <c r="M303" s="5"/>
      <c r="N303" s="98"/>
      <c r="O303" s="98"/>
      <c r="P303" s="120"/>
      <c r="Q303" s="133"/>
      <c r="R303" s="133"/>
      <c r="S303" s="133"/>
      <c r="T303" s="133"/>
      <c r="U303" s="133"/>
      <c r="V303" s="133"/>
      <c r="W303" s="120"/>
      <c r="X303" s="120"/>
      <c r="Y303" s="117"/>
      <c r="Z303" s="118"/>
      <c r="AA303" s="118"/>
      <c r="AB303" s="118"/>
      <c r="AC303" s="142"/>
      <c r="AD303" s="39"/>
      <c r="AE303" s="39"/>
      <c r="AF303" s="39"/>
      <c r="AG303" s="39"/>
      <c r="AH303" s="39"/>
      <c r="AI303" s="39"/>
      <c r="AJ303" s="39"/>
      <c r="AK303" s="39"/>
      <c r="AL303" s="39"/>
    </row>
    <row r="304" spans="1:38" ht="14.1" customHeight="1" x14ac:dyDescent="0.25">
      <c r="A304" s="61" t="s">
        <v>29</v>
      </c>
      <c r="B304" s="6">
        <v>5497</v>
      </c>
      <c r="C304" s="5">
        <v>7.2112609539801644</v>
      </c>
      <c r="D304" s="5"/>
      <c r="E304" s="6">
        <v>4971</v>
      </c>
      <c r="F304" s="5">
        <v>6.6792072556264692</v>
      </c>
      <c r="G304" s="5"/>
      <c r="H304" s="6">
        <v>381</v>
      </c>
      <c r="I304" s="5">
        <v>25.232446808510637</v>
      </c>
      <c r="J304" s="5"/>
      <c r="K304" s="6">
        <v>145</v>
      </c>
      <c r="L304" s="5">
        <v>48.494983277591977</v>
      </c>
      <c r="M304" s="5"/>
      <c r="N304" s="98"/>
      <c r="O304" s="98"/>
      <c r="P304" s="120"/>
      <c r="Q304" s="133"/>
      <c r="R304" s="133"/>
      <c r="S304" s="133"/>
      <c r="T304" s="133"/>
      <c r="U304" s="133"/>
      <c r="V304" s="133"/>
      <c r="W304" s="120"/>
      <c r="X304" s="120"/>
      <c r="Y304" s="117"/>
      <c r="Z304" s="118"/>
      <c r="AA304" s="118"/>
      <c r="AB304" s="118"/>
      <c r="AC304" s="142"/>
      <c r="AD304" s="39"/>
      <c r="AE304" s="39"/>
      <c r="AF304" s="39"/>
      <c r="AG304" s="39"/>
      <c r="AH304" s="39"/>
      <c r="AI304" s="39"/>
      <c r="AJ304" s="39"/>
      <c r="AK304" s="39"/>
      <c r="AL304" s="39"/>
    </row>
    <row r="305" spans="1:38" ht="14.1" customHeight="1" x14ac:dyDescent="0.25">
      <c r="A305" s="61" t="s">
        <v>30</v>
      </c>
      <c r="B305" s="6">
        <v>7163</v>
      </c>
      <c r="C305" s="5">
        <v>9.3968095712861412</v>
      </c>
      <c r="D305" s="5"/>
      <c r="E305" s="6">
        <v>7121</v>
      </c>
      <c r="F305" s="5">
        <v>9.5380214981525029</v>
      </c>
      <c r="G305" s="5"/>
      <c r="H305" s="6">
        <v>37</v>
      </c>
      <c r="I305" s="5">
        <v>2.4601063829787235</v>
      </c>
      <c r="J305" s="5"/>
      <c r="K305" s="6">
        <v>5</v>
      </c>
      <c r="L305" s="5">
        <v>1.6722408026755853</v>
      </c>
      <c r="M305" s="5"/>
      <c r="N305" s="98"/>
      <c r="O305" s="98"/>
      <c r="P305" s="120"/>
      <c r="Q305" s="133"/>
      <c r="R305" s="133"/>
      <c r="S305" s="133"/>
      <c r="T305" s="133"/>
      <c r="U305" s="133"/>
      <c r="V305" s="133"/>
      <c r="W305" s="120"/>
      <c r="X305" s="120"/>
      <c r="Y305" s="117"/>
      <c r="Z305" s="118"/>
      <c r="AA305" s="118"/>
      <c r="AB305" s="118"/>
      <c r="AC305" s="142"/>
      <c r="AD305" s="39"/>
      <c r="AE305" s="39"/>
      <c r="AF305" s="39"/>
      <c r="AG305" s="39"/>
      <c r="AH305" s="39"/>
      <c r="AI305" s="39"/>
      <c r="AJ305" s="39"/>
      <c r="AK305" s="39"/>
      <c r="AL305" s="39"/>
    </row>
    <row r="306" spans="1:38" ht="14.1" customHeight="1" x14ac:dyDescent="0.25">
      <c r="A306" s="61" t="s">
        <v>31</v>
      </c>
      <c r="B306" s="6">
        <v>122</v>
      </c>
      <c r="C306" s="5">
        <v>0.16004617725770059</v>
      </c>
      <c r="D306" s="5"/>
      <c r="E306" s="6">
        <v>116</v>
      </c>
      <c r="F306" s="5">
        <v>0.15586160564326504</v>
      </c>
      <c r="G306" s="5"/>
      <c r="H306" s="6">
        <v>2</v>
      </c>
      <c r="I306" s="5">
        <v>0.13297872340425532</v>
      </c>
      <c r="J306" s="5"/>
      <c r="K306" s="6">
        <v>4</v>
      </c>
      <c r="L306" s="5">
        <v>1.3377926421404682</v>
      </c>
      <c r="M306" s="5"/>
      <c r="N306" s="98"/>
      <c r="O306" s="98"/>
      <c r="P306" s="120"/>
      <c r="Q306" s="133"/>
      <c r="R306" s="133"/>
      <c r="S306" s="133"/>
      <c r="T306" s="133"/>
      <c r="U306" s="133"/>
      <c r="V306" s="133"/>
      <c r="W306" s="120"/>
      <c r="X306" s="120"/>
      <c r="Y306" s="117"/>
      <c r="Z306" s="118"/>
      <c r="AA306" s="118"/>
      <c r="AB306" s="118"/>
      <c r="AC306" s="142"/>
      <c r="AD306" s="39"/>
      <c r="AE306" s="39"/>
      <c r="AF306" s="39"/>
      <c r="AG306" s="39"/>
      <c r="AH306" s="39"/>
      <c r="AI306" s="39"/>
      <c r="AJ306" s="39"/>
      <c r="AK306" s="39"/>
      <c r="AL306" s="39"/>
    </row>
    <row r="307" spans="1:38" ht="14.1" customHeight="1" x14ac:dyDescent="0.25">
      <c r="A307" s="61" t="s">
        <v>32</v>
      </c>
      <c r="B307" s="6">
        <v>1982</v>
      </c>
      <c r="C307" s="5">
        <v>2.6000944534816601</v>
      </c>
      <c r="D307" s="5"/>
      <c r="E307" s="6">
        <v>1872</v>
      </c>
      <c r="F307" s="5">
        <v>2.5152838427947599</v>
      </c>
      <c r="G307" s="5"/>
      <c r="H307" s="6">
        <v>99</v>
      </c>
      <c r="I307" s="5">
        <v>6.582446808510638</v>
      </c>
      <c r="J307" s="5"/>
      <c r="K307" s="6">
        <v>11</v>
      </c>
      <c r="L307" s="5">
        <v>3.6789297658862878</v>
      </c>
      <c r="M307" s="5"/>
      <c r="N307" s="98"/>
      <c r="O307" s="98"/>
      <c r="P307" s="120"/>
      <c r="Q307" s="133"/>
      <c r="R307" s="133"/>
      <c r="S307" s="133"/>
      <c r="T307" s="133"/>
      <c r="U307" s="133"/>
      <c r="V307" s="133"/>
      <c r="W307" s="120"/>
      <c r="X307" s="120"/>
      <c r="Y307" s="117"/>
      <c r="Z307" s="118"/>
      <c r="AA307" s="118"/>
      <c r="AB307" s="118"/>
      <c r="AC307" s="142"/>
      <c r="AD307" s="39"/>
      <c r="AE307" s="39"/>
      <c r="AF307" s="39"/>
      <c r="AG307" s="39"/>
      <c r="AH307" s="39"/>
      <c r="AI307" s="39"/>
      <c r="AJ307" s="39"/>
      <c r="AK307" s="39"/>
      <c r="AL307" s="39"/>
    </row>
    <row r="308" spans="1:38" ht="14.1" customHeight="1" x14ac:dyDescent="0.25">
      <c r="A308" s="61" t="s">
        <v>33</v>
      </c>
      <c r="B308" s="6">
        <v>32371</v>
      </c>
      <c r="C308" s="5">
        <v>42.466022983680531</v>
      </c>
      <c r="D308" s="5"/>
      <c r="E308" s="6">
        <v>31622</v>
      </c>
      <c r="F308" s="5">
        <v>42.488411152166613</v>
      </c>
      <c r="G308" s="5"/>
      <c r="H308" s="6">
        <v>652</v>
      </c>
      <c r="I308" s="5">
        <v>43.351063829787236</v>
      </c>
      <c r="J308" s="5"/>
      <c r="K308" s="6">
        <v>97</v>
      </c>
      <c r="L308" s="5">
        <v>32.441471571906355</v>
      </c>
      <c r="M308" s="5"/>
      <c r="N308" s="98"/>
      <c r="O308" s="98"/>
      <c r="P308" s="120"/>
      <c r="Q308" s="133"/>
      <c r="R308" s="133"/>
      <c r="S308" s="133"/>
      <c r="T308" s="133"/>
      <c r="U308" s="133"/>
      <c r="V308" s="133"/>
      <c r="W308" s="120"/>
      <c r="X308" s="120"/>
      <c r="Y308" s="117"/>
      <c r="Z308" s="118"/>
      <c r="AA308" s="118"/>
      <c r="AB308" s="118"/>
      <c r="AC308" s="142"/>
      <c r="AD308" s="39"/>
      <c r="AE308" s="39"/>
      <c r="AF308" s="39"/>
      <c r="AG308" s="39"/>
      <c r="AH308" s="39"/>
      <c r="AI308" s="39"/>
      <c r="AJ308" s="39"/>
      <c r="AK308" s="39"/>
      <c r="AL308" s="39"/>
    </row>
    <row r="309" spans="1:38" ht="14.1" customHeight="1" x14ac:dyDescent="0.25">
      <c r="A309" s="61" t="s">
        <v>34</v>
      </c>
      <c r="B309" s="6">
        <v>5467</v>
      </c>
      <c r="C309" s="5">
        <v>7.1719053366217143</v>
      </c>
      <c r="D309" s="5"/>
      <c r="E309" s="6">
        <v>5309</v>
      </c>
      <c r="F309" s="5">
        <v>7.1333557272421899</v>
      </c>
      <c r="G309" s="5"/>
      <c r="H309" s="6">
        <v>143</v>
      </c>
      <c r="I309" s="5">
        <v>9.5079787234042552</v>
      </c>
      <c r="J309" s="5"/>
      <c r="K309" s="6">
        <v>15</v>
      </c>
      <c r="L309" s="5">
        <v>5.0167224080267561</v>
      </c>
      <c r="M309" s="5"/>
      <c r="N309" s="98"/>
      <c r="O309" s="98"/>
      <c r="P309" s="120"/>
      <c r="Q309" s="133"/>
      <c r="R309" s="133"/>
      <c r="S309" s="133"/>
      <c r="T309" s="133"/>
      <c r="U309" s="133"/>
      <c r="V309" s="133"/>
      <c r="W309" s="120"/>
      <c r="X309" s="120"/>
      <c r="Y309" s="118"/>
      <c r="Z309" s="118"/>
      <c r="AA309" s="118"/>
      <c r="AB309" s="118"/>
      <c r="AC309" s="142"/>
      <c r="AD309" s="39"/>
      <c r="AE309" s="39"/>
      <c r="AF309" s="39"/>
      <c r="AG309" s="39"/>
      <c r="AH309" s="39"/>
      <c r="AI309" s="39"/>
      <c r="AJ309" s="39"/>
      <c r="AK309" s="39"/>
      <c r="AL309" s="39"/>
    </row>
    <row r="310" spans="1:38" ht="14.1" customHeight="1" x14ac:dyDescent="0.25">
      <c r="A310" s="61" t="s">
        <v>68</v>
      </c>
      <c r="B310" s="6">
        <v>1124</v>
      </c>
      <c r="C310" s="5">
        <v>1.4745237970299627</v>
      </c>
      <c r="D310" s="5"/>
      <c r="E310" s="6">
        <v>1118</v>
      </c>
      <c r="F310" s="5">
        <v>1.5021834061135371</v>
      </c>
      <c r="G310" s="5"/>
      <c r="H310" s="6">
        <v>6</v>
      </c>
      <c r="I310" s="5">
        <v>0.39893617021276595</v>
      </c>
      <c r="J310" s="5"/>
      <c r="K310" s="3" t="s">
        <v>96</v>
      </c>
      <c r="L310" s="3" t="s">
        <v>96</v>
      </c>
      <c r="M310" s="5"/>
      <c r="N310" s="98"/>
      <c r="O310" s="98"/>
      <c r="P310" s="120"/>
      <c r="Q310" s="133"/>
      <c r="R310" s="133"/>
      <c r="S310" s="133"/>
      <c r="T310" s="133"/>
      <c r="U310" s="133"/>
      <c r="V310" s="133"/>
      <c r="W310" s="120"/>
      <c r="X310" s="120"/>
      <c r="Y310" s="117"/>
      <c r="Z310" s="117"/>
      <c r="AA310" s="117"/>
      <c r="AB310" s="117"/>
      <c r="AC310" s="142"/>
      <c r="AD310" s="39"/>
      <c r="AE310" s="39"/>
      <c r="AF310" s="39"/>
      <c r="AG310" s="39"/>
      <c r="AH310" s="39"/>
      <c r="AI310" s="39"/>
      <c r="AJ310" s="39"/>
      <c r="AK310" s="39"/>
      <c r="AL310" s="39"/>
    </row>
    <row r="311" spans="1:38" ht="14.1" customHeight="1" x14ac:dyDescent="0.25">
      <c r="A311" s="61" t="s">
        <v>69</v>
      </c>
      <c r="B311" s="6">
        <v>4206</v>
      </c>
      <c r="C311" s="5">
        <v>5.5176575536548249</v>
      </c>
      <c r="D311" s="5"/>
      <c r="E311" s="6">
        <v>4191</v>
      </c>
      <c r="F311" s="5">
        <v>5.6311723211286528</v>
      </c>
      <c r="G311" s="5"/>
      <c r="H311" s="6">
        <v>15</v>
      </c>
      <c r="I311" s="5">
        <v>0.99734042553191493</v>
      </c>
      <c r="J311" s="5"/>
      <c r="K311" s="3" t="s">
        <v>96</v>
      </c>
      <c r="L311" s="3" t="s">
        <v>96</v>
      </c>
      <c r="M311" s="5"/>
      <c r="N311" s="98"/>
      <c r="O311" s="98"/>
      <c r="P311" s="120"/>
      <c r="Q311" s="133"/>
      <c r="R311" s="133"/>
      <c r="S311" s="133"/>
      <c r="T311" s="133"/>
      <c r="U311" s="133"/>
      <c r="V311" s="133"/>
      <c r="W311" s="120"/>
      <c r="X311" s="120"/>
      <c r="Y311" s="117"/>
      <c r="Z311" s="118"/>
      <c r="AA311" s="118"/>
      <c r="AB311" s="118"/>
      <c r="AC311" s="142"/>
      <c r="AD311" s="39"/>
      <c r="AE311" s="39"/>
      <c r="AF311" s="39"/>
      <c r="AG311" s="39"/>
      <c r="AH311" s="39"/>
      <c r="AI311" s="39"/>
      <c r="AJ311" s="39"/>
      <c r="AK311" s="39"/>
      <c r="AL311" s="39"/>
    </row>
    <row r="312" spans="1:38" ht="14.1" customHeight="1" x14ac:dyDescent="0.25">
      <c r="A312" s="61" t="s">
        <v>35</v>
      </c>
      <c r="B312" s="6">
        <v>1357</v>
      </c>
      <c r="C312" s="5">
        <v>1.780185758513932</v>
      </c>
      <c r="D312" s="5"/>
      <c r="E312" s="6">
        <v>1341</v>
      </c>
      <c r="F312" s="5">
        <v>1.8018139066173999</v>
      </c>
      <c r="G312" s="5"/>
      <c r="H312" s="6">
        <v>14</v>
      </c>
      <c r="I312" s="5">
        <v>0.93085106382978722</v>
      </c>
      <c r="J312" s="5"/>
      <c r="K312" s="6">
        <v>2</v>
      </c>
      <c r="L312" s="5">
        <v>0.66889632107023411</v>
      </c>
      <c r="M312" s="5"/>
      <c r="N312" s="98"/>
      <c r="O312" s="98"/>
      <c r="P312" s="120"/>
      <c r="Q312" s="133"/>
      <c r="R312" s="133"/>
      <c r="S312" s="133"/>
      <c r="T312" s="133"/>
      <c r="U312" s="133"/>
      <c r="V312" s="133"/>
      <c r="W312" s="120"/>
      <c r="X312" s="120"/>
      <c r="Y312" s="117"/>
      <c r="Z312" s="118"/>
      <c r="AA312" s="118"/>
      <c r="AB312" s="118"/>
      <c r="AC312" s="142"/>
      <c r="AD312" s="39"/>
      <c r="AE312" s="39"/>
      <c r="AF312" s="39"/>
      <c r="AG312" s="39"/>
      <c r="AH312" s="39"/>
      <c r="AI312" s="39"/>
      <c r="AJ312" s="39"/>
      <c r="AK312" s="39"/>
      <c r="AL312" s="39"/>
    </row>
    <row r="313" spans="1:38" ht="14.1" customHeight="1" x14ac:dyDescent="0.25">
      <c r="A313" s="61" t="s">
        <v>36</v>
      </c>
      <c r="B313" s="6">
        <v>7658</v>
      </c>
      <c r="C313" s="5">
        <v>10.046177257700583</v>
      </c>
      <c r="D313" s="5"/>
      <c r="E313" s="6">
        <v>7563</v>
      </c>
      <c r="F313" s="5">
        <v>10.161907961034599</v>
      </c>
      <c r="G313" s="5"/>
      <c r="H313" s="6">
        <v>85</v>
      </c>
      <c r="I313" s="5">
        <v>5.6515957446808516</v>
      </c>
      <c r="J313" s="5"/>
      <c r="K313" s="6">
        <v>10</v>
      </c>
      <c r="L313" s="5">
        <v>3.3444816053511706</v>
      </c>
      <c r="M313" s="5"/>
      <c r="N313" s="98"/>
      <c r="O313" s="98"/>
      <c r="P313" s="120"/>
      <c r="Q313" s="133"/>
      <c r="R313" s="133"/>
      <c r="S313" s="133"/>
      <c r="T313" s="133"/>
      <c r="U313" s="133"/>
      <c r="V313" s="133"/>
      <c r="W313" s="120"/>
      <c r="X313" s="120"/>
      <c r="Y313" s="117"/>
      <c r="Z313" s="118"/>
      <c r="AA313" s="118"/>
      <c r="AB313" s="118"/>
      <c r="AC313" s="142"/>
      <c r="AD313" s="39"/>
      <c r="AE313" s="39"/>
      <c r="AF313" s="39"/>
      <c r="AG313" s="39"/>
      <c r="AH313" s="39"/>
      <c r="AI313" s="39"/>
      <c r="AJ313" s="39"/>
      <c r="AK313" s="39"/>
      <c r="AL313" s="39"/>
    </row>
    <row r="314" spans="1:38" ht="14.1" customHeight="1" x14ac:dyDescent="0.25">
      <c r="A314" s="61" t="s">
        <v>37</v>
      </c>
      <c r="B314" s="6">
        <v>7317</v>
      </c>
      <c r="C314" s="5">
        <v>9.5988350737261907</v>
      </c>
      <c r="D314" s="5"/>
      <c r="E314" s="6">
        <v>7264</v>
      </c>
      <c r="F314" s="5">
        <v>9.7601612361437695</v>
      </c>
      <c r="G314" s="5"/>
      <c r="H314" s="6">
        <v>45</v>
      </c>
      <c r="I314" s="5">
        <v>2.9920212765957448</v>
      </c>
      <c r="J314" s="5"/>
      <c r="K314" s="6">
        <v>8</v>
      </c>
      <c r="L314" s="5">
        <v>2.6755852842809364</v>
      </c>
      <c r="M314" s="5"/>
      <c r="N314" s="98"/>
      <c r="O314" s="98"/>
      <c r="P314" s="120"/>
      <c r="Q314" s="133"/>
      <c r="R314" s="133"/>
      <c r="S314" s="133"/>
      <c r="T314" s="133"/>
      <c r="U314" s="133"/>
      <c r="V314" s="133"/>
      <c r="W314" s="120"/>
      <c r="X314" s="120"/>
      <c r="Y314" s="117"/>
      <c r="Z314" s="118"/>
      <c r="AA314" s="118"/>
      <c r="AB314" s="118"/>
      <c r="AC314" s="142"/>
      <c r="AD314" s="39"/>
      <c r="AE314" s="39"/>
      <c r="AF314" s="39"/>
      <c r="AG314" s="39"/>
      <c r="AH314" s="39"/>
      <c r="AI314" s="39"/>
      <c r="AJ314" s="39"/>
      <c r="AK314" s="39"/>
      <c r="AL314" s="39"/>
    </row>
    <row r="315" spans="1:38" ht="14.1" customHeight="1" x14ac:dyDescent="0.25">
      <c r="A315" s="61"/>
      <c r="B315" s="6"/>
      <c r="C315" s="5"/>
      <c r="D315" s="5"/>
      <c r="E315" s="6"/>
      <c r="F315" s="98"/>
      <c r="G315" s="98"/>
      <c r="H315" s="97"/>
      <c r="I315" s="98"/>
      <c r="J315" s="98"/>
      <c r="K315" s="97"/>
      <c r="L315" s="98"/>
      <c r="M315" s="5"/>
      <c r="N315" s="98"/>
      <c r="O315" s="98"/>
      <c r="P315" s="120"/>
      <c r="Q315" s="133"/>
      <c r="R315" s="133"/>
      <c r="S315" s="133"/>
      <c r="T315" s="133"/>
      <c r="U315" s="133"/>
      <c r="V315" s="133"/>
      <c r="W315" s="120"/>
      <c r="X315" s="120"/>
      <c r="Y315" s="118"/>
      <c r="Z315" s="118"/>
      <c r="AA315" s="118"/>
      <c r="AB315" s="118"/>
      <c r="AC315" s="142"/>
      <c r="AD315" s="39"/>
      <c r="AE315" s="39"/>
      <c r="AF315" s="39"/>
      <c r="AG315" s="39"/>
      <c r="AH315" s="39"/>
      <c r="AI315" s="39"/>
      <c r="AJ315" s="39"/>
      <c r="AK315" s="39"/>
      <c r="AL315" s="39"/>
    </row>
    <row r="316" spans="1:38" s="35" customFormat="1" ht="14.1" customHeight="1" x14ac:dyDescent="0.25">
      <c r="A316" s="63" t="s">
        <v>4</v>
      </c>
      <c r="B316" s="9">
        <v>62396</v>
      </c>
      <c r="C316" s="15">
        <v>100</v>
      </c>
      <c r="D316" s="15"/>
      <c r="E316" s="9">
        <v>60964</v>
      </c>
      <c r="F316" s="96">
        <v>100</v>
      </c>
      <c r="G316" s="96"/>
      <c r="H316" s="95">
        <v>1250</v>
      </c>
      <c r="I316" s="96">
        <v>100</v>
      </c>
      <c r="J316" s="96"/>
      <c r="K316" s="95">
        <v>182</v>
      </c>
      <c r="L316" s="96">
        <v>100</v>
      </c>
      <c r="M316" s="15"/>
      <c r="N316" s="96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117"/>
      <c r="Z316" s="118"/>
      <c r="AA316" s="118"/>
      <c r="AB316" s="118"/>
      <c r="AC316" s="142"/>
      <c r="AD316" s="39"/>
      <c r="AE316" s="39"/>
      <c r="AF316" s="39"/>
      <c r="AG316" s="39"/>
      <c r="AH316" s="39"/>
      <c r="AI316" s="39"/>
      <c r="AJ316" s="39"/>
      <c r="AK316" s="39"/>
      <c r="AL316" s="39"/>
    </row>
    <row r="317" spans="1:38" ht="14.1" customHeight="1" x14ac:dyDescent="0.25">
      <c r="A317" s="61" t="s">
        <v>57</v>
      </c>
      <c r="B317" s="6">
        <v>2316</v>
      </c>
      <c r="C317" s="5">
        <v>3.7117763959228154</v>
      </c>
      <c r="D317" s="5"/>
      <c r="E317" s="6">
        <v>2225</v>
      </c>
      <c r="F317" s="16">
        <v>3.6496949019093234</v>
      </c>
      <c r="G317" s="5"/>
      <c r="H317" s="6">
        <v>69</v>
      </c>
      <c r="I317" s="5">
        <v>5.42</v>
      </c>
      <c r="J317" s="5"/>
      <c r="K317" s="6">
        <v>22</v>
      </c>
      <c r="L317" s="5">
        <v>12.187912087912087</v>
      </c>
      <c r="M317" s="5"/>
      <c r="N317" s="98"/>
      <c r="O317" s="98"/>
      <c r="P317" s="120"/>
      <c r="Q317" s="133"/>
      <c r="R317" s="133"/>
      <c r="S317" s="133"/>
      <c r="T317" s="133"/>
      <c r="U317" s="133"/>
      <c r="V317" s="133"/>
      <c r="W317" s="120"/>
      <c r="X317" s="120"/>
      <c r="Y317" s="117"/>
      <c r="Z317" s="118"/>
      <c r="AA317" s="118"/>
      <c r="AB317" s="118"/>
      <c r="AC317" s="142"/>
      <c r="AD317" s="39"/>
      <c r="AE317" s="39"/>
      <c r="AF317" s="39"/>
      <c r="AG317" s="39"/>
      <c r="AH317" s="39"/>
      <c r="AI317" s="39"/>
      <c r="AJ317" s="39"/>
      <c r="AK317" s="39"/>
      <c r="AL317" s="39"/>
    </row>
    <row r="318" spans="1:38" ht="14.1" customHeight="1" x14ac:dyDescent="0.25">
      <c r="A318" s="61" t="s">
        <v>29</v>
      </c>
      <c r="B318" s="6">
        <v>131</v>
      </c>
      <c r="C318" s="5">
        <v>0.2099493557279313</v>
      </c>
      <c r="D318" s="5"/>
      <c r="E318" s="6">
        <v>119</v>
      </c>
      <c r="F318" s="16">
        <v>0.19519716554031888</v>
      </c>
      <c r="G318" s="5"/>
      <c r="H318" s="6">
        <v>12</v>
      </c>
      <c r="I318" s="5">
        <v>0.96</v>
      </c>
      <c r="J318" s="5"/>
      <c r="K318" s="3" t="s">
        <v>96</v>
      </c>
      <c r="L318" s="3" t="s">
        <v>96</v>
      </c>
      <c r="M318" s="5"/>
      <c r="N318" s="98"/>
      <c r="O318" s="98"/>
      <c r="P318" s="120"/>
      <c r="Q318" s="133"/>
      <c r="R318" s="133"/>
      <c r="S318" s="133"/>
      <c r="T318" s="133"/>
      <c r="U318" s="133"/>
      <c r="V318" s="133"/>
      <c r="W318" s="120"/>
      <c r="X318" s="120"/>
      <c r="Y318" s="117"/>
      <c r="Z318" s="118"/>
      <c r="AA318" s="118"/>
      <c r="AB318" s="118"/>
      <c r="AC318" s="142"/>
      <c r="AD318" s="39"/>
      <c r="AE318" s="39"/>
      <c r="AF318" s="39"/>
      <c r="AG318" s="39"/>
      <c r="AH318" s="39"/>
      <c r="AI318" s="39"/>
      <c r="AJ318" s="39"/>
      <c r="AK318" s="39"/>
      <c r="AL318" s="39"/>
    </row>
    <row r="319" spans="1:38" ht="14.1" customHeight="1" x14ac:dyDescent="0.25">
      <c r="A319" s="61" t="s">
        <v>30</v>
      </c>
      <c r="B319" s="6">
        <v>4222</v>
      </c>
      <c r="C319" s="5">
        <v>6.7664593884223345</v>
      </c>
      <c r="D319" s="5"/>
      <c r="E319" s="6">
        <v>4140</v>
      </c>
      <c r="F319" s="16">
        <v>6.7408929860245399</v>
      </c>
      <c r="G319" s="5"/>
      <c r="H319" s="6">
        <v>72</v>
      </c>
      <c r="I319" s="5">
        <v>5.76</v>
      </c>
      <c r="J319" s="5"/>
      <c r="K319" s="3">
        <v>10</v>
      </c>
      <c r="L319" s="16">
        <v>5.4945054945054945</v>
      </c>
      <c r="M319" s="5"/>
      <c r="N319" s="98"/>
      <c r="O319" s="98"/>
      <c r="P319" s="120"/>
      <c r="Q319" s="133"/>
      <c r="R319" s="133"/>
      <c r="S319" s="133"/>
      <c r="T319" s="133"/>
      <c r="U319" s="133"/>
      <c r="V319" s="133"/>
      <c r="W319" s="120"/>
      <c r="X319" s="120"/>
      <c r="Y319" s="117"/>
      <c r="Z319" s="118"/>
      <c r="AA319" s="118"/>
      <c r="AB319" s="118"/>
      <c r="AC319" s="142"/>
      <c r="AD319" s="39"/>
      <c r="AE319" s="39"/>
      <c r="AF319" s="39"/>
      <c r="AG319" s="39"/>
      <c r="AH319" s="39"/>
      <c r="AI319" s="39"/>
      <c r="AJ319" s="39"/>
      <c r="AK319" s="39"/>
      <c r="AL319" s="39"/>
    </row>
    <row r="320" spans="1:38" ht="14.1" customHeight="1" x14ac:dyDescent="0.25">
      <c r="A320" s="61" t="s">
        <v>31</v>
      </c>
      <c r="B320" s="6">
        <v>158</v>
      </c>
      <c r="C320" s="5">
        <v>0.25322136034361176</v>
      </c>
      <c r="D320" s="5"/>
      <c r="E320" s="6">
        <v>143</v>
      </c>
      <c r="F320" s="16">
        <v>0.23456466111147564</v>
      </c>
      <c r="G320" s="5"/>
      <c r="H320" s="6">
        <v>11</v>
      </c>
      <c r="I320" s="5">
        <v>0.88</v>
      </c>
      <c r="J320" s="5"/>
      <c r="K320" s="3">
        <v>4</v>
      </c>
      <c r="L320" s="16">
        <v>2.197802197802198</v>
      </c>
      <c r="M320" s="5"/>
      <c r="N320" s="98"/>
      <c r="O320" s="98"/>
      <c r="P320" s="120"/>
      <c r="Q320" s="133"/>
      <c r="R320" s="133"/>
      <c r="S320" s="133"/>
      <c r="T320" s="133"/>
      <c r="U320" s="133"/>
      <c r="V320" s="133"/>
      <c r="W320" s="120"/>
      <c r="X320" s="120"/>
      <c r="Y320" s="117"/>
      <c r="Z320" s="118"/>
      <c r="AA320" s="118"/>
      <c r="AB320" s="118"/>
      <c r="AC320" s="142"/>
      <c r="AD320" s="39"/>
      <c r="AE320" s="39"/>
      <c r="AF320" s="39"/>
      <c r="AG320" s="39"/>
      <c r="AH320" s="39"/>
      <c r="AI320" s="39"/>
      <c r="AJ320" s="39"/>
      <c r="AK320" s="39"/>
      <c r="AL320" s="39"/>
    </row>
    <row r="321" spans="1:38" ht="14.1" customHeight="1" x14ac:dyDescent="0.25">
      <c r="A321" s="61" t="s">
        <v>32</v>
      </c>
      <c r="B321" s="6">
        <v>2738</v>
      </c>
      <c r="C321" s="5">
        <v>4.388101801397525</v>
      </c>
      <c r="D321" s="5"/>
      <c r="E321" s="6">
        <v>2556</v>
      </c>
      <c r="F321" s="16">
        <v>4.1526382783281939</v>
      </c>
      <c r="G321" s="5"/>
      <c r="H321" s="6">
        <v>162</v>
      </c>
      <c r="I321" s="5">
        <v>12.959999999999999</v>
      </c>
      <c r="J321" s="5"/>
      <c r="K321" s="3">
        <v>20</v>
      </c>
      <c r="L321" s="16">
        <v>10.989010989010989</v>
      </c>
      <c r="M321" s="5"/>
      <c r="N321" s="98"/>
      <c r="O321" s="98"/>
      <c r="P321" s="120"/>
      <c r="Q321" s="133"/>
      <c r="R321" s="133"/>
      <c r="S321" s="133"/>
      <c r="T321" s="133"/>
      <c r="U321" s="133"/>
      <c r="V321" s="133"/>
      <c r="W321" s="120"/>
      <c r="X321" s="120"/>
      <c r="Y321" s="117"/>
      <c r="Z321" s="118"/>
      <c r="AA321" s="118"/>
      <c r="AB321" s="118"/>
      <c r="AC321" s="142"/>
      <c r="AD321" s="39"/>
      <c r="AE321" s="39"/>
      <c r="AF321" s="39"/>
      <c r="AG321" s="39"/>
      <c r="AH321" s="39"/>
      <c r="AI321" s="39"/>
      <c r="AJ321" s="39"/>
      <c r="AK321" s="39"/>
      <c r="AL321" s="39"/>
    </row>
    <row r="322" spans="1:38" ht="14.1" customHeight="1" x14ac:dyDescent="0.25">
      <c r="A322" s="61" t="s">
        <v>33</v>
      </c>
      <c r="B322" s="6">
        <v>27693</v>
      </c>
      <c r="C322" s="5">
        <v>44.382652734149623</v>
      </c>
      <c r="D322" s="5"/>
      <c r="E322" s="6">
        <v>26943</v>
      </c>
      <c r="F322" s="16">
        <v>44.194934715569843</v>
      </c>
      <c r="G322" s="5"/>
      <c r="H322" s="6">
        <v>636</v>
      </c>
      <c r="I322" s="5">
        <v>50.88</v>
      </c>
      <c r="J322" s="5"/>
      <c r="K322" s="3">
        <v>114</v>
      </c>
      <c r="L322" s="16">
        <v>62.637362637362635</v>
      </c>
      <c r="M322" s="5"/>
      <c r="N322" s="98"/>
      <c r="O322" s="98"/>
      <c r="P322" s="120"/>
      <c r="Q322" s="133"/>
      <c r="R322" s="133"/>
      <c r="S322" s="133"/>
      <c r="T322" s="133"/>
      <c r="U322" s="133"/>
      <c r="V322" s="133"/>
      <c r="W322" s="120"/>
      <c r="X322" s="120"/>
      <c r="Y322" s="117"/>
      <c r="Z322" s="118"/>
      <c r="AA322" s="118"/>
      <c r="AB322" s="118"/>
      <c r="AC322" s="142"/>
      <c r="AD322" s="39"/>
      <c r="AE322" s="39"/>
      <c r="AF322" s="39"/>
      <c r="AG322" s="39"/>
      <c r="AH322" s="39"/>
      <c r="AI322" s="39"/>
      <c r="AJ322" s="39"/>
      <c r="AK322" s="39"/>
      <c r="AL322" s="39"/>
    </row>
    <row r="323" spans="1:38" ht="14.1" customHeight="1" x14ac:dyDescent="0.25">
      <c r="A323" s="61" t="s">
        <v>34</v>
      </c>
      <c r="B323" s="6">
        <v>2195</v>
      </c>
      <c r="C323" s="5">
        <v>3.5178537085710624</v>
      </c>
      <c r="D323" s="5"/>
      <c r="E323" s="6">
        <v>2117</v>
      </c>
      <c r="F323" s="16">
        <v>3.4725411718391186</v>
      </c>
      <c r="G323" s="5"/>
      <c r="H323" s="6">
        <v>73</v>
      </c>
      <c r="I323" s="5">
        <v>5.84</v>
      </c>
      <c r="J323" s="5"/>
      <c r="K323" s="3">
        <v>5</v>
      </c>
      <c r="L323" s="16">
        <v>2.7472527472527473</v>
      </c>
      <c r="M323" s="5"/>
      <c r="N323" s="98"/>
      <c r="O323" s="98"/>
      <c r="P323" s="120"/>
      <c r="Q323" s="133"/>
      <c r="R323" s="133"/>
      <c r="S323" s="133"/>
      <c r="T323" s="133"/>
      <c r="U323" s="133"/>
      <c r="V323" s="133"/>
      <c r="W323" s="120"/>
      <c r="X323" s="120"/>
      <c r="Y323" s="117"/>
      <c r="Z323" s="118"/>
      <c r="AA323" s="118"/>
      <c r="AB323" s="118"/>
      <c r="AC323" s="142"/>
      <c r="AD323" s="39"/>
      <c r="AE323" s="39"/>
      <c r="AF323" s="39"/>
      <c r="AG323" s="39"/>
      <c r="AH323" s="39"/>
      <c r="AI323" s="39"/>
      <c r="AJ323" s="39"/>
      <c r="AK323" s="39"/>
      <c r="AL323" s="39"/>
    </row>
    <row r="324" spans="1:38" ht="14.1" customHeight="1" x14ac:dyDescent="0.25">
      <c r="A324" s="61" t="s">
        <v>68</v>
      </c>
      <c r="B324" s="6">
        <v>957</v>
      </c>
      <c r="C324" s="5">
        <v>1.5337521636002307</v>
      </c>
      <c r="D324" s="5"/>
      <c r="E324" s="6">
        <v>949</v>
      </c>
      <c r="F324" s="16">
        <v>1.5566563873761563</v>
      </c>
      <c r="G324" s="5"/>
      <c r="H324" s="6">
        <v>8</v>
      </c>
      <c r="I324" s="5">
        <v>0.64</v>
      </c>
      <c r="J324" s="5"/>
      <c r="K324" s="3" t="s">
        <v>96</v>
      </c>
      <c r="L324" s="3" t="s">
        <v>96</v>
      </c>
      <c r="M324" s="5"/>
      <c r="N324" s="98"/>
      <c r="O324" s="98"/>
      <c r="P324" s="120"/>
      <c r="Q324" s="133"/>
      <c r="R324" s="133"/>
      <c r="S324" s="133"/>
      <c r="T324" s="133"/>
      <c r="U324" s="133"/>
      <c r="V324" s="133"/>
      <c r="W324" s="120"/>
      <c r="X324" s="120"/>
      <c r="Y324" s="118"/>
      <c r="Z324" s="118"/>
      <c r="AA324" s="118"/>
      <c r="AB324" s="118"/>
      <c r="AC324" s="142"/>
      <c r="AD324" s="39"/>
      <c r="AE324" s="39"/>
      <c r="AF324" s="39"/>
      <c r="AG324" s="39"/>
      <c r="AH324" s="39"/>
      <c r="AI324" s="39"/>
      <c r="AJ324" s="39"/>
      <c r="AK324" s="39"/>
      <c r="AL324" s="39"/>
    </row>
    <row r="325" spans="1:38" ht="14.1" customHeight="1" x14ac:dyDescent="0.25">
      <c r="A325" s="61" t="s">
        <v>69</v>
      </c>
      <c r="B325" s="6">
        <v>6394</v>
      </c>
      <c r="C325" s="5">
        <v>10.247451759728188</v>
      </c>
      <c r="D325" s="5"/>
      <c r="E325" s="6">
        <v>6377</v>
      </c>
      <c r="F325" s="16">
        <v>10.46027163571944</v>
      </c>
      <c r="G325" s="5"/>
      <c r="H325" s="6">
        <v>17</v>
      </c>
      <c r="I325" s="5">
        <v>1.3599999999999999</v>
      </c>
      <c r="J325" s="5"/>
      <c r="K325" s="3" t="s">
        <v>96</v>
      </c>
      <c r="L325" s="3" t="s">
        <v>96</v>
      </c>
      <c r="M325" s="5"/>
      <c r="N325" s="98"/>
      <c r="O325" s="98"/>
      <c r="P325" s="120"/>
      <c r="Q325" s="133"/>
      <c r="R325" s="133"/>
      <c r="S325" s="133"/>
      <c r="T325" s="133"/>
      <c r="U325" s="133"/>
      <c r="V325" s="133"/>
      <c r="W325" s="120"/>
      <c r="X325" s="120"/>
      <c r="Y325" s="117"/>
      <c r="Z325" s="117"/>
      <c r="AA325" s="117"/>
      <c r="AB325" s="117"/>
      <c r="AC325" s="142"/>
      <c r="AD325" s="39"/>
      <c r="AE325" s="39"/>
      <c r="AF325" s="39"/>
      <c r="AG325" s="39"/>
      <c r="AH325" s="39"/>
      <c r="AI325" s="39"/>
      <c r="AJ325" s="39"/>
      <c r="AK325" s="39"/>
      <c r="AL325" s="39"/>
    </row>
    <row r="326" spans="1:38" ht="14.1" customHeight="1" x14ac:dyDescent="0.25">
      <c r="A326" s="61" t="s">
        <v>35</v>
      </c>
      <c r="B326" s="6">
        <v>1129</v>
      </c>
      <c r="C326" s="5">
        <v>1.8094108596704916</v>
      </c>
      <c r="D326" s="5"/>
      <c r="E326" s="6">
        <v>1101</v>
      </c>
      <c r="F326" s="16">
        <v>1.8059838593268158</v>
      </c>
      <c r="G326" s="5"/>
      <c r="H326" s="6">
        <v>26</v>
      </c>
      <c r="I326" s="5">
        <v>2.08</v>
      </c>
      <c r="J326" s="5"/>
      <c r="K326" s="6">
        <v>2</v>
      </c>
      <c r="L326" s="5">
        <v>1.098901098901099</v>
      </c>
      <c r="M326" s="5"/>
      <c r="N326" s="98"/>
      <c r="O326" s="98"/>
      <c r="P326" s="120"/>
      <c r="Q326" s="133"/>
      <c r="R326" s="133"/>
      <c r="S326" s="133"/>
      <c r="T326" s="133"/>
      <c r="U326" s="133"/>
      <c r="V326" s="133"/>
      <c r="W326" s="120"/>
      <c r="X326" s="120"/>
      <c r="Y326" s="117"/>
      <c r="Z326" s="118"/>
      <c r="AA326" s="118"/>
      <c r="AB326" s="118"/>
      <c r="AC326" s="142"/>
      <c r="AD326" s="39"/>
      <c r="AE326" s="39"/>
      <c r="AF326" s="39"/>
      <c r="AG326" s="39"/>
      <c r="AH326" s="39"/>
      <c r="AI326" s="39"/>
      <c r="AJ326" s="39"/>
      <c r="AK326" s="39"/>
      <c r="AL326" s="39"/>
    </row>
    <row r="327" spans="1:38" ht="14.1" customHeight="1" x14ac:dyDescent="0.25">
      <c r="A327" s="61" t="s">
        <v>36</v>
      </c>
      <c r="B327" s="6">
        <v>4840</v>
      </c>
      <c r="C327" s="5">
        <v>7.7569074940701324</v>
      </c>
      <c r="D327" s="5"/>
      <c r="E327" s="6">
        <v>4751</v>
      </c>
      <c r="F327" s="16">
        <v>7.7931238107735705</v>
      </c>
      <c r="G327" s="5"/>
      <c r="H327" s="6">
        <v>88</v>
      </c>
      <c r="I327" s="5">
        <v>7.04</v>
      </c>
      <c r="J327" s="5"/>
      <c r="K327" s="6">
        <v>1</v>
      </c>
      <c r="L327" s="5">
        <v>0.5494505494505495</v>
      </c>
      <c r="M327" s="5"/>
      <c r="N327" s="98"/>
      <c r="O327" s="98"/>
      <c r="P327" s="120"/>
      <c r="Q327" s="133"/>
      <c r="R327" s="133"/>
      <c r="S327" s="133"/>
      <c r="T327" s="133"/>
      <c r="U327" s="133"/>
      <c r="V327" s="133"/>
      <c r="W327" s="120"/>
      <c r="X327" s="120"/>
      <c r="Y327" s="117"/>
      <c r="Z327" s="118"/>
      <c r="AA327" s="118"/>
      <c r="AB327" s="118"/>
      <c r="AC327" s="142"/>
      <c r="AD327" s="39"/>
      <c r="AE327" s="39"/>
      <c r="AF327" s="39"/>
      <c r="AG327" s="39"/>
      <c r="AH327" s="39"/>
      <c r="AI327" s="39"/>
      <c r="AJ327" s="39"/>
      <c r="AK327" s="39"/>
      <c r="AL327" s="39"/>
    </row>
    <row r="328" spans="1:38" ht="14.1" customHeight="1" x14ac:dyDescent="0.25">
      <c r="A328" s="61" t="s">
        <v>37</v>
      </c>
      <c r="B328" s="6">
        <v>9623</v>
      </c>
      <c r="C328" s="5">
        <v>15.422462978396052</v>
      </c>
      <c r="D328" s="5"/>
      <c r="E328" s="6">
        <v>9543</v>
      </c>
      <c r="F328" s="16">
        <v>15.653500426481202</v>
      </c>
      <c r="G328" s="5"/>
      <c r="H328" s="6">
        <v>76</v>
      </c>
      <c r="I328" s="5">
        <v>6.08</v>
      </c>
      <c r="J328" s="5"/>
      <c r="K328" s="6">
        <v>4</v>
      </c>
      <c r="L328" s="5">
        <v>2.197802197802198</v>
      </c>
      <c r="M328" s="5"/>
      <c r="N328" s="98"/>
      <c r="O328" s="98"/>
      <c r="P328" s="120"/>
      <c r="Q328" s="133"/>
      <c r="R328" s="133"/>
      <c r="S328" s="133"/>
      <c r="T328" s="133"/>
      <c r="U328" s="133"/>
      <c r="V328" s="133"/>
      <c r="W328" s="120"/>
      <c r="X328" s="120"/>
      <c r="Y328" s="117"/>
      <c r="Z328" s="118"/>
      <c r="AA328" s="118"/>
      <c r="AB328" s="118"/>
      <c r="AC328" s="142"/>
      <c r="AD328" s="39"/>
      <c r="AE328" s="39"/>
      <c r="AF328" s="39"/>
      <c r="AG328" s="39"/>
      <c r="AH328" s="39"/>
      <c r="AI328" s="39"/>
      <c r="AJ328" s="39"/>
      <c r="AK328" s="39"/>
      <c r="AL328" s="39"/>
    </row>
    <row r="329" spans="1:38" ht="14.1" customHeight="1" x14ac:dyDescent="0.25">
      <c r="A329" s="61"/>
      <c r="B329" s="6"/>
      <c r="C329" s="5"/>
      <c r="D329" s="5"/>
      <c r="E329" s="6"/>
      <c r="F329" s="5"/>
      <c r="G329" s="5"/>
      <c r="H329" s="6"/>
      <c r="I329" s="5"/>
      <c r="J329" s="5"/>
      <c r="K329" s="6"/>
      <c r="L329" s="5"/>
      <c r="M329" s="5"/>
      <c r="N329" s="98"/>
      <c r="O329" s="98"/>
      <c r="P329" s="120"/>
      <c r="Q329" s="133"/>
      <c r="R329" s="133"/>
      <c r="S329" s="133"/>
      <c r="T329" s="133"/>
      <c r="U329" s="133"/>
      <c r="V329" s="133"/>
      <c r="W329" s="120"/>
      <c r="X329" s="120"/>
      <c r="Y329" s="118"/>
      <c r="Z329" s="118"/>
      <c r="AA329" s="118"/>
      <c r="AB329" s="118"/>
      <c r="AC329" s="142"/>
      <c r="AD329" s="39"/>
      <c r="AE329" s="39"/>
      <c r="AF329" s="39"/>
      <c r="AG329" s="39"/>
      <c r="AH329" s="39"/>
      <c r="AI329" s="39"/>
      <c r="AJ329" s="39"/>
      <c r="AK329" s="39"/>
      <c r="AL329" s="39"/>
    </row>
    <row r="330" spans="1:38" s="35" customFormat="1" ht="14.1" customHeight="1" x14ac:dyDescent="0.25">
      <c r="A330" s="63" t="s">
        <v>3</v>
      </c>
      <c r="B330" s="9">
        <v>43443</v>
      </c>
      <c r="C330" s="15">
        <v>100</v>
      </c>
      <c r="D330" s="15"/>
      <c r="E330" s="9">
        <v>42772</v>
      </c>
      <c r="F330" s="96">
        <v>100</v>
      </c>
      <c r="G330" s="96"/>
      <c r="H330" s="95">
        <v>586</v>
      </c>
      <c r="I330" s="96">
        <v>100</v>
      </c>
      <c r="J330" s="96"/>
      <c r="K330" s="9">
        <v>85</v>
      </c>
      <c r="L330" s="15">
        <v>100</v>
      </c>
      <c r="M330" s="15"/>
      <c r="N330" s="96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117"/>
      <c r="Z330" s="118"/>
      <c r="AA330" s="118"/>
      <c r="AB330" s="118"/>
      <c r="AC330" s="142"/>
      <c r="AD330" s="39"/>
      <c r="AE330" s="39"/>
      <c r="AF330" s="39"/>
      <c r="AG330" s="39"/>
      <c r="AH330" s="39"/>
      <c r="AI330" s="39"/>
      <c r="AJ330" s="39"/>
      <c r="AK330" s="39"/>
      <c r="AL330" s="39"/>
    </row>
    <row r="331" spans="1:38" ht="14.1" customHeight="1" x14ac:dyDescent="0.25">
      <c r="A331" s="61" t="s">
        <v>57</v>
      </c>
      <c r="B331" s="6">
        <v>608</v>
      </c>
      <c r="C331" s="5">
        <v>1.3995350229035748</v>
      </c>
      <c r="D331" s="5"/>
      <c r="E331" s="6">
        <v>593</v>
      </c>
      <c r="F331" s="5">
        <v>1.3864210230992238</v>
      </c>
      <c r="G331" s="5"/>
      <c r="H331" s="6">
        <v>11</v>
      </c>
      <c r="I331" s="5">
        <v>1.877133105802048</v>
      </c>
      <c r="J331" s="5"/>
      <c r="K331" s="6">
        <v>4</v>
      </c>
      <c r="L331" s="5">
        <v>4.7058823529411766</v>
      </c>
      <c r="M331" s="5"/>
      <c r="N331" s="98"/>
      <c r="O331" s="98"/>
      <c r="P331" s="120"/>
      <c r="Q331" s="133"/>
      <c r="R331" s="133"/>
      <c r="S331" s="133"/>
      <c r="T331" s="133"/>
      <c r="U331" s="133"/>
      <c r="V331" s="133"/>
      <c r="W331" s="120"/>
      <c r="X331" s="120"/>
      <c r="Y331" s="117"/>
      <c r="Z331" s="118"/>
      <c r="AA331" s="118"/>
      <c r="AB331" s="118"/>
      <c r="AC331" s="142"/>
      <c r="AD331" s="39"/>
      <c r="AE331" s="39"/>
      <c r="AF331" s="39"/>
      <c r="AG331" s="39"/>
      <c r="AH331" s="39"/>
      <c r="AI331" s="39"/>
      <c r="AJ331" s="39"/>
      <c r="AK331" s="39"/>
      <c r="AL331" s="39"/>
    </row>
    <row r="332" spans="1:38" ht="14.1" customHeight="1" x14ac:dyDescent="0.25">
      <c r="A332" s="61" t="s">
        <v>29</v>
      </c>
      <c r="B332" s="6">
        <v>160</v>
      </c>
      <c r="C332" s="5">
        <v>0.36829869023778283</v>
      </c>
      <c r="D332" s="5"/>
      <c r="E332" s="6">
        <v>153</v>
      </c>
      <c r="F332" s="5">
        <v>0.35771065182829892</v>
      </c>
      <c r="G332" s="5"/>
      <c r="H332" s="6">
        <v>7</v>
      </c>
      <c r="I332" s="5">
        <v>1.1945392491467577</v>
      </c>
      <c r="J332" s="5"/>
      <c r="K332" s="3" t="s">
        <v>96</v>
      </c>
      <c r="L332" s="16" t="s">
        <v>96</v>
      </c>
      <c r="M332" s="5"/>
      <c r="N332" s="98"/>
      <c r="O332" s="98"/>
      <c r="P332" s="120"/>
      <c r="Q332" s="133"/>
      <c r="R332" s="133"/>
      <c r="S332" s="133"/>
      <c r="T332" s="133"/>
      <c r="U332" s="133"/>
      <c r="V332" s="133"/>
      <c r="W332" s="120"/>
      <c r="X332" s="120"/>
      <c r="Y332" s="117"/>
      <c r="Z332" s="118"/>
      <c r="AA332" s="118"/>
      <c r="AB332" s="118"/>
      <c r="AC332" s="142"/>
      <c r="AD332" s="39"/>
      <c r="AE332" s="39"/>
      <c r="AF332" s="39"/>
      <c r="AG332" s="39"/>
      <c r="AH332" s="39"/>
      <c r="AI332" s="39"/>
      <c r="AJ332" s="39"/>
      <c r="AK332" s="39"/>
      <c r="AL332" s="39"/>
    </row>
    <row r="333" spans="1:38" ht="14.1" customHeight="1" x14ac:dyDescent="0.25">
      <c r="A333" s="61" t="s">
        <v>30</v>
      </c>
      <c r="B333" s="6">
        <v>2912</v>
      </c>
      <c r="C333" s="5">
        <v>6.7030361623276482</v>
      </c>
      <c r="D333" s="5"/>
      <c r="E333" s="6">
        <v>2839</v>
      </c>
      <c r="F333" s="5">
        <v>6.637519872813991</v>
      </c>
      <c r="G333" s="5"/>
      <c r="H333" s="6">
        <v>65</v>
      </c>
      <c r="I333" s="5">
        <v>11.092150170648464</v>
      </c>
      <c r="J333" s="5"/>
      <c r="K333" s="3">
        <v>8</v>
      </c>
      <c r="L333" s="16">
        <v>9.4117647058823533</v>
      </c>
      <c r="M333" s="5"/>
      <c r="N333" s="98"/>
      <c r="O333" s="98"/>
      <c r="P333" s="120"/>
      <c r="Q333" s="133"/>
      <c r="R333" s="133"/>
      <c r="S333" s="133"/>
      <c r="T333" s="133"/>
      <c r="U333" s="133"/>
      <c r="V333" s="133"/>
      <c r="W333" s="120"/>
      <c r="X333" s="120"/>
      <c r="Y333" s="117"/>
      <c r="Z333" s="118"/>
      <c r="AA333" s="118"/>
      <c r="AB333" s="118"/>
      <c r="AC333" s="142"/>
      <c r="AD333" s="39"/>
      <c r="AE333" s="39"/>
      <c r="AF333" s="39"/>
      <c r="AG333" s="39"/>
      <c r="AH333" s="39"/>
      <c r="AI333" s="39"/>
      <c r="AJ333" s="39"/>
      <c r="AK333" s="39"/>
      <c r="AL333" s="39"/>
    </row>
    <row r="334" spans="1:38" ht="14.1" customHeight="1" x14ac:dyDescent="0.25">
      <c r="A334" s="61" t="s">
        <v>31</v>
      </c>
      <c r="B334" s="6">
        <v>55</v>
      </c>
      <c r="C334" s="5">
        <v>0.12660267476923784</v>
      </c>
      <c r="D334" s="5"/>
      <c r="E334" s="6">
        <v>51</v>
      </c>
      <c r="F334" s="5">
        <v>0.11923688394276628</v>
      </c>
      <c r="G334" s="5"/>
      <c r="H334" s="6">
        <v>1</v>
      </c>
      <c r="I334" s="5">
        <v>0.17064846416382254</v>
      </c>
      <c r="J334" s="5"/>
      <c r="K334" s="3">
        <v>3</v>
      </c>
      <c r="L334" s="16">
        <v>3.5294117647058822</v>
      </c>
      <c r="M334" s="5"/>
      <c r="N334" s="98"/>
      <c r="O334" s="98"/>
      <c r="P334" s="120"/>
      <c r="Q334" s="133"/>
      <c r="R334" s="133"/>
      <c r="S334" s="133"/>
      <c r="T334" s="133"/>
      <c r="U334" s="133"/>
      <c r="V334" s="133"/>
      <c r="W334" s="120"/>
      <c r="X334" s="120"/>
      <c r="Y334" s="117"/>
      <c r="Z334" s="118"/>
      <c r="AA334" s="118"/>
      <c r="AB334" s="118"/>
      <c r="AC334" s="142"/>
      <c r="AD334" s="39"/>
      <c r="AE334" s="39"/>
      <c r="AF334" s="39"/>
      <c r="AG334" s="39"/>
      <c r="AH334" s="39"/>
      <c r="AI334" s="39"/>
      <c r="AJ334" s="39"/>
      <c r="AK334" s="39"/>
      <c r="AL334" s="39"/>
    </row>
    <row r="335" spans="1:38" ht="14.1" customHeight="1" x14ac:dyDescent="0.25">
      <c r="A335" s="61" t="s">
        <v>32</v>
      </c>
      <c r="B335" s="6">
        <v>801</v>
      </c>
      <c r="C335" s="5">
        <v>1.8437953180029003</v>
      </c>
      <c r="D335" s="5"/>
      <c r="E335" s="6">
        <v>766</v>
      </c>
      <c r="F335" s="5">
        <v>1.7908912372580192</v>
      </c>
      <c r="G335" s="5"/>
      <c r="H335" s="6">
        <v>32</v>
      </c>
      <c r="I335" s="5">
        <v>5.4607508532423212</v>
      </c>
      <c r="J335" s="5"/>
      <c r="K335" s="3">
        <v>3</v>
      </c>
      <c r="L335" s="16">
        <v>3.5294117647058822</v>
      </c>
      <c r="M335" s="5"/>
      <c r="N335" s="98"/>
      <c r="O335" s="98"/>
      <c r="P335" s="120"/>
      <c r="Q335" s="133"/>
      <c r="R335" s="133"/>
      <c r="S335" s="133"/>
      <c r="T335" s="133"/>
      <c r="U335" s="133"/>
      <c r="V335" s="133"/>
      <c r="W335" s="120"/>
      <c r="X335" s="120"/>
      <c r="Y335" s="117"/>
      <c r="Z335" s="118"/>
      <c r="AA335" s="118"/>
      <c r="AB335" s="118"/>
      <c r="AC335" s="142"/>
      <c r="AD335" s="39"/>
      <c r="AE335" s="39"/>
      <c r="AF335" s="39"/>
      <c r="AG335" s="39"/>
      <c r="AH335" s="39"/>
      <c r="AI335" s="39"/>
      <c r="AJ335" s="39"/>
      <c r="AK335" s="39"/>
      <c r="AL335" s="39"/>
    </row>
    <row r="336" spans="1:38" ht="14.1" customHeight="1" x14ac:dyDescent="0.25">
      <c r="A336" s="61" t="s">
        <v>33</v>
      </c>
      <c r="B336" s="6">
        <v>21839</v>
      </c>
      <c r="C336" s="5">
        <v>50.270469350643374</v>
      </c>
      <c r="D336" s="5"/>
      <c r="E336" s="6">
        <v>21440</v>
      </c>
      <c r="F336" s="5">
        <v>50.02625081829234</v>
      </c>
      <c r="G336" s="5"/>
      <c r="H336" s="6">
        <v>342</v>
      </c>
      <c r="I336" s="5">
        <v>58.261774744027306</v>
      </c>
      <c r="J336" s="5"/>
      <c r="K336" s="3">
        <v>57</v>
      </c>
      <c r="L336" s="16">
        <v>67.058823529411754</v>
      </c>
      <c r="M336" s="5"/>
      <c r="N336" s="98"/>
      <c r="O336" s="98"/>
      <c r="P336" s="120"/>
      <c r="Q336" s="133"/>
      <c r="R336" s="133"/>
      <c r="S336" s="133"/>
      <c r="T336" s="133"/>
      <c r="U336" s="133"/>
      <c r="V336" s="133"/>
      <c r="W336" s="120"/>
      <c r="X336" s="120"/>
      <c r="Y336" s="117"/>
      <c r="Z336" s="118"/>
      <c r="AA336" s="118"/>
      <c r="AB336" s="118"/>
      <c r="AC336" s="142"/>
      <c r="AD336" s="39"/>
      <c r="AE336" s="39"/>
      <c r="AF336" s="39"/>
      <c r="AG336" s="39"/>
      <c r="AH336" s="39"/>
      <c r="AI336" s="39"/>
      <c r="AJ336" s="39"/>
      <c r="AK336" s="39"/>
      <c r="AL336" s="39"/>
    </row>
    <row r="337" spans="1:38" ht="14.1" customHeight="1" x14ac:dyDescent="0.25">
      <c r="A337" s="61" t="s">
        <v>34</v>
      </c>
      <c r="B337" s="6">
        <v>2403</v>
      </c>
      <c r="C337" s="5">
        <v>5.5313859540087007</v>
      </c>
      <c r="D337" s="5"/>
      <c r="E337" s="6">
        <v>2345</v>
      </c>
      <c r="F337" s="5">
        <v>5.4825586832507245</v>
      </c>
      <c r="G337" s="5"/>
      <c r="H337" s="6">
        <v>53</v>
      </c>
      <c r="I337" s="5">
        <v>9.0443686006825939</v>
      </c>
      <c r="J337" s="5"/>
      <c r="K337" s="3">
        <v>5</v>
      </c>
      <c r="L337" s="16">
        <v>5.8823529411764701</v>
      </c>
      <c r="M337" s="5"/>
      <c r="N337" s="98"/>
      <c r="O337" s="98"/>
      <c r="P337" s="120"/>
      <c r="Q337" s="133"/>
      <c r="R337" s="133"/>
      <c r="S337" s="133"/>
      <c r="T337" s="133"/>
      <c r="U337" s="133"/>
      <c r="V337" s="133"/>
      <c r="W337" s="120"/>
      <c r="X337" s="120"/>
      <c r="Y337" s="117"/>
      <c r="Z337" s="118"/>
      <c r="AA337" s="118"/>
      <c r="AB337" s="118"/>
      <c r="AC337" s="142"/>
      <c r="AD337" s="39"/>
      <c r="AE337" s="39"/>
      <c r="AF337" s="39"/>
      <c r="AG337" s="39"/>
      <c r="AH337" s="39"/>
      <c r="AI337" s="39"/>
      <c r="AJ337" s="39"/>
      <c r="AK337" s="39"/>
      <c r="AL337" s="39"/>
    </row>
    <row r="338" spans="1:38" ht="14.1" customHeight="1" x14ac:dyDescent="0.25">
      <c r="A338" s="61" t="s">
        <v>68</v>
      </c>
      <c r="B338" s="6">
        <v>554</v>
      </c>
      <c r="C338" s="5">
        <v>1.2752342149483231</v>
      </c>
      <c r="D338" s="5"/>
      <c r="E338" s="6">
        <v>549</v>
      </c>
      <c r="F338" s="5">
        <v>1.2835499859721313</v>
      </c>
      <c r="G338" s="5"/>
      <c r="H338" s="6">
        <v>5</v>
      </c>
      <c r="I338" s="5">
        <v>0.85324232081911267</v>
      </c>
      <c r="J338" s="5"/>
      <c r="K338" s="3" t="s">
        <v>96</v>
      </c>
      <c r="L338" s="16" t="s">
        <v>96</v>
      </c>
      <c r="M338" s="5"/>
      <c r="N338" s="98"/>
      <c r="O338" s="98"/>
      <c r="P338" s="120"/>
      <c r="Q338" s="133"/>
      <c r="R338" s="133"/>
      <c r="S338" s="133"/>
      <c r="T338" s="133"/>
      <c r="U338" s="133"/>
      <c r="V338" s="133"/>
      <c r="W338" s="120"/>
      <c r="X338" s="120"/>
      <c r="Y338" s="117"/>
      <c r="Z338" s="118"/>
      <c r="AA338" s="118"/>
      <c r="AB338" s="118"/>
      <c r="AC338" s="142"/>
      <c r="AD338" s="39"/>
      <c r="AE338" s="39"/>
      <c r="AF338" s="39"/>
      <c r="AG338" s="39"/>
      <c r="AH338" s="39"/>
      <c r="AI338" s="39"/>
      <c r="AJ338" s="39"/>
      <c r="AK338" s="39"/>
      <c r="AL338" s="39"/>
    </row>
    <row r="339" spans="1:38" ht="14.1" customHeight="1" x14ac:dyDescent="0.25">
      <c r="A339" s="61" t="s">
        <v>69</v>
      </c>
      <c r="B339" s="6">
        <v>3463</v>
      </c>
      <c r="C339" s="5">
        <v>7.9713647768340126</v>
      </c>
      <c r="D339" s="5"/>
      <c r="E339" s="6">
        <v>3453</v>
      </c>
      <c r="F339" s="5">
        <v>8.0730384363602354</v>
      </c>
      <c r="G339" s="5"/>
      <c r="H339" s="6">
        <v>10</v>
      </c>
      <c r="I339" s="5">
        <v>1.7064846416382253</v>
      </c>
      <c r="J339" s="5"/>
      <c r="K339" s="3" t="s">
        <v>96</v>
      </c>
      <c r="L339" s="16" t="s">
        <v>96</v>
      </c>
      <c r="M339" s="5"/>
      <c r="N339" s="98"/>
      <c r="O339" s="98"/>
      <c r="P339" s="120"/>
      <c r="Q339" s="133"/>
      <c r="R339" s="133"/>
      <c r="S339" s="133"/>
      <c r="T339" s="133"/>
      <c r="U339" s="133"/>
      <c r="V339" s="133"/>
      <c r="W339" s="120"/>
      <c r="X339" s="120"/>
      <c r="Y339" s="118"/>
      <c r="Z339" s="118"/>
      <c r="AA339" s="118"/>
      <c r="AB339" s="118"/>
      <c r="AC339" s="142"/>
      <c r="AD339" s="39"/>
      <c r="AE339" s="39"/>
      <c r="AF339" s="39"/>
      <c r="AG339" s="39"/>
      <c r="AH339" s="39"/>
      <c r="AI339" s="39"/>
      <c r="AJ339" s="39"/>
      <c r="AK339" s="39"/>
      <c r="AL339" s="39"/>
    </row>
    <row r="340" spans="1:38" ht="14.1" customHeight="1" x14ac:dyDescent="0.25">
      <c r="A340" s="61" t="s">
        <v>35</v>
      </c>
      <c r="B340" s="6">
        <v>729</v>
      </c>
      <c r="C340" s="5">
        <v>1.6780609073958979</v>
      </c>
      <c r="D340" s="5"/>
      <c r="E340" s="6">
        <v>718</v>
      </c>
      <c r="F340" s="5">
        <v>1.6786682876648276</v>
      </c>
      <c r="G340" s="5"/>
      <c r="H340" s="6">
        <v>10</v>
      </c>
      <c r="I340" s="5">
        <v>1.7064846416382253</v>
      </c>
      <c r="J340" s="5"/>
      <c r="K340" s="3">
        <v>1</v>
      </c>
      <c r="L340" s="16">
        <v>1.1764705882352942</v>
      </c>
      <c r="M340" s="5"/>
      <c r="N340" s="98"/>
      <c r="O340" s="98"/>
      <c r="P340" s="120"/>
      <c r="Q340" s="133"/>
      <c r="R340" s="133"/>
      <c r="S340" s="133"/>
      <c r="T340" s="133"/>
      <c r="U340" s="133"/>
      <c r="V340" s="133"/>
      <c r="W340" s="120"/>
      <c r="X340" s="120"/>
      <c r="Y340" s="117"/>
      <c r="Z340" s="117"/>
      <c r="AA340" s="117"/>
      <c r="AB340" s="117"/>
      <c r="AC340" s="142"/>
      <c r="AD340" s="39"/>
      <c r="AE340" s="39"/>
      <c r="AF340" s="39"/>
      <c r="AG340" s="39"/>
      <c r="AH340" s="39"/>
      <c r="AI340" s="39"/>
      <c r="AJ340" s="39"/>
      <c r="AK340" s="39"/>
      <c r="AL340" s="39"/>
    </row>
    <row r="341" spans="1:38" ht="14.1" customHeight="1" x14ac:dyDescent="0.25">
      <c r="A341" s="61" t="s">
        <v>36</v>
      </c>
      <c r="B341" s="6">
        <v>2920</v>
      </c>
      <c r="C341" s="5">
        <v>6.7214510968395373</v>
      </c>
      <c r="D341" s="5"/>
      <c r="E341" s="6">
        <v>2900</v>
      </c>
      <c r="F341" s="5">
        <v>6.7801365379220044</v>
      </c>
      <c r="G341" s="5"/>
      <c r="H341" s="6">
        <v>19</v>
      </c>
      <c r="I341" s="5">
        <v>3.2423208191126278</v>
      </c>
      <c r="J341" s="5"/>
      <c r="K341" s="3">
        <v>1</v>
      </c>
      <c r="L341" s="16">
        <v>1.1764705882352942</v>
      </c>
      <c r="M341" s="5"/>
      <c r="N341" s="98"/>
      <c r="O341" s="98"/>
      <c r="P341" s="120"/>
      <c r="Q341" s="133"/>
      <c r="R341" s="133"/>
      <c r="S341" s="133"/>
      <c r="T341" s="133"/>
      <c r="U341" s="133"/>
      <c r="V341" s="133"/>
      <c r="W341" s="120"/>
      <c r="X341" s="120"/>
      <c r="Y341" s="117"/>
      <c r="Z341" s="118"/>
      <c r="AA341" s="118"/>
      <c r="AB341" s="118"/>
      <c r="AC341" s="142"/>
      <c r="AD341" s="39"/>
      <c r="AE341" s="39"/>
      <c r="AF341" s="39"/>
      <c r="AG341" s="39"/>
      <c r="AH341" s="39"/>
      <c r="AI341" s="39"/>
      <c r="AJ341" s="39"/>
      <c r="AK341" s="39"/>
      <c r="AL341" s="39"/>
    </row>
    <row r="342" spans="1:38" ht="14.1" customHeight="1" x14ac:dyDescent="0.25">
      <c r="A342" s="61" t="s">
        <v>37</v>
      </c>
      <c r="B342" s="6">
        <v>6999</v>
      </c>
      <c r="C342" s="5">
        <v>16.110765831089012</v>
      </c>
      <c r="D342" s="5"/>
      <c r="E342" s="6">
        <v>6965</v>
      </c>
      <c r="F342" s="5">
        <v>16.284017581595435</v>
      </c>
      <c r="G342" s="5"/>
      <c r="H342" s="6">
        <v>31</v>
      </c>
      <c r="I342" s="5">
        <v>5.2901023890784984</v>
      </c>
      <c r="J342" s="5"/>
      <c r="K342" s="6">
        <v>3</v>
      </c>
      <c r="L342" s="5">
        <v>3.5294117647058822</v>
      </c>
      <c r="M342" s="5"/>
      <c r="N342" s="98"/>
      <c r="O342" s="98"/>
      <c r="P342" s="120"/>
      <c r="Q342" s="133"/>
      <c r="R342" s="133"/>
      <c r="S342" s="133"/>
      <c r="T342" s="133"/>
      <c r="U342" s="133"/>
      <c r="V342" s="133"/>
      <c r="W342" s="120"/>
      <c r="X342" s="120"/>
      <c r="Y342" s="117"/>
      <c r="Z342" s="118"/>
      <c r="AA342" s="118"/>
      <c r="AB342" s="118"/>
      <c r="AC342" s="142"/>
      <c r="AD342" s="39"/>
      <c r="AE342" s="39"/>
      <c r="AF342" s="39"/>
      <c r="AG342" s="39"/>
      <c r="AH342" s="39"/>
      <c r="AI342" s="39"/>
      <c r="AJ342" s="39"/>
      <c r="AK342" s="39"/>
      <c r="AL342" s="39"/>
    </row>
    <row r="343" spans="1:38" ht="14.1" customHeight="1" x14ac:dyDescent="0.25">
      <c r="A343" s="61"/>
      <c r="B343" s="6"/>
      <c r="C343" s="5"/>
      <c r="D343" s="5"/>
      <c r="E343" s="6"/>
      <c r="F343" s="5"/>
      <c r="G343" s="5"/>
      <c r="H343" s="6"/>
      <c r="I343" s="5"/>
      <c r="J343" s="5"/>
      <c r="K343" s="6"/>
      <c r="L343" s="5"/>
      <c r="M343" s="5"/>
      <c r="N343" s="98"/>
      <c r="O343" s="98"/>
      <c r="P343" s="120"/>
      <c r="Q343" s="133"/>
      <c r="R343" s="133"/>
      <c r="S343" s="133"/>
      <c r="T343" s="133"/>
      <c r="U343" s="133"/>
      <c r="V343" s="133"/>
      <c r="W343" s="120"/>
      <c r="X343" s="120"/>
      <c r="Y343" s="118"/>
      <c r="Z343" s="118"/>
      <c r="AA343" s="118"/>
      <c r="AB343" s="118"/>
      <c r="AC343" s="142"/>
      <c r="AD343" s="39"/>
      <c r="AE343" s="39"/>
      <c r="AF343" s="39"/>
      <c r="AG343" s="39"/>
      <c r="AH343" s="39"/>
      <c r="AI343" s="39"/>
      <c r="AJ343" s="39"/>
      <c r="AK343" s="39"/>
      <c r="AL343" s="39"/>
    </row>
    <row r="344" spans="1:38" s="35" customFormat="1" ht="14.1" customHeight="1" x14ac:dyDescent="0.25">
      <c r="A344" s="63" t="s">
        <v>2</v>
      </c>
      <c r="B344" s="9">
        <v>22813</v>
      </c>
      <c r="C344" s="96">
        <v>100</v>
      </c>
      <c r="D344" s="96"/>
      <c r="E344" s="95">
        <v>22517</v>
      </c>
      <c r="F344" s="96">
        <v>100</v>
      </c>
      <c r="G344" s="96"/>
      <c r="H344" s="95">
        <v>266</v>
      </c>
      <c r="I344" s="96">
        <v>100</v>
      </c>
      <c r="J344" s="96"/>
      <c r="K344" s="95">
        <v>30</v>
      </c>
      <c r="L344" s="96">
        <v>100</v>
      </c>
      <c r="M344" s="15"/>
      <c r="N344" s="96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117"/>
      <c r="Z344" s="118"/>
      <c r="AA344" s="118"/>
      <c r="AB344" s="118"/>
      <c r="AC344" s="142"/>
      <c r="AD344" s="39"/>
      <c r="AE344" s="39"/>
      <c r="AF344" s="39"/>
      <c r="AG344" s="39"/>
      <c r="AH344" s="39"/>
      <c r="AI344" s="39"/>
      <c r="AJ344" s="39"/>
      <c r="AK344" s="39"/>
      <c r="AL344" s="39"/>
    </row>
    <row r="345" spans="1:38" ht="14.1" customHeight="1" x14ac:dyDescent="0.25">
      <c r="A345" s="61" t="s">
        <v>57</v>
      </c>
      <c r="B345" s="6">
        <v>516</v>
      </c>
      <c r="C345" s="5">
        <v>2.2618682330250297</v>
      </c>
      <c r="D345" s="5"/>
      <c r="E345" s="6">
        <v>481</v>
      </c>
      <c r="F345" s="5">
        <v>2.1361637873606609</v>
      </c>
      <c r="G345" s="5"/>
      <c r="H345" s="6">
        <v>26</v>
      </c>
      <c r="I345" s="5">
        <v>9.7344360902255644</v>
      </c>
      <c r="J345" s="5"/>
      <c r="K345" s="6">
        <v>9</v>
      </c>
      <c r="L345" s="5">
        <v>30.1</v>
      </c>
      <c r="M345" s="5"/>
      <c r="N345" s="98"/>
      <c r="O345" s="98"/>
      <c r="P345" s="120"/>
      <c r="Q345" s="133"/>
      <c r="R345" s="133"/>
      <c r="S345" s="133"/>
      <c r="T345" s="133"/>
      <c r="U345" s="133"/>
      <c r="V345" s="133"/>
      <c r="W345" s="120"/>
      <c r="X345" s="120"/>
      <c r="Y345" s="117"/>
      <c r="Z345" s="118"/>
      <c r="AA345" s="118"/>
      <c r="AB345" s="118"/>
      <c r="AC345" s="142"/>
      <c r="AD345" s="39"/>
      <c r="AE345" s="39"/>
      <c r="AF345" s="39"/>
      <c r="AG345" s="39"/>
      <c r="AH345" s="39"/>
      <c r="AI345" s="39"/>
      <c r="AJ345" s="39"/>
      <c r="AK345" s="39"/>
      <c r="AL345" s="39"/>
    </row>
    <row r="346" spans="1:38" ht="14.1" customHeight="1" x14ac:dyDescent="0.25">
      <c r="A346" s="61" t="s">
        <v>29</v>
      </c>
      <c r="B346" s="6">
        <v>43</v>
      </c>
      <c r="C346" s="5">
        <v>0.18848901941875248</v>
      </c>
      <c r="D346" s="5"/>
      <c r="E346" s="6">
        <v>41</v>
      </c>
      <c r="F346" s="5">
        <v>0.18208464715548253</v>
      </c>
      <c r="G346" s="5"/>
      <c r="H346" s="3">
        <v>2</v>
      </c>
      <c r="I346" s="16">
        <v>0.75187969924812026</v>
      </c>
      <c r="J346" s="5"/>
      <c r="K346" s="3" t="s">
        <v>96</v>
      </c>
      <c r="L346" s="3" t="s">
        <v>96</v>
      </c>
      <c r="M346" s="5"/>
      <c r="N346" s="98"/>
      <c r="O346" s="98"/>
      <c r="P346" s="120"/>
      <c r="Q346" s="133"/>
      <c r="R346" s="133"/>
      <c r="S346" s="133"/>
      <c r="T346" s="133"/>
      <c r="U346" s="133"/>
      <c r="V346" s="133"/>
      <c r="W346" s="120"/>
      <c r="X346" s="120"/>
      <c r="Y346" s="117"/>
      <c r="Z346" s="118"/>
      <c r="AA346" s="118"/>
      <c r="AB346" s="118"/>
      <c r="AC346" s="142"/>
      <c r="AD346" s="39"/>
      <c r="AE346" s="39"/>
      <c r="AF346" s="39"/>
      <c r="AG346" s="39"/>
      <c r="AH346" s="39"/>
      <c r="AI346" s="39"/>
      <c r="AJ346" s="39"/>
      <c r="AK346" s="39"/>
      <c r="AL346" s="39"/>
    </row>
    <row r="347" spans="1:38" ht="14.1" customHeight="1" x14ac:dyDescent="0.25">
      <c r="A347" s="61" t="s">
        <v>30</v>
      </c>
      <c r="B347" s="6">
        <v>753</v>
      </c>
      <c r="C347" s="5">
        <v>3.3007495726121072</v>
      </c>
      <c r="D347" s="5"/>
      <c r="E347" s="6">
        <v>740</v>
      </c>
      <c r="F347" s="5">
        <v>3.2864058267087088</v>
      </c>
      <c r="G347" s="5"/>
      <c r="H347" s="6">
        <v>9</v>
      </c>
      <c r="I347" s="5">
        <v>3.3834586466165413</v>
      </c>
      <c r="J347" s="5"/>
      <c r="K347" s="3">
        <v>4</v>
      </c>
      <c r="L347" s="16">
        <v>13.333333333333334</v>
      </c>
      <c r="M347" s="5"/>
      <c r="N347" s="98"/>
      <c r="O347" s="98"/>
      <c r="P347" s="120"/>
      <c r="Q347" s="133"/>
      <c r="R347" s="133"/>
      <c r="S347" s="133"/>
      <c r="T347" s="133"/>
      <c r="U347" s="133"/>
      <c r="V347" s="133"/>
      <c r="W347" s="120"/>
      <c r="X347" s="120"/>
      <c r="Y347" s="117"/>
      <c r="Z347" s="118"/>
      <c r="AA347" s="118"/>
      <c r="AB347" s="118"/>
      <c r="AC347" s="142"/>
      <c r="AD347" s="39"/>
      <c r="AE347" s="39"/>
      <c r="AF347" s="39"/>
      <c r="AG347" s="39"/>
      <c r="AH347" s="39"/>
      <c r="AI347" s="39"/>
      <c r="AJ347" s="39"/>
      <c r="AK347" s="39"/>
      <c r="AL347" s="39"/>
    </row>
    <row r="348" spans="1:38" ht="14.1" customHeight="1" x14ac:dyDescent="0.25">
      <c r="A348" s="61" t="s">
        <v>31</v>
      </c>
      <c r="B348" s="6">
        <v>74</v>
      </c>
      <c r="C348" s="5">
        <v>0.32437645202296939</v>
      </c>
      <c r="D348" s="5"/>
      <c r="E348" s="6">
        <v>71</v>
      </c>
      <c r="F348" s="5">
        <v>0.31531731580583561</v>
      </c>
      <c r="G348" s="5"/>
      <c r="H348" s="6">
        <v>2</v>
      </c>
      <c r="I348" s="5">
        <v>0.75187969924812026</v>
      </c>
      <c r="J348" s="5"/>
      <c r="K348" s="3">
        <v>1</v>
      </c>
      <c r="L348" s="16">
        <v>3.3333333333333335</v>
      </c>
      <c r="M348" s="5"/>
      <c r="N348" s="98"/>
      <c r="O348" s="98"/>
      <c r="P348" s="120"/>
      <c r="Q348" s="133"/>
      <c r="R348" s="133"/>
      <c r="S348" s="133"/>
      <c r="T348" s="133"/>
      <c r="U348" s="133"/>
      <c r="V348" s="133"/>
      <c r="W348" s="120"/>
      <c r="X348" s="120"/>
      <c r="Y348" s="117"/>
      <c r="Z348" s="118"/>
      <c r="AA348" s="118"/>
      <c r="AB348" s="118"/>
      <c r="AC348" s="142"/>
      <c r="AD348" s="39"/>
      <c r="AE348" s="39"/>
      <c r="AF348" s="39"/>
      <c r="AG348" s="39"/>
      <c r="AH348" s="39"/>
      <c r="AI348" s="39"/>
      <c r="AJ348" s="39"/>
      <c r="AK348" s="39"/>
      <c r="AL348" s="39"/>
    </row>
    <row r="349" spans="1:38" ht="14.1" customHeight="1" x14ac:dyDescent="0.25">
      <c r="A349" s="61" t="s">
        <v>32</v>
      </c>
      <c r="B349" s="6">
        <v>780</v>
      </c>
      <c r="C349" s="5">
        <v>3.4191031429448118</v>
      </c>
      <c r="D349" s="5"/>
      <c r="E349" s="6">
        <v>742</v>
      </c>
      <c r="F349" s="5">
        <v>3.2952880046187323</v>
      </c>
      <c r="G349" s="5"/>
      <c r="H349" s="6">
        <v>37</v>
      </c>
      <c r="I349" s="5">
        <v>13.809774436090224</v>
      </c>
      <c r="J349" s="5"/>
      <c r="K349" s="3">
        <v>1</v>
      </c>
      <c r="L349" s="16">
        <v>3.3333333333333335</v>
      </c>
      <c r="M349" s="5"/>
      <c r="N349" s="98"/>
      <c r="O349" s="98"/>
      <c r="P349" s="120"/>
      <c r="Q349" s="133"/>
      <c r="R349" s="133"/>
      <c r="S349" s="133"/>
      <c r="T349" s="133"/>
      <c r="U349" s="133"/>
      <c r="V349" s="133"/>
      <c r="W349" s="120"/>
      <c r="X349" s="120"/>
      <c r="Y349" s="117"/>
      <c r="Z349" s="118"/>
      <c r="AA349" s="118"/>
      <c r="AB349" s="118"/>
      <c r="AC349" s="142"/>
      <c r="AD349" s="39"/>
      <c r="AE349" s="39"/>
      <c r="AF349" s="39"/>
      <c r="AG349" s="39"/>
      <c r="AH349" s="39"/>
      <c r="AI349" s="39"/>
      <c r="AJ349" s="39"/>
      <c r="AK349" s="39"/>
      <c r="AL349" s="39"/>
    </row>
    <row r="350" spans="1:38" ht="14.1" customHeight="1" x14ac:dyDescent="0.25">
      <c r="A350" s="61" t="s">
        <v>33</v>
      </c>
      <c r="B350" s="6">
        <v>11065</v>
      </c>
      <c r="C350" s="5">
        <v>48.503046508569675</v>
      </c>
      <c r="D350" s="5"/>
      <c r="E350" s="6">
        <v>10921</v>
      </c>
      <c r="F350" s="5">
        <v>48.501132477683527</v>
      </c>
      <c r="G350" s="5"/>
      <c r="H350" s="6">
        <v>133</v>
      </c>
      <c r="I350" s="5">
        <v>50</v>
      </c>
      <c r="J350" s="5"/>
      <c r="K350" s="3">
        <v>11</v>
      </c>
      <c r="L350" s="16">
        <v>36.666666666666664</v>
      </c>
      <c r="M350" s="5"/>
      <c r="N350" s="98"/>
      <c r="O350" s="98"/>
      <c r="P350" s="120"/>
      <c r="Q350" s="133"/>
      <c r="R350" s="133"/>
      <c r="S350" s="133"/>
      <c r="T350" s="133"/>
      <c r="U350" s="133"/>
      <c r="V350" s="133"/>
      <c r="W350" s="120"/>
      <c r="X350" s="120"/>
      <c r="Y350" s="117"/>
      <c r="Z350" s="118"/>
      <c r="AA350" s="118"/>
      <c r="AB350" s="118"/>
      <c r="AC350" s="142"/>
      <c r="AD350" s="39"/>
      <c r="AE350" s="39"/>
      <c r="AF350" s="39"/>
      <c r="AG350" s="39"/>
      <c r="AH350" s="39"/>
      <c r="AI350" s="39"/>
      <c r="AJ350" s="39"/>
      <c r="AK350" s="39"/>
      <c r="AL350" s="39"/>
    </row>
    <row r="351" spans="1:38" ht="14.1" customHeight="1" x14ac:dyDescent="0.25">
      <c r="A351" s="61" t="s">
        <v>34</v>
      </c>
      <c r="B351" s="6">
        <v>857</v>
      </c>
      <c r="C351" s="5">
        <v>3.7566299916714154</v>
      </c>
      <c r="D351" s="5"/>
      <c r="E351" s="6">
        <v>837</v>
      </c>
      <c r="F351" s="5">
        <v>3.7171914553448504</v>
      </c>
      <c r="G351" s="5"/>
      <c r="H351" s="6">
        <v>19</v>
      </c>
      <c r="I351" s="5">
        <v>7.1428571428571423</v>
      </c>
      <c r="J351" s="5"/>
      <c r="K351" s="3">
        <v>1</v>
      </c>
      <c r="L351" s="16">
        <v>3.3333333333333335</v>
      </c>
      <c r="M351" s="5"/>
      <c r="N351" s="98"/>
      <c r="O351" s="98"/>
      <c r="P351" s="120"/>
      <c r="Q351" s="133"/>
      <c r="R351" s="133"/>
      <c r="S351" s="133"/>
      <c r="T351" s="133"/>
      <c r="U351" s="133"/>
      <c r="V351" s="133"/>
      <c r="W351" s="120"/>
      <c r="X351" s="120"/>
      <c r="Y351" s="117"/>
      <c r="Z351" s="118"/>
      <c r="AA351" s="118"/>
      <c r="AB351" s="118"/>
      <c r="AC351" s="142"/>
      <c r="AD351" s="39"/>
      <c r="AE351" s="39"/>
      <c r="AF351" s="39"/>
      <c r="AG351" s="39"/>
      <c r="AH351" s="39"/>
      <c r="AI351" s="39"/>
      <c r="AJ351" s="39"/>
      <c r="AK351" s="39"/>
      <c r="AL351" s="39"/>
    </row>
    <row r="352" spans="1:38" ht="14.1" customHeight="1" x14ac:dyDescent="0.25">
      <c r="A352" s="61" t="s">
        <v>68</v>
      </c>
      <c r="B352" s="6">
        <v>268</v>
      </c>
      <c r="C352" s="5">
        <v>1.1747687721912945</v>
      </c>
      <c r="D352" s="5"/>
      <c r="E352" s="6">
        <v>265</v>
      </c>
      <c r="F352" s="5">
        <v>1.1768885730781187</v>
      </c>
      <c r="G352" s="5"/>
      <c r="H352" s="6">
        <v>3</v>
      </c>
      <c r="I352" s="5">
        <v>1.1278195488721803</v>
      </c>
      <c r="J352" s="5"/>
      <c r="K352" s="3" t="s">
        <v>96</v>
      </c>
      <c r="L352" s="3" t="s">
        <v>96</v>
      </c>
      <c r="M352" s="5"/>
      <c r="N352" s="98"/>
      <c r="O352" s="98"/>
      <c r="P352" s="120"/>
      <c r="Q352" s="133"/>
      <c r="R352" s="133"/>
      <c r="S352" s="133"/>
      <c r="T352" s="133"/>
      <c r="U352" s="133"/>
      <c r="V352" s="133"/>
      <c r="W352" s="120"/>
      <c r="X352" s="120"/>
      <c r="Y352" s="117"/>
      <c r="Z352" s="118"/>
      <c r="AA352" s="118"/>
      <c r="AB352" s="118"/>
      <c r="AC352" s="142"/>
      <c r="AD352" s="39"/>
      <c r="AE352" s="39"/>
      <c r="AF352" s="39"/>
      <c r="AG352" s="39"/>
      <c r="AH352" s="39"/>
      <c r="AI352" s="39"/>
      <c r="AJ352" s="39"/>
      <c r="AK352" s="39"/>
      <c r="AL352" s="39"/>
    </row>
    <row r="353" spans="1:38" ht="14.1" customHeight="1" x14ac:dyDescent="0.25">
      <c r="A353" s="61" t="s">
        <v>69</v>
      </c>
      <c r="B353" s="6">
        <v>2158</v>
      </c>
      <c r="C353" s="5">
        <v>9.4595186954806465</v>
      </c>
      <c r="D353" s="5"/>
      <c r="E353" s="6">
        <v>2153</v>
      </c>
      <c r="F353" s="5">
        <v>9.5616645201403383</v>
      </c>
      <c r="G353" s="5"/>
      <c r="H353" s="6">
        <v>5</v>
      </c>
      <c r="I353" s="5">
        <v>1.8796992481203008</v>
      </c>
      <c r="J353" s="5"/>
      <c r="K353" s="3" t="s">
        <v>96</v>
      </c>
      <c r="L353" s="3" t="s">
        <v>96</v>
      </c>
      <c r="M353" s="5"/>
      <c r="N353" s="98"/>
      <c r="O353" s="98"/>
      <c r="P353" s="120"/>
      <c r="Q353" s="133"/>
      <c r="R353" s="133"/>
      <c r="S353" s="133"/>
      <c r="T353" s="133"/>
      <c r="U353" s="133"/>
      <c r="V353" s="133"/>
      <c r="W353" s="120"/>
      <c r="X353" s="120"/>
      <c r="Y353" s="117"/>
      <c r="Z353" s="118"/>
      <c r="AA353" s="118"/>
      <c r="AB353" s="118"/>
      <c r="AC353" s="142"/>
      <c r="AD353" s="39"/>
      <c r="AE353" s="39"/>
      <c r="AF353" s="39"/>
      <c r="AG353" s="39"/>
      <c r="AH353" s="39"/>
      <c r="AI353" s="39"/>
      <c r="AJ353" s="39"/>
      <c r="AK353" s="39"/>
      <c r="AL353" s="39"/>
    </row>
    <row r="354" spans="1:38" ht="14.1" customHeight="1" x14ac:dyDescent="0.25">
      <c r="A354" s="61" t="s">
        <v>35</v>
      </c>
      <c r="B354" s="6">
        <v>203</v>
      </c>
      <c r="C354" s="5">
        <v>0.8898435102792267</v>
      </c>
      <c r="D354" s="5"/>
      <c r="E354" s="6">
        <v>201</v>
      </c>
      <c r="F354" s="5">
        <v>0.89265887995736548</v>
      </c>
      <c r="G354" s="5"/>
      <c r="H354" s="6">
        <v>2</v>
      </c>
      <c r="I354" s="5">
        <v>0.75187969924812026</v>
      </c>
      <c r="J354" s="5"/>
      <c r="K354" s="3" t="s">
        <v>96</v>
      </c>
      <c r="L354" s="3" t="s">
        <v>96</v>
      </c>
      <c r="M354" s="5"/>
      <c r="N354" s="98"/>
      <c r="O354" s="98"/>
      <c r="P354" s="120"/>
      <c r="Q354" s="133"/>
      <c r="R354" s="133"/>
      <c r="S354" s="133"/>
      <c r="T354" s="133"/>
      <c r="U354" s="133"/>
      <c r="V354" s="133"/>
      <c r="W354" s="120"/>
      <c r="X354" s="120"/>
      <c r="Y354" s="118"/>
      <c r="Z354" s="118"/>
      <c r="AA354" s="118"/>
      <c r="AB354" s="118"/>
      <c r="AC354" s="142"/>
      <c r="AD354" s="39"/>
      <c r="AE354" s="39"/>
      <c r="AF354" s="39"/>
      <c r="AG354" s="39"/>
      <c r="AH354" s="39"/>
      <c r="AI354" s="39"/>
      <c r="AJ354" s="39"/>
      <c r="AK354" s="39"/>
      <c r="AL354" s="39"/>
    </row>
    <row r="355" spans="1:38" ht="14.1" customHeight="1" x14ac:dyDescent="0.25">
      <c r="A355" s="61" t="s">
        <v>36</v>
      </c>
      <c r="B355" s="6">
        <v>2110</v>
      </c>
      <c r="C355" s="5">
        <v>9.2491123482225053</v>
      </c>
      <c r="D355" s="5"/>
      <c r="E355" s="6">
        <v>2094</v>
      </c>
      <c r="F355" s="5">
        <v>9.2996402717946438</v>
      </c>
      <c r="G355" s="5"/>
      <c r="H355" s="6">
        <v>14</v>
      </c>
      <c r="I355" s="5">
        <v>5.2631578947368416</v>
      </c>
      <c r="J355" s="5"/>
      <c r="K355" s="6">
        <v>2</v>
      </c>
      <c r="L355" s="5">
        <v>6.666666666666667</v>
      </c>
      <c r="M355" s="5"/>
      <c r="N355" s="98"/>
      <c r="O355" s="98"/>
      <c r="P355" s="120"/>
      <c r="Q355" s="133"/>
      <c r="R355" s="133"/>
      <c r="S355" s="133"/>
      <c r="T355" s="133"/>
      <c r="U355" s="133"/>
      <c r="V355" s="133"/>
      <c r="W355" s="120"/>
      <c r="X355" s="120"/>
      <c r="Y355" s="150"/>
      <c r="Z355" s="150"/>
      <c r="AA355" s="150"/>
      <c r="AB355" s="117"/>
      <c r="AC355" s="142"/>
      <c r="AD355" s="39"/>
      <c r="AE355" s="39"/>
      <c r="AF355" s="39"/>
      <c r="AG355" s="39"/>
      <c r="AH355" s="39"/>
      <c r="AI355" s="39"/>
      <c r="AJ355" s="39"/>
      <c r="AK355" s="39"/>
      <c r="AL355" s="39"/>
    </row>
    <row r="356" spans="1:38" ht="14.1" customHeight="1" x14ac:dyDescent="0.25">
      <c r="A356" s="61" t="s">
        <v>37</v>
      </c>
      <c r="B356" s="6">
        <v>3986</v>
      </c>
      <c r="C356" s="5">
        <v>17.442493753561564</v>
      </c>
      <c r="D356" s="5"/>
      <c r="E356" s="6">
        <v>3971</v>
      </c>
      <c r="F356" s="5">
        <v>17.635564240351734</v>
      </c>
      <c r="G356" s="5"/>
      <c r="H356" s="6">
        <v>14</v>
      </c>
      <c r="I356" s="5">
        <v>5.2631578947368416</v>
      </c>
      <c r="J356" s="5"/>
      <c r="K356" s="6">
        <v>1</v>
      </c>
      <c r="L356" s="5">
        <v>3.3333333333333335</v>
      </c>
      <c r="M356" s="5"/>
      <c r="N356" s="98"/>
      <c r="O356" s="98"/>
      <c r="P356" s="120"/>
      <c r="Q356" s="133"/>
      <c r="R356" s="133"/>
      <c r="S356" s="133"/>
      <c r="T356" s="133"/>
      <c r="U356" s="133"/>
      <c r="V356" s="133"/>
      <c r="W356" s="120"/>
      <c r="X356" s="120"/>
      <c r="Y356" s="150"/>
      <c r="Z356" s="148"/>
      <c r="AA356" s="148"/>
      <c r="AB356" s="118"/>
      <c r="AC356" s="142"/>
      <c r="AD356" s="39"/>
      <c r="AE356" s="39"/>
      <c r="AF356" s="39"/>
      <c r="AG356" s="39"/>
      <c r="AH356" s="39"/>
      <c r="AI356" s="39"/>
      <c r="AJ356" s="39"/>
      <c r="AK356" s="39"/>
      <c r="AL356" s="39"/>
    </row>
    <row r="357" spans="1:38" ht="14.1" customHeight="1" x14ac:dyDescent="0.25">
      <c r="A357" s="61"/>
      <c r="B357" s="6"/>
      <c r="C357" s="5"/>
      <c r="D357" s="5"/>
      <c r="E357" s="6"/>
      <c r="F357" s="5"/>
      <c r="G357" s="5"/>
      <c r="H357" s="6"/>
      <c r="I357" s="5"/>
      <c r="J357" s="5"/>
      <c r="K357" s="6"/>
      <c r="L357" s="5"/>
      <c r="M357" s="5"/>
      <c r="N357" s="98"/>
      <c r="O357" s="98"/>
      <c r="P357" s="120"/>
      <c r="Q357" s="133"/>
      <c r="R357" s="133"/>
      <c r="S357" s="133"/>
      <c r="T357" s="133"/>
      <c r="U357" s="133"/>
      <c r="V357" s="133"/>
      <c r="W357" s="120"/>
      <c r="X357" s="120"/>
      <c r="Y357" s="118"/>
      <c r="Z357" s="118"/>
      <c r="AA357" s="118"/>
      <c r="AB357" s="118"/>
      <c r="AC357" s="142"/>
      <c r="AD357" s="39"/>
      <c r="AE357" s="39"/>
      <c r="AF357" s="39"/>
      <c r="AG357" s="39"/>
      <c r="AH357" s="39"/>
      <c r="AI357" s="39"/>
      <c r="AJ357" s="39"/>
      <c r="AK357" s="39"/>
      <c r="AL357" s="39"/>
    </row>
    <row r="358" spans="1:38" s="35" customFormat="1" ht="14.1" customHeight="1" x14ac:dyDescent="0.25">
      <c r="A358" s="63" t="s">
        <v>1</v>
      </c>
      <c r="B358" s="9">
        <v>46418</v>
      </c>
      <c r="C358" s="96">
        <v>100</v>
      </c>
      <c r="D358" s="96"/>
      <c r="E358" s="95">
        <v>45227</v>
      </c>
      <c r="F358" s="96">
        <v>100</v>
      </c>
      <c r="G358" s="96"/>
      <c r="H358" s="95">
        <v>1025</v>
      </c>
      <c r="I358" s="96">
        <v>100</v>
      </c>
      <c r="J358" s="96"/>
      <c r="K358" s="95">
        <v>166</v>
      </c>
      <c r="L358" s="96">
        <v>100</v>
      </c>
      <c r="M358" s="15"/>
      <c r="N358" s="96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150"/>
      <c r="Z358" s="148"/>
      <c r="AA358" s="148"/>
      <c r="AB358" s="118"/>
      <c r="AC358" s="142"/>
      <c r="AD358" s="39"/>
      <c r="AE358" s="39"/>
      <c r="AF358" s="39"/>
      <c r="AG358" s="39"/>
      <c r="AH358" s="39"/>
      <c r="AI358" s="39"/>
      <c r="AJ358" s="39"/>
      <c r="AK358" s="39"/>
      <c r="AL358" s="39"/>
    </row>
    <row r="359" spans="1:38" ht="14.1" customHeight="1" x14ac:dyDescent="0.25">
      <c r="A359" s="61" t="s">
        <v>57</v>
      </c>
      <c r="B359" s="6">
        <v>3306</v>
      </c>
      <c r="C359" s="98">
        <v>7.1222370632082379</v>
      </c>
      <c r="D359" s="98"/>
      <c r="E359" s="97">
        <v>3222</v>
      </c>
      <c r="F359" s="98">
        <v>7.1240630596767414</v>
      </c>
      <c r="G359" s="98"/>
      <c r="H359" s="97">
        <v>71</v>
      </c>
      <c r="I359" s="98">
        <v>6.9268292682926838</v>
      </c>
      <c r="J359" s="98"/>
      <c r="K359" s="97">
        <v>13</v>
      </c>
      <c r="L359" s="98">
        <v>7.8313253012048198</v>
      </c>
      <c r="M359" s="5"/>
      <c r="N359" s="98"/>
      <c r="O359" s="98"/>
      <c r="P359" s="120"/>
      <c r="Q359" s="133"/>
      <c r="R359" s="133"/>
      <c r="S359" s="133"/>
      <c r="T359" s="133"/>
      <c r="U359" s="133"/>
      <c r="V359" s="133"/>
      <c r="W359" s="120"/>
      <c r="X359" s="120"/>
      <c r="Y359" s="150"/>
      <c r="Z359" s="148"/>
      <c r="AA359" s="148"/>
      <c r="AB359" s="118"/>
      <c r="AC359" s="142"/>
      <c r="AD359" s="39"/>
      <c r="AE359" s="39"/>
      <c r="AF359" s="39"/>
      <c r="AG359" s="39"/>
      <c r="AH359" s="39"/>
      <c r="AI359" s="39"/>
      <c r="AJ359" s="39"/>
      <c r="AK359" s="39"/>
      <c r="AL359" s="39"/>
    </row>
    <row r="360" spans="1:38" ht="14.1" customHeight="1" x14ac:dyDescent="0.25">
      <c r="A360" s="61" t="s">
        <v>29</v>
      </c>
      <c r="B360" s="6">
        <v>65</v>
      </c>
      <c r="C360" s="5">
        <v>0.14003188418286011</v>
      </c>
      <c r="D360" s="5"/>
      <c r="E360" s="6">
        <v>63</v>
      </c>
      <c r="F360" s="5">
        <v>0.13929732239591394</v>
      </c>
      <c r="G360" s="5"/>
      <c r="H360" s="3">
        <v>2</v>
      </c>
      <c r="I360" s="16">
        <v>0.1951219512195122</v>
      </c>
      <c r="J360" s="5"/>
      <c r="K360" s="3" t="s">
        <v>96</v>
      </c>
      <c r="L360" s="3" t="s">
        <v>96</v>
      </c>
      <c r="M360" s="5"/>
      <c r="N360" s="98"/>
      <c r="O360" s="98"/>
      <c r="P360" s="120"/>
      <c r="Q360" s="133"/>
      <c r="R360" s="133"/>
      <c r="S360" s="133"/>
      <c r="T360" s="133"/>
      <c r="U360" s="133"/>
      <c r="V360" s="133"/>
      <c r="W360" s="120"/>
      <c r="X360" s="120"/>
      <c r="Y360" s="150"/>
      <c r="Z360" s="148"/>
      <c r="AA360" s="148"/>
      <c r="AB360" s="118"/>
      <c r="AC360" s="142"/>
      <c r="AD360" s="39"/>
      <c r="AE360" s="39"/>
      <c r="AF360" s="39"/>
      <c r="AG360" s="39"/>
      <c r="AH360" s="39"/>
      <c r="AI360" s="39"/>
      <c r="AJ360" s="39"/>
      <c r="AK360" s="39"/>
      <c r="AL360" s="39"/>
    </row>
    <row r="361" spans="1:38" ht="14.1" customHeight="1" x14ac:dyDescent="0.25">
      <c r="A361" s="61" t="s">
        <v>30</v>
      </c>
      <c r="B361" s="6">
        <v>2439</v>
      </c>
      <c r="C361" s="5">
        <v>5.2544271618768583</v>
      </c>
      <c r="D361" s="5"/>
      <c r="E361" s="6">
        <v>2325</v>
      </c>
      <c r="F361" s="5">
        <v>5.1407345169920617</v>
      </c>
      <c r="G361" s="5"/>
      <c r="H361" s="6">
        <v>97</v>
      </c>
      <c r="I361" s="5">
        <v>9.463414634146341</v>
      </c>
      <c r="J361" s="5"/>
      <c r="K361" s="3">
        <v>17</v>
      </c>
      <c r="L361" s="16">
        <v>10.240963855421686</v>
      </c>
      <c r="M361" s="5"/>
      <c r="N361" s="98"/>
      <c r="O361" s="98"/>
      <c r="P361" s="120"/>
      <c r="Q361" s="133"/>
      <c r="R361" s="133"/>
      <c r="S361" s="133"/>
      <c r="T361" s="133"/>
      <c r="U361" s="133"/>
      <c r="V361" s="133"/>
      <c r="W361" s="120"/>
      <c r="X361" s="120"/>
      <c r="Y361" s="150"/>
      <c r="Z361" s="148"/>
      <c r="AA361" s="148"/>
      <c r="AB361" s="118"/>
      <c r="AC361" s="142"/>
      <c r="AD361" s="39"/>
      <c r="AE361" s="39"/>
      <c r="AF361" s="39"/>
      <c r="AG361" s="39"/>
      <c r="AH361" s="39"/>
      <c r="AI361" s="39"/>
      <c r="AJ361" s="39"/>
      <c r="AK361" s="39"/>
      <c r="AL361" s="39"/>
    </row>
    <row r="362" spans="1:38" ht="14.1" customHeight="1" x14ac:dyDescent="0.25">
      <c r="A362" s="61" t="s">
        <v>31</v>
      </c>
      <c r="B362" s="6">
        <v>139</v>
      </c>
      <c r="C362" s="5">
        <v>0.29945279848334699</v>
      </c>
      <c r="D362" s="5"/>
      <c r="E362" s="6">
        <v>133</v>
      </c>
      <c r="F362" s="5">
        <v>0.29407212505804059</v>
      </c>
      <c r="G362" s="5"/>
      <c r="H362" s="6">
        <v>2</v>
      </c>
      <c r="I362" s="5">
        <v>0.1951219512195122</v>
      </c>
      <c r="J362" s="5"/>
      <c r="K362" s="3">
        <v>4</v>
      </c>
      <c r="L362" s="16">
        <v>2.4096385542168677</v>
      </c>
      <c r="M362" s="5"/>
      <c r="N362" s="98"/>
      <c r="O362" s="98"/>
      <c r="P362" s="120"/>
      <c r="Q362" s="133"/>
      <c r="R362" s="133"/>
      <c r="S362" s="133"/>
      <c r="T362" s="133"/>
      <c r="U362" s="133"/>
      <c r="V362" s="133"/>
      <c r="W362" s="120"/>
      <c r="X362" s="120"/>
      <c r="Y362" s="150"/>
      <c r="Z362" s="148"/>
      <c r="AA362" s="148"/>
      <c r="AB362" s="118"/>
      <c r="AC362" s="142"/>
      <c r="AD362" s="39"/>
      <c r="AE362" s="39"/>
      <c r="AF362" s="39"/>
      <c r="AG362" s="39"/>
      <c r="AH362" s="39"/>
      <c r="AI362" s="39"/>
      <c r="AJ362" s="39"/>
      <c r="AK362" s="39"/>
      <c r="AL362" s="39"/>
    </row>
    <row r="363" spans="1:38" ht="14.1" customHeight="1" x14ac:dyDescent="0.25">
      <c r="A363" s="61" t="s">
        <v>32</v>
      </c>
      <c r="B363" s="6">
        <v>1733</v>
      </c>
      <c r="C363" s="5">
        <v>3.733465465983024</v>
      </c>
      <c r="D363" s="5"/>
      <c r="E363" s="6">
        <v>1615</v>
      </c>
      <c r="F363" s="5">
        <v>3.5708758042762065</v>
      </c>
      <c r="G363" s="5"/>
      <c r="H363" s="6">
        <v>98</v>
      </c>
      <c r="I363" s="5">
        <v>9.5609756097560972</v>
      </c>
      <c r="J363" s="5"/>
      <c r="K363" s="3">
        <v>20</v>
      </c>
      <c r="L363" s="16">
        <v>12.148192771084338</v>
      </c>
      <c r="M363" s="5"/>
      <c r="N363" s="98"/>
      <c r="O363" s="98"/>
      <c r="P363" s="120"/>
      <c r="Q363" s="133"/>
      <c r="R363" s="133"/>
      <c r="S363" s="133"/>
      <c r="T363" s="133"/>
      <c r="U363" s="133"/>
      <c r="V363" s="133"/>
      <c r="W363" s="120"/>
      <c r="X363" s="120"/>
      <c r="Y363" s="150"/>
      <c r="Z363" s="148"/>
      <c r="AA363" s="148"/>
      <c r="AB363" s="118"/>
      <c r="AC363" s="142"/>
      <c r="AD363" s="39"/>
      <c r="AE363" s="39"/>
      <c r="AF363" s="39"/>
      <c r="AG363" s="39"/>
      <c r="AH363" s="39"/>
      <c r="AI363" s="39"/>
      <c r="AJ363" s="39"/>
      <c r="AK363" s="39"/>
      <c r="AL363" s="39"/>
    </row>
    <row r="364" spans="1:38" ht="14.1" customHeight="1" x14ac:dyDescent="0.25">
      <c r="A364" s="61" t="s">
        <v>33</v>
      </c>
      <c r="B364" s="6">
        <v>21323</v>
      </c>
      <c r="C364" s="5">
        <v>45.936921022017316</v>
      </c>
      <c r="D364" s="5"/>
      <c r="E364" s="6">
        <v>20689</v>
      </c>
      <c r="F364" s="5">
        <v>45.744798461096245</v>
      </c>
      <c r="G364" s="5"/>
      <c r="H364" s="6">
        <v>541</v>
      </c>
      <c r="I364" s="5">
        <v>52.680487804878048</v>
      </c>
      <c r="J364" s="5"/>
      <c r="K364" s="3">
        <v>93</v>
      </c>
      <c r="L364" s="16">
        <v>56.124096385542167</v>
      </c>
      <c r="M364" s="5"/>
      <c r="N364" s="98"/>
      <c r="O364" s="98"/>
      <c r="P364" s="120"/>
      <c r="Q364" s="133"/>
      <c r="R364" s="133"/>
      <c r="S364" s="133"/>
      <c r="T364" s="133"/>
      <c r="U364" s="133"/>
      <c r="V364" s="133"/>
      <c r="W364" s="120"/>
      <c r="X364" s="120"/>
      <c r="Y364" s="150"/>
      <c r="Z364" s="148"/>
      <c r="AA364" s="148"/>
      <c r="AB364" s="118"/>
      <c r="AC364" s="142"/>
      <c r="AD364" s="39"/>
      <c r="AE364" s="39"/>
      <c r="AF364" s="39"/>
      <c r="AG364" s="39"/>
      <c r="AH364" s="39"/>
      <c r="AI364" s="39"/>
      <c r="AJ364" s="39"/>
      <c r="AK364" s="39"/>
      <c r="AL364" s="39"/>
    </row>
    <row r="365" spans="1:38" ht="14.1" customHeight="1" x14ac:dyDescent="0.25">
      <c r="A365" s="61" t="s">
        <v>34</v>
      </c>
      <c r="B365" s="6">
        <v>1738</v>
      </c>
      <c r="C365" s="5">
        <v>3.7442371493817053</v>
      </c>
      <c r="D365" s="5"/>
      <c r="E365" s="6">
        <v>1655</v>
      </c>
      <c r="F365" s="5">
        <v>3.6593185486545643</v>
      </c>
      <c r="G365" s="5"/>
      <c r="H365" s="6">
        <v>70</v>
      </c>
      <c r="I365" s="5">
        <v>6.8292682926829276</v>
      </c>
      <c r="J365" s="5"/>
      <c r="K365" s="3">
        <v>13</v>
      </c>
      <c r="L365" s="16">
        <v>7.8313253012048198</v>
      </c>
      <c r="M365" s="5"/>
      <c r="N365" s="98"/>
      <c r="O365" s="98"/>
      <c r="P365" s="120"/>
      <c r="Q365" s="133"/>
      <c r="R365" s="133"/>
      <c r="S365" s="133"/>
      <c r="T365" s="133"/>
      <c r="U365" s="133"/>
      <c r="V365" s="133"/>
      <c r="W365" s="120"/>
      <c r="X365" s="120"/>
      <c r="Y365" s="150"/>
      <c r="Z365" s="148"/>
      <c r="AA365" s="148"/>
      <c r="AB365" s="118"/>
      <c r="AC365" s="142"/>
      <c r="AD365" s="39"/>
      <c r="AE365" s="39"/>
      <c r="AF365" s="39"/>
      <c r="AG365" s="39"/>
      <c r="AH365" s="39"/>
      <c r="AI365" s="39"/>
      <c r="AJ365" s="39"/>
      <c r="AK365" s="39"/>
      <c r="AL365" s="39"/>
    </row>
    <row r="366" spans="1:38" ht="14.1" customHeight="1" x14ac:dyDescent="0.25">
      <c r="A366" s="61" t="s">
        <v>68</v>
      </c>
      <c r="B366" s="6">
        <v>614</v>
      </c>
      <c r="C366" s="5">
        <v>1.3227627213580939</v>
      </c>
      <c r="D366" s="5"/>
      <c r="E366" s="6">
        <v>605</v>
      </c>
      <c r="F366" s="5">
        <v>1.3376965087226655</v>
      </c>
      <c r="G366" s="5"/>
      <c r="H366" s="6">
        <v>9</v>
      </c>
      <c r="I366" s="5">
        <v>0.87804878048780499</v>
      </c>
      <c r="J366" s="5"/>
      <c r="K366" s="3" t="s">
        <v>96</v>
      </c>
      <c r="L366" s="16" t="s">
        <v>96</v>
      </c>
      <c r="M366" s="5"/>
      <c r="N366" s="98"/>
      <c r="O366" s="98"/>
      <c r="P366" s="120"/>
      <c r="Q366" s="133"/>
      <c r="R366" s="133"/>
      <c r="S366" s="133"/>
      <c r="T366" s="133"/>
      <c r="U366" s="133"/>
      <c r="V366" s="133"/>
      <c r="W366" s="120"/>
      <c r="X366" s="120"/>
      <c r="Y366" s="150"/>
      <c r="Z366" s="148"/>
      <c r="AA366" s="148"/>
      <c r="AB366" s="118"/>
      <c r="AC366" s="142"/>
      <c r="AD366" s="39"/>
      <c r="AE366" s="39"/>
      <c r="AF366" s="39"/>
      <c r="AG366" s="39"/>
      <c r="AH366" s="39"/>
      <c r="AI366" s="39"/>
      <c r="AJ366" s="39"/>
      <c r="AK366" s="39"/>
      <c r="AL366" s="39"/>
    </row>
    <row r="367" spans="1:38" ht="14.1" customHeight="1" x14ac:dyDescent="0.25">
      <c r="A367" s="61" t="s">
        <v>69</v>
      </c>
      <c r="B367" s="6">
        <v>4425</v>
      </c>
      <c r="C367" s="5">
        <v>9.6329398078331678</v>
      </c>
      <c r="D367" s="5"/>
      <c r="E367" s="6">
        <v>4413</v>
      </c>
      <c r="F367" s="5">
        <v>9.7574457735423525</v>
      </c>
      <c r="G367" s="5"/>
      <c r="H367" s="6">
        <v>12</v>
      </c>
      <c r="I367" s="5">
        <v>1.1707317073170731</v>
      </c>
      <c r="J367" s="5"/>
      <c r="K367" s="3" t="s">
        <v>96</v>
      </c>
      <c r="L367" s="3" t="s">
        <v>96</v>
      </c>
      <c r="M367" s="5"/>
      <c r="N367" s="98"/>
      <c r="O367" s="98"/>
      <c r="P367" s="120"/>
      <c r="Q367" s="133"/>
      <c r="R367" s="133"/>
      <c r="S367" s="133"/>
      <c r="T367" s="133"/>
      <c r="U367" s="133"/>
      <c r="V367" s="133"/>
      <c r="W367" s="120"/>
      <c r="X367" s="120"/>
      <c r="Y367" s="150"/>
      <c r="Z367" s="148"/>
      <c r="AA367" s="148"/>
      <c r="AB367" s="118"/>
      <c r="AC367" s="142"/>
      <c r="AD367" s="39"/>
      <c r="AE367" s="39"/>
      <c r="AF367" s="39"/>
      <c r="AG367" s="39"/>
      <c r="AH367" s="39"/>
      <c r="AI367" s="39"/>
      <c r="AJ367" s="39"/>
      <c r="AK367" s="39"/>
      <c r="AL367" s="39"/>
    </row>
    <row r="368" spans="1:38" ht="14.1" customHeight="1" x14ac:dyDescent="0.25">
      <c r="A368" s="61" t="s">
        <v>35</v>
      </c>
      <c r="B368" s="6">
        <v>588</v>
      </c>
      <c r="C368" s="5">
        <v>1.2667499676849499</v>
      </c>
      <c r="D368" s="5"/>
      <c r="E368" s="6">
        <v>581</v>
      </c>
      <c r="F368" s="5">
        <v>1.2846308620956508</v>
      </c>
      <c r="G368" s="5"/>
      <c r="H368" s="6">
        <v>7</v>
      </c>
      <c r="I368" s="5">
        <v>0.68292682926829273</v>
      </c>
      <c r="J368" s="5"/>
      <c r="K368" s="3" t="s">
        <v>96</v>
      </c>
      <c r="L368" s="3" t="s">
        <v>96</v>
      </c>
      <c r="M368" s="5"/>
      <c r="N368" s="98"/>
      <c r="O368" s="98"/>
      <c r="P368" s="120"/>
      <c r="Q368" s="133"/>
      <c r="R368" s="133"/>
      <c r="S368" s="133"/>
      <c r="T368" s="133"/>
      <c r="U368" s="133"/>
      <c r="V368" s="133"/>
      <c r="W368" s="120"/>
      <c r="X368" s="120"/>
      <c r="Y368" s="150"/>
      <c r="Z368" s="148"/>
      <c r="AA368" s="148"/>
      <c r="AB368" s="118"/>
      <c r="AC368" s="142"/>
      <c r="AD368" s="39"/>
      <c r="AE368" s="39"/>
      <c r="AF368" s="39"/>
      <c r="AG368" s="39"/>
      <c r="AH368" s="39"/>
      <c r="AI368" s="39"/>
      <c r="AJ368" s="39"/>
      <c r="AK368" s="39"/>
      <c r="AL368" s="39"/>
    </row>
    <row r="369" spans="1:38" ht="14.1" customHeight="1" x14ac:dyDescent="0.25">
      <c r="A369" s="61" t="s">
        <v>36</v>
      </c>
      <c r="B369" s="6">
        <v>2373</v>
      </c>
      <c r="C369" s="5">
        <v>5.1122409410142611</v>
      </c>
      <c r="D369" s="5"/>
      <c r="E369" s="6">
        <v>2302</v>
      </c>
      <c r="F369" s="5">
        <v>5.0898799389745069</v>
      </c>
      <c r="G369" s="5"/>
      <c r="H369" s="6">
        <v>67</v>
      </c>
      <c r="I369" s="5">
        <v>6.536585365853659</v>
      </c>
      <c r="J369" s="5"/>
      <c r="K369" s="6">
        <v>4</v>
      </c>
      <c r="L369" s="5">
        <v>2.4096385542168677</v>
      </c>
      <c r="M369" s="5"/>
      <c r="N369" s="98"/>
      <c r="O369" s="98"/>
      <c r="P369" s="120"/>
      <c r="Q369" s="133"/>
      <c r="R369" s="133"/>
      <c r="S369" s="133"/>
      <c r="T369" s="133"/>
      <c r="U369" s="133"/>
      <c r="V369" s="133"/>
      <c r="W369" s="120"/>
      <c r="X369" s="120"/>
      <c r="Y369" s="118"/>
      <c r="Z369" s="118"/>
      <c r="AA369" s="118"/>
      <c r="AB369" s="118"/>
      <c r="AC369" s="142"/>
      <c r="AD369" s="39"/>
      <c r="AE369" s="39"/>
      <c r="AF369" s="39"/>
      <c r="AG369" s="39"/>
      <c r="AH369" s="39"/>
      <c r="AI369" s="39"/>
      <c r="AJ369" s="39"/>
      <c r="AK369" s="39"/>
      <c r="AL369" s="39"/>
    </row>
    <row r="370" spans="1:38" ht="14.1" customHeight="1" x14ac:dyDescent="0.25">
      <c r="A370" s="61" t="s">
        <v>37</v>
      </c>
      <c r="B370" s="6">
        <v>7675</v>
      </c>
      <c r="C370" s="5">
        <v>16.634534016976176</v>
      </c>
      <c r="D370" s="5"/>
      <c r="E370" s="6">
        <v>7624</v>
      </c>
      <c r="F370" s="5">
        <v>16.857187078515047</v>
      </c>
      <c r="G370" s="5"/>
      <c r="H370" s="6">
        <v>49</v>
      </c>
      <c r="I370" s="5">
        <v>4.7804878048780486</v>
      </c>
      <c r="J370" s="5"/>
      <c r="K370" s="6">
        <v>2</v>
      </c>
      <c r="L370" s="5">
        <v>1.2048192771084338</v>
      </c>
      <c r="M370" s="5"/>
      <c r="N370" s="98"/>
      <c r="O370" s="98"/>
      <c r="P370" s="120"/>
      <c r="Q370" s="133"/>
      <c r="R370" s="133"/>
      <c r="S370" s="133"/>
      <c r="T370" s="133"/>
      <c r="U370" s="133"/>
      <c r="V370" s="133"/>
      <c r="W370" s="120"/>
      <c r="X370" s="120"/>
      <c r="Y370" s="117"/>
      <c r="Z370" s="117"/>
      <c r="AA370" s="117"/>
      <c r="AB370" s="117"/>
      <c r="AC370" s="142"/>
      <c r="AD370" s="39"/>
      <c r="AE370" s="39"/>
      <c r="AF370" s="39"/>
      <c r="AG370" s="39"/>
      <c r="AH370" s="39"/>
      <c r="AI370" s="39"/>
      <c r="AJ370" s="39"/>
      <c r="AK370" s="39"/>
      <c r="AL370" s="39"/>
    </row>
    <row r="371" spans="1:38" ht="9.75" customHeight="1" x14ac:dyDescent="0.25">
      <c r="A371" s="61"/>
      <c r="B371" s="6"/>
      <c r="C371" s="5"/>
      <c r="D371" s="5"/>
      <c r="E371" s="6"/>
      <c r="F371" s="98"/>
      <c r="G371" s="98"/>
      <c r="H371" s="6"/>
      <c r="I371" s="5"/>
      <c r="J371" s="5"/>
      <c r="K371" s="6"/>
      <c r="L371" s="5"/>
      <c r="M371" s="5"/>
      <c r="N371" s="98"/>
      <c r="O371" s="98"/>
      <c r="P371" s="120"/>
      <c r="Q371" s="133"/>
      <c r="R371" s="133"/>
      <c r="S371" s="133"/>
      <c r="T371" s="133"/>
      <c r="U371" s="133"/>
      <c r="V371" s="133"/>
      <c r="W371" s="120"/>
      <c r="X371" s="120"/>
      <c r="Y371" s="117"/>
      <c r="Z371" s="117"/>
      <c r="AA371" s="117"/>
      <c r="AB371" s="117"/>
      <c r="AC371" s="142"/>
      <c r="AD371" s="39"/>
      <c r="AE371" s="39"/>
      <c r="AF371" s="39"/>
      <c r="AG371" s="39"/>
      <c r="AH371" s="39"/>
      <c r="AI371" s="39"/>
      <c r="AJ371" s="39"/>
      <c r="AK371" s="39"/>
      <c r="AL371" s="39"/>
    </row>
    <row r="372" spans="1:38" ht="9.75" customHeight="1" x14ac:dyDescent="0.25">
      <c r="A372" s="63" t="s">
        <v>76</v>
      </c>
      <c r="B372" s="9">
        <v>1263258</v>
      </c>
      <c r="C372" s="15">
        <v>100</v>
      </c>
      <c r="D372" s="15"/>
      <c r="E372" s="9">
        <v>1215634</v>
      </c>
      <c r="F372" s="96">
        <v>100</v>
      </c>
      <c r="G372" s="96"/>
      <c r="H372" s="9">
        <v>38260</v>
      </c>
      <c r="I372" s="15">
        <v>100</v>
      </c>
      <c r="J372" s="15"/>
      <c r="K372" s="9">
        <v>9364</v>
      </c>
      <c r="L372" s="15">
        <v>100</v>
      </c>
      <c r="M372" s="15"/>
      <c r="N372" s="96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117"/>
      <c r="Z372" s="117"/>
      <c r="AA372" s="117"/>
      <c r="AB372" s="117"/>
      <c r="AC372" s="142"/>
      <c r="AD372" s="39"/>
      <c r="AE372" s="39"/>
      <c r="AF372" s="39"/>
      <c r="AG372" s="39"/>
      <c r="AH372" s="39"/>
      <c r="AI372" s="39"/>
      <c r="AJ372" s="39"/>
      <c r="AK372" s="39"/>
      <c r="AL372" s="39"/>
    </row>
    <row r="373" spans="1:38" ht="13.5" customHeight="1" x14ac:dyDescent="0.25">
      <c r="A373" s="61" t="s">
        <v>57</v>
      </c>
      <c r="B373" s="6">
        <v>5408</v>
      </c>
      <c r="C373" s="5">
        <v>0.4280994064553717</v>
      </c>
      <c r="D373" s="5"/>
      <c r="E373" s="6">
        <v>4467</v>
      </c>
      <c r="F373" s="5">
        <v>0.36746257508427704</v>
      </c>
      <c r="G373" s="5"/>
      <c r="H373" s="6">
        <v>659</v>
      </c>
      <c r="I373" s="5">
        <v>1.7224255096706744</v>
      </c>
      <c r="J373" s="5"/>
      <c r="K373" s="6">
        <v>282</v>
      </c>
      <c r="L373" s="5">
        <v>3.0115335326783428</v>
      </c>
      <c r="M373" s="5"/>
      <c r="N373" s="98"/>
      <c r="O373" s="98"/>
      <c r="P373" s="120"/>
      <c r="Q373" s="133"/>
      <c r="R373" s="133"/>
      <c r="S373" s="133"/>
      <c r="T373" s="133"/>
      <c r="U373" s="133"/>
      <c r="V373" s="133"/>
      <c r="W373" s="120"/>
      <c r="X373" s="120"/>
      <c r="Y373" s="117"/>
      <c r="Z373" s="117"/>
      <c r="AA373" s="117"/>
      <c r="AB373" s="117"/>
      <c r="AC373" s="142"/>
      <c r="AD373" s="39"/>
      <c r="AE373" s="39"/>
      <c r="AF373" s="39"/>
      <c r="AG373" s="39"/>
      <c r="AH373" s="39"/>
      <c r="AI373" s="39"/>
      <c r="AJ373" s="39"/>
      <c r="AK373" s="39"/>
      <c r="AL373" s="39"/>
    </row>
    <row r="374" spans="1:38" ht="16.5" customHeight="1" x14ac:dyDescent="0.25">
      <c r="A374" s="61" t="s">
        <v>29</v>
      </c>
      <c r="B374" s="6">
        <v>5380</v>
      </c>
      <c r="C374" s="5">
        <v>0.42588291544561757</v>
      </c>
      <c r="D374" s="5"/>
      <c r="E374" s="6">
        <v>4765</v>
      </c>
      <c r="F374" s="5">
        <v>0.39197653241024849</v>
      </c>
      <c r="G374" s="5"/>
      <c r="H374" s="6">
        <v>356</v>
      </c>
      <c r="I374" s="5">
        <v>0.9304756926293779</v>
      </c>
      <c r="J374" s="5"/>
      <c r="K374" s="6">
        <v>259</v>
      </c>
      <c r="L374" s="5">
        <v>2.765912003417343</v>
      </c>
      <c r="M374" s="5"/>
      <c r="N374" s="98"/>
      <c r="O374" s="98"/>
      <c r="P374" s="120"/>
      <c r="Q374" s="133"/>
      <c r="R374" s="133"/>
      <c r="S374" s="133"/>
      <c r="T374" s="133"/>
      <c r="U374" s="133"/>
      <c r="V374" s="133"/>
      <c r="W374" s="120"/>
      <c r="X374" s="120"/>
      <c r="Y374" s="117"/>
      <c r="Z374" s="117"/>
      <c r="AA374" s="117"/>
      <c r="AB374" s="117"/>
      <c r="AC374" s="142"/>
      <c r="AD374" s="39"/>
      <c r="AE374" s="39"/>
      <c r="AF374" s="39"/>
      <c r="AG374" s="39"/>
      <c r="AH374" s="39"/>
      <c r="AI374" s="39"/>
      <c r="AJ374" s="39"/>
      <c r="AK374" s="39"/>
      <c r="AL374" s="39"/>
    </row>
    <row r="375" spans="1:38" ht="19.5" customHeight="1" x14ac:dyDescent="0.25">
      <c r="A375" s="61" t="s">
        <v>30</v>
      </c>
      <c r="B375" s="6">
        <v>113361</v>
      </c>
      <c r="C375" s="5">
        <v>8.9737013341692666</v>
      </c>
      <c r="D375" s="5"/>
      <c r="E375" s="6">
        <v>107279</v>
      </c>
      <c r="F375" s="5">
        <v>8.8249423757479644</v>
      </c>
      <c r="G375" s="5"/>
      <c r="H375" s="6">
        <v>4798</v>
      </c>
      <c r="I375" s="5">
        <v>12.5405122843701</v>
      </c>
      <c r="J375" s="5"/>
      <c r="K375" s="6">
        <v>1284</v>
      </c>
      <c r="L375" s="5">
        <v>13.712088850918411</v>
      </c>
      <c r="M375" s="5"/>
      <c r="N375" s="98"/>
      <c r="O375" s="98"/>
      <c r="P375" s="120"/>
      <c r="Q375" s="133"/>
      <c r="R375" s="133"/>
      <c r="S375" s="133"/>
      <c r="T375" s="133"/>
      <c r="U375" s="133"/>
      <c r="V375" s="133"/>
      <c r="W375" s="120"/>
      <c r="X375" s="120"/>
      <c r="Y375" s="117"/>
      <c r="Z375" s="117"/>
      <c r="AA375" s="117"/>
      <c r="AB375" s="117"/>
      <c r="AC375" s="142"/>
      <c r="AD375" s="39"/>
      <c r="AE375" s="39"/>
      <c r="AF375" s="39"/>
      <c r="AG375" s="39"/>
      <c r="AH375" s="39"/>
      <c r="AI375" s="39"/>
      <c r="AJ375" s="39"/>
      <c r="AK375" s="39"/>
      <c r="AL375" s="39"/>
    </row>
    <row r="376" spans="1:38" ht="9.75" customHeight="1" x14ac:dyDescent="0.25">
      <c r="A376" s="61" t="s">
        <v>31</v>
      </c>
      <c r="B376" s="6">
        <v>3308</v>
      </c>
      <c r="C376" s="5">
        <v>0.26186258072381097</v>
      </c>
      <c r="D376" s="5"/>
      <c r="E376" s="6">
        <v>2977</v>
      </c>
      <c r="F376" s="5">
        <v>0.24489278845441967</v>
      </c>
      <c r="G376" s="5"/>
      <c r="H376" s="6">
        <v>239</v>
      </c>
      <c r="I376" s="5">
        <v>0.62467328802927347</v>
      </c>
      <c r="J376" s="5"/>
      <c r="K376" s="6">
        <v>92</v>
      </c>
      <c r="L376" s="5">
        <v>0.98248611704399824</v>
      </c>
      <c r="M376" s="5"/>
      <c r="N376" s="98"/>
      <c r="O376" s="98"/>
      <c r="P376" s="120"/>
      <c r="Q376" s="133"/>
      <c r="R376" s="133"/>
      <c r="S376" s="133"/>
      <c r="T376" s="133"/>
      <c r="U376" s="133"/>
      <c r="V376" s="133"/>
      <c r="W376" s="120"/>
      <c r="X376" s="120"/>
      <c r="Y376" s="117"/>
      <c r="Z376" s="117"/>
      <c r="AA376" s="117"/>
      <c r="AB376" s="117"/>
      <c r="AC376" s="142"/>
      <c r="AD376" s="39"/>
      <c r="AE376" s="39"/>
      <c r="AF376" s="39"/>
      <c r="AG376" s="39"/>
      <c r="AH376" s="39"/>
      <c r="AI376" s="39"/>
      <c r="AJ376" s="39"/>
      <c r="AK376" s="39"/>
      <c r="AL376" s="39"/>
    </row>
    <row r="377" spans="1:38" ht="15" customHeight="1" x14ac:dyDescent="0.25">
      <c r="A377" s="61" t="s">
        <v>32</v>
      </c>
      <c r="B377" s="6">
        <v>34435</v>
      </c>
      <c r="C377" s="5">
        <v>2.7258881400315693</v>
      </c>
      <c r="D377" s="5"/>
      <c r="E377" s="6">
        <v>30989</v>
      </c>
      <c r="F377" s="5">
        <v>2.549204777095738</v>
      </c>
      <c r="G377" s="5"/>
      <c r="H377" s="6">
        <v>2640</v>
      </c>
      <c r="I377" s="5">
        <v>6.9001568217459495</v>
      </c>
      <c r="J377" s="5"/>
      <c r="K377" s="6">
        <v>806</v>
      </c>
      <c r="L377" s="5">
        <v>8.6074327210593751</v>
      </c>
      <c r="M377" s="5"/>
      <c r="N377" s="98"/>
      <c r="O377" s="98"/>
      <c r="P377" s="120"/>
      <c r="Q377" s="133"/>
      <c r="R377" s="133"/>
      <c r="S377" s="133"/>
      <c r="T377" s="133"/>
      <c r="U377" s="133"/>
      <c r="V377" s="133"/>
      <c r="W377" s="120"/>
      <c r="X377" s="120"/>
      <c r="Y377" s="117"/>
      <c r="Z377" s="117"/>
      <c r="AA377" s="117"/>
      <c r="AB377" s="117"/>
      <c r="AC377" s="142"/>
      <c r="AD377" s="39"/>
      <c r="AE377" s="39"/>
      <c r="AF377" s="39"/>
      <c r="AG377" s="39"/>
      <c r="AH377" s="39"/>
      <c r="AI377" s="39"/>
      <c r="AJ377" s="39"/>
      <c r="AK377" s="39"/>
      <c r="AL377" s="39"/>
    </row>
    <row r="378" spans="1:38" ht="13.5" customHeight="1" x14ac:dyDescent="0.25">
      <c r="A378" s="61" t="s">
        <v>33</v>
      </c>
      <c r="B378" s="6">
        <v>557390</v>
      </c>
      <c r="C378" s="5">
        <v>44.123211568816508</v>
      </c>
      <c r="D378" s="5"/>
      <c r="E378" s="6">
        <v>539081</v>
      </c>
      <c r="F378" s="5">
        <v>44.345666541080618</v>
      </c>
      <c r="G378" s="5"/>
      <c r="H378" s="6">
        <v>14746</v>
      </c>
      <c r="I378" s="5">
        <v>38.541557762676426</v>
      </c>
      <c r="J378" s="5"/>
      <c r="K378" s="6">
        <v>3563</v>
      </c>
      <c r="L378" s="5">
        <v>38.049978641606153</v>
      </c>
      <c r="M378" s="5"/>
      <c r="N378" s="98"/>
      <c r="O378" s="98"/>
      <c r="P378" s="120"/>
      <c r="Q378" s="133"/>
      <c r="R378" s="133"/>
      <c r="S378" s="133"/>
      <c r="T378" s="133"/>
      <c r="U378" s="133"/>
      <c r="V378" s="133"/>
      <c r="W378" s="120"/>
      <c r="X378" s="120"/>
      <c r="Y378" s="117"/>
      <c r="Z378" s="117"/>
      <c r="AA378" s="117"/>
      <c r="AB378" s="117"/>
      <c r="AC378" s="142"/>
      <c r="AD378" s="39"/>
      <c r="AE378" s="39"/>
      <c r="AF378" s="39"/>
      <c r="AG378" s="39"/>
      <c r="AH378" s="39"/>
      <c r="AI378" s="39"/>
      <c r="AJ378" s="39"/>
      <c r="AK378" s="39"/>
      <c r="AL378" s="39"/>
    </row>
    <row r="379" spans="1:38" ht="15.75" customHeight="1" x14ac:dyDescent="0.25">
      <c r="A379" s="61" t="s">
        <v>34</v>
      </c>
      <c r="B379" s="6">
        <v>75468</v>
      </c>
      <c r="C379" s="5">
        <v>5.9740765544330614</v>
      </c>
      <c r="D379" s="5"/>
      <c r="E379" s="6">
        <v>71836</v>
      </c>
      <c r="F379" s="5">
        <v>5.9093444243908939</v>
      </c>
      <c r="G379" s="5"/>
      <c r="H379" s="6">
        <v>3046</v>
      </c>
      <c r="I379" s="5">
        <v>7.9613173026659698</v>
      </c>
      <c r="J379" s="5"/>
      <c r="K379" s="6">
        <v>586</v>
      </c>
      <c r="L379" s="5">
        <v>6.2580093976932938</v>
      </c>
      <c r="M379" s="5"/>
      <c r="N379" s="98"/>
      <c r="O379" s="98"/>
      <c r="P379" s="120"/>
      <c r="Q379" s="133"/>
      <c r="R379" s="133"/>
      <c r="S379" s="133"/>
      <c r="T379" s="133"/>
      <c r="U379" s="133"/>
      <c r="V379" s="133"/>
      <c r="W379" s="120"/>
      <c r="X379" s="120"/>
      <c r="Y379" s="117"/>
      <c r="Z379" s="117"/>
      <c r="AA379" s="117"/>
      <c r="AB379" s="117"/>
      <c r="AC379" s="142"/>
      <c r="AD379" s="39"/>
      <c r="AE379" s="39"/>
      <c r="AF379" s="39"/>
      <c r="AG379" s="39"/>
      <c r="AH379" s="39"/>
      <c r="AI379" s="39"/>
      <c r="AJ379" s="39"/>
      <c r="AK379" s="39"/>
      <c r="AL379" s="39"/>
    </row>
    <row r="380" spans="1:38" ht="15" customHeight="1" x14ac:dyDescent="0.25">
      <c r="A380" s="61" t="s">
        <v>68</v>
      </c>
      <c r="B380" s="6">
        <v>5665</v>
      </c>
      <c r="C380" s="5">
        <v>0.44844362750918654</v>
      </c>
      <c r="D380" s="5"/>
      <c r="E380" s="6">
        <v>5438</v>
      </c>
      <c r="F380" s="5">
        <v>0.44733859039809681</v>
      </c>
      <c r="G380" s="5"/>
      <c r="H380" s="6">
        <v>188</v>
      </c>
      <c r="I380" s="5">
        <v>0.49137480397281758</v>
      </c>
      <c r="J380" s="5"/>
      <c r="K380" s="6">
        <v>39</v>
      </c>
      <c r="L380" s="5">
        <v>0.41648868005126011</v>
      </c>
      <c r="M380" s="5"/>
      <c r="N380" s="98"/>
      <c r="O380" s="98"/>
      <c r="P380" s="120"/>
      <c r="Q380" s="133"/>
      <c r="R380" s="133"/>
      <c r="S380" s="133"/>
      <c r="T380" s="133"/>
      <c r="U380" s="133"/>
      <c r="V380" s="133"/>
      <c r="W380" s="120"/>
      <c r="X380" s="120"/>
      <c r="Y380" s="117"/>
      <c r="Z380" s="117"/>
      <c r="AA380" s="117"/>
      <c r="AB380" s="117"/>
      <c r="AC380" s="142"/>
      <c r="AD380" s="39"/>
      <c r="AE380" s="39"/>
      <c r="AF380" s="39"/>
      <c r="AG380" s="39"/>
      <c r="AH380" s="39"/>
      <c r="AI380" s="39"/>
      <c r="AJ380" s="39"/>
      <c r="AK380" s="39"/>
      <c r="AL380" s="39"/>
    </row>
    <row r="381" spans="1:38" ht="15" customHeight="1" x14ac:dyDescent="0.25">
      <c r="A381" s="61" t="s">
        <v>69</v>
      </c>
      <c r="B381" s="6">
        <v>75478</v>
      </c>
      <c r="C381" s="5">
        <v>5.9748681583651164</v>
      </c>
      <c r="D381" s="5"/>
      <c r="E381" s="6">
        <v>74450</v>
      </c>
      <c r="F381" s="5">
        <v>6.1243762514046169</v>
      </c>
      <c r="G381" s="5"/>
      <c r="H381" s="6">
        <v>940</v>
      </c>
      <c r="I381" s="5">
        <v>2.4568740198640877</v>
      </c>
      <c r="J381" s="5"/>
      <c r="K381" s="6">
        <v>88</v>
      </c>
      <c r="L381" s="5">
        <v>0.93976932934643309</v>
      </c>
      <c r="M381" s="5"/>
      <c r="N381" s="98"/>
      <c r="O381" s="98"/>
      <c r="P381" s="120"/>
      <c r="Q381" s="133"/>
      <c r="R381" s="133"/>
      <c r="S381" s="133"/>
      <c r="T381" s="133"/>
      <c r="U381" s="133"/>
      <c r="V381" s="133"/>
      <c r="W381" s="120"/>
      <c r="X381" s="120"/>
      <c r="Y381" s="117"/>
      <c r="Z381" s="117"/>
      <c r="AA381" s="117"/>
      <c r="AB381" s="117"/>
      <c r="AC381" s="142"/>
      <c r="AD381" s="39"/>
      <c r="AE381" s="39"/>
      <c r="AF381" s="39"/>
      <c r="AG381" s="39"/>
      <c r="AH381" s="39"/>
      <c r="AI381" s="39"/>
      <c r="AJ381" s="39"/>
      <c r="AK381" s="39"/>
      <c r="AL381" s="39"/>
    </row>
    <row r="382" spans="1:38" ht="15" customHeight="1" x14ac:dyDescent="0.25">
      <c r="A382" s="61" t="s">
        <v>35</v>
      </c>
      <c r="B382" s="6">
        <v>29827</v>
      </c>
      <c r="C382" s="5">
        <v>2.3611170481406019</v>
      </c>
      <c r="D382" s="5"/>
      <c r="E382" s="6">
        <v>28085</v>
      </c>
      <c r="F382" s="5">
        <v>2.3103170855701634</v>
      </c>
      <c r="G382" s="5"/>
      <c r="H382" s="6">
        <v>1406</v>
      </c>
      <c r="I382" s="5">
        <v>3.6748562467328805</v>
      </c>
      <c r="J382" s="5"/>
      <c r="K382" s="6">
        <v>336</v>
      </c>
      <c r="L382" s="5">
        <v>3.5882101665954722</v>
      </c>
      <c r="M382" s="5"/>
      <c r="N382" s="98"/>
      <c r="O382" s="98"/>
      <c r="P382" s="120"/>
      <c r="Q382" s="133"/>
      <c r="R382" s="133"/>
      <c r="S382" s="133"/>
      <c r="T382" s="133"/>
      <c r="U382" s="133"/>
      <c r="V382" s="133"/>
      <c r="W382" s="120"/>
      <c r="X382" s="120"/>
      <c r="Y382" s="117"/>
      <c r="Z382" s="117"/>
      <c r="AA382" s="117"/>
      <c r="AB382" s="117"/>
      <c r="AC382" s="142"/>
      <c r="AD382" s="39"/>
      <c r="AE382" s="39"/>
      <c r="AF382" s="39"/>
      <c r="AG382" s="39"/>
      <c r="AH382" s="39"/>
      <c r="AI382" s="39"/>
      <c r="AJ382" s="39"/>
      <c r="AK382" s="39"/>
      <c r="AL382" s="39"/>
    </row>
    <row r="383" spans="1:38" ht="15.75" customHeight="1" x14ac:dyDescent="0.25">
      <c r="A383" s="61" t="s">
        <v>36</v>
      </c>
      <c r="B383" s="6">
        <v>132007</v>
      </c>
      <c r="C383" s="5">
        <v>10.449726025879116</v>
      </c>
      <c r="D383" s="5"/>
      <c r="E383" s="6">
        <v>125837</v>
      </c>
      <c r="F383" s="5">
        <v>10.351553181302926</v>
      </c>
      <c r="G383" s="5"/>
      <c r="H383" s="6">
        <v>5191</v>
      </c>
      <c r="I383" s="5">
        <v>13.567694720334552</v>
      </c>
      <c r="J383" s="5"/>
      <c r="K383" s="6">
        <v>979</v>
      </c>
      <c r="L383" s="5">
        <v>10.454933788979069</v>
      </c>
      <c r="M383" s="5"/>
      <c r="N383" s="98"/>
      <c r="O383" s="98"/>
      <c r="P383" s="120"/>
      <c r="Q383" s="133"/>
      <c r="R383" s="133"/>
      <c r="S383" s="133"/>
      <c r="T383" s="133"/>
      <c r="U383" s="133"/>
      <c r="V383" s="133"/>
      <c r="W383" s="120"/>
      <c r="X383" s="120"/>
      <c r="Y383" s="117"/>
      <c r="Z383" s="117"/>
      <c r="AA383" s="117"/>
      <c r="AB383" s="117"/>
      <c r="AC383" s="142"/>
      <c r="AD383" s="39"/>
      <c r="AE383" s="39"/>
      <c r="AF383" s="39"/>
      <c r="AG383" s="39"/>
      <c r="AH383" s="39"/>
      <c r="AI383" s="39"/>
      <c r="AJ383" s="39"/>
      <c r="AK383" s="39"/>
      <c r="AL383" s="39"/>
    </row>
    <row r="384" spans="1:38" ht="10.5" customHeight="1" x14ac:dyDescent="0.25">
      <c r="A384" s="61" t="s">
        <v>37</v>
      </c>
      <c r="B384" s="6">
        <v>225531</v>
      </c>
      <c r="C384" s="5">
        <v>17.853122640030776</v>
      </c>
      <c r="D384" s="5"/>
      <c r="E384" s="6">
        <v>220430</v>
      </c>
      <c r="F384" s="5">
        <v>18.332924877060034</v>
      </c>
      <c r="G384" s="5"/>
      <c r="H384" s="6">
        <v>4051</v>
      </c>
      <c r="I384" s="5">
        <v>10.588081547307894</v>
      </c>
      <c r="J384" s="5"/>
      <c r="K384" s="6">
        <v>1050</v>
      </c>
      <c r="L384" s="5">
        <v>11.213156770610851</v>
      </c>
      <c r="M384" s="5"/>
      <c r="N384" s="98"/>
      <c r="O384" s="98"/>
      <c r="P384" s="120"/>
      <c r="Q384" s="133"/>
      <c r="R384" s="133"/>
      <c r="S384" s="133"/>
      <c r="T384" s="133"/>
      <c r="U384" s="133"/>
      <c r="V384" s="133"/>
      <c r="W384" s="120"/>
      <c r="X384" s="120"/>
      <c r="Y384" s="117"/>
      <c r="Z384" s="117"/>
      <c r="AA384" s="117"/>
      <c r="AB384" s="117"/>
      <c r="AC384" s="142"/>
      <c r="AD384" s="39"/>
      <c r="AE384" s="39"/>
      <c r="AF384" s="39"/>
      <c r="AG384" s="39"/>
      <c r="AH384" s="39"/>
      <c r="AI384" s="39"/>
      <c r="AJ384" s="39"/>
      <c r="AK384" s="39"/>
      <c r="AL384" s="39"/>
    </row>
    <row r="385" spans="1:39" ht="9.75" customHeight="1" x14ac:dyDescent="0.25">
      <c r="A385" s="61"/>
      <c r="B385" s="6"/>
      <c r="C385" s="5"/>
      <c r="D385" s="5"/>
      <c r="E385" s="6"/>
      <c r="F385" s="5"/>
      <c r="G385" s="5"/>
      <c r="H385" s="6"/>
      <c r="I385" s="5"/>
      <c r="J385" s="5"/>
      <c r="K385" s="6"/>
      <c r="L385" s="5"/>
      <c r="M385" s="5"/>
      <c r="N385" s="98"/>
      <c r="O385" s="98"/>
      <c r="P385" s="120"/>
      <c r="Q385" s="133"/>
      <c r="R385" s="133"/>
      <c r="S385" s="133"/>
      <c r="T385" s="133"/>
      <c r="U385" s="133"/>
      <c r="V385" s="133"/>
      <c r="W385" s="120"/>
      <c r="X385" s="120"/>
      <c r="Y385" s="117"/>
      <c r="Z385" s="117"/>
      <c r="AA385" s="117"/>
      <c r="AB385" s="117"/>
      <c r="AC385" s="142"/>
      <c r="AD385" s="39"/>
      <c r="AE385" s="39"/>
      <c r="AF385" s="39"/>
      <c r="AG385" s="39"/>
      <c r="AH385" s="39"/>
      <c r="AI385" s="39"/>
      <c r="AJ385" s="39"/>
      <c r="AK385" s="39"/>
      <c r="AL385" s="39"/>
    </row>
    <row r="386" spans="1:39" s="35" customFormat="1" ht="14.1" customHeight="1" x14ac:dyDescent="0.25">
      <c r="A386" s="63" t="s">
        <v>77</v>
      </c>
      <c r="B386" s="9">
        <v>75615</v>
      </c>
      <c r="C386" s="96">
        <v>100</v>
      </c>
      <c r="D386" s="96"/>
      <c r="E386" s="95">
        <v>74523</v>
      </c>
      <c r="F386" s="96">
        <v>100</v>
      </c>
      <c r="G386" s="96"/>
      <c r="H386" s="95">
        <v>962</v>
      </c>
      <c r="I386" s="96">
        <v>100</v>
      </c>
      <c r="J386" s="15"/>
      <c r="K386" s="9">
        <v>130</v>
      </c>
      <c r="L386" s="15">
        <v>100</v>
      </c>
      <c r="M386" s="15"/>
      <c r="N386" s="96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118"/>
      <c r="Z386" s="118"/>
      <c r="AA386" s="118"/>
      <c r="AB386" s="118"/>
      <c r="AC386" s="142"/>
      <c r="AD386" s="39"/>
      <c r="AE386" s="39"/>
      <c r="AF386" s="39"/>
      <c r="AG386" s="39"/>
      <c r="AH386" s="39"/>
      <c r="AI386" s="39"/>
      <c r="AJ386" s="39"/>
      <c r="AK386" s="39"/>
      <c r="AL386" s="39"/>
      <c r="AM386"/>
    </row>
    <row r="387" spans="1:39" ht="14.1" customHeight="1" x14ac:dyDescent="0.25">
      <c r="A387" s="61" t="s">
        <v>57</v>
      </c>
      <c r="B387" s="6">
        <v>2304</v>
      </c>
      <c r="C387" s="98">
        <v>3.0470144812537194</v>
      </c>
      <c r="D387" s="5"/>
      <c r="E387" s="6">
        <v>2136</v>
      </c>
      <c r="F387" s="98">
        <v>2.866229217825369</v>
      </c>
      <c r="G387" s="5"/>
      <c r="H387" s="6">
        <v>139</v>
      </c>
      <c r="I387" s="5">
        <v>14.549064449064449</v>
      </c>
      <c r="J387" s="5"/>
      <c r="K387" s="6">
        <v>29</v>
      </c>
      <c r="L387" s="5">
        <v>22.30769230769231</v>
      </c>
      <c r="M387" s="5"/>
      <c r="N387" s="98"/>
      <c r="O387" s="98"/>
      <c r="P387" s="120"/>
      <c r="Q387" s="133"/>
      <c r="R387" s="133"/>
      <c r="S387" s="133"/>
      <c r="T387" s="133"/>
      <c r="U387" s="133"/>
      <c r="V387" s="133"/>
      <c r="W387" s="120"/>
      <c r="X387" s="120"/>
      <c r="Y387" s="117"/>
      <c r="Z387" s="117"/>
      <c r="AA387" s="117"/>
      <c r="AB387" s="117"/>
      <c r="AC387" s="142"/>
      <c r="AD387" s="39"/>
      <c r="AE387" s="39"/>
      <c r="AF387" s="39"/>
      <c r="AG387" s="39"/>
      <c r="AH387" s="39"/>
      <c r="AI387" s="39"/>
      <c r="AJ387" s="39"/>
      <c r="AK387" s="39"/>
      <c r="AL387" s="39"/>
      <c r="AM387"/>
    </row>
    <row r="388" spans="1:39" ht="14.1" customHeight="1" x14ac:dyDescent="0.25">
      <c r="A388" s="61" t="s">
        <v>29</v>
      </c>
      <c r="B388" s="6">
        <v>284</v>
      </c>
      <c r="C388" s="98">
        <v>0.37558685446009388</v>
      </c>
      <c r="D388" s="5"/>
      <c r="E388" s="6">
        <v>281</v>
      </c>
      <c r="F388" s="98">
        <v>0.3770647987869517</v>
      </c>
      <c r="G388" s="5"/>
      <c r="H388" s="6">
        <v>2</v>
      </c>
      <c r="I388" s="5">
        <v>0.20790020790020791</v>
      </c>
      <c r="J388" s="5"/>
      <c r="K388" s="6">
        <v>1</v>
      </c>
      <c r="L388" s="5">
        <v>0.76923076923076927</v>
      </c>
      <c r="M388" s="5"/>
      <c r="N388" s="98"/>
      <c r="O388" s="98"/>
      <c r="P388" s="120"/>
      <c r="Q388" s="133"/>
      <c r="R388" s="133"/>
      <c r="S388" s="133"/>
      <c r="T388" s="133"/>
      <c r="U388" s="133"/>
      <c r="V388" s="133"/>
      <c r="W388" s="120"/>
      <c r="X388" s="120"/>
      <c r="Y388" s="117"/>
      <c r="Z388" s="118"/>
      <c r="AA388" s="118"/>
      <c r="AB388" s="118"/>
      <c r="AC388" s="142"/>
      <c r="AD388" s="39"/>
      <c r="AE388" s="39"/>
      <c r="AF388" s="39"/>
      <c r="AG388" s="39"/>
      <c r="AH388" s="39"/>
      <c r="AI388" s="39"/>
      <c r="AJ388" s="39"/>
      <c r="AK388" s="39"/>
      <c r="AL388" s="39"/>
      <c r="AM388"/>
    </row>
    <row r="389" spans="1:39" ht="14.1" customHeight="1" x14ac:dyDescent="0.25">
      <c r="A389" s="61" t="s">
        <v>30</v>
      </c>
      <c r="B389" s="6">
        <v>3534</v>
      </c>
      <c r="C389" s="98">
        <v>4.6736758579646898</v>
      </c>
      <c r="D389" s="5"/>
      <c r="E389" s="6">
        <v>3422</v>
      </c>
      <c r="F389" s="98">
        <v>4.591870966010493</v>
      </c>
      <c r="G389" s="5"/>
      <c r="H389" s="6">
        <v>83</v>
      </c>
      <c r="I389" s="5">
        <v>8.6278586278586289</v>
      </c>
      <c r="J389" s="5"/>
      <c r="K389" s="6">
        <v>29</v>
      </c>
      <c r="L389" s="5">
        <v>22.30769230769231</v>
      </c>
      <c r="M389" s="5"/>
      <c r="N389" s="98"/>
      <c r="O389" s="98"/>
      <c r="P389" s="120"/>
      <c r="Q389" s="133"/>
      <c r="R389" s="133"/>
      <c r="S389" s="133"/>
      <c r="T389" s="133"/>
      <c r="U389" s="133"/>
      <c r="V389" s="133"/>
      <c r="W389" s="120"/>
      <c r="X389" s="120"/>
      <c r="Y389" s="117"/>
      <c r="Z389" s="118"/>
      <c r="AA389" s="118"/>
      <c r="AB389" s="118"/>
      <c r="AC389" s="142"/>
      <c r="AD389" s="39"/>
      <c r="AE389" s="39"/>
      <c r="AF389" s="39"/>
      <c r="AG389" s="39"/>
      <c r="AH389" s="39"/>
      <c r="AI389" s="39"/>
      <c r="AJ389" s="39"/>
      <c r="AK389" s="39"/>
      <c r="AL389" s="39"/>
      <c r="AM389"/>
    </row>
    <row r="390" spans="1:39" ht="14.1" customHeight="1" x14ac:dyDescent="0.25">
      <c r="A390" s="61" t="s">
        <v>31</v>
      </c>
      <c r="B390" s="6">
        <v>194</v>
      </c>
      <c r="C390" s="98">
        <v>0.2565628512861205</v>
      </c>
      <c r="D390" s="5"/>
      <c r="E390" s="6">
        <v>183</v>
      </c>
      <c r="F390" s="98">
        <v>0.24556177287548808</v>
      </c>
      <c r="G390" s="5"/>
      <c r="H390" s="6">
        <v>7</v>
      </c>
      <c r="I390" s="5">
        <v>0.72765072765072769</v>
      </c>
      <c r="J390" s="5"/>
      <c r="K390" s="6">
        <v>4</v>
      </c>
      <c r="L390" s="5">
        <v>3.0769230769230771</v>
      </c>
      <c r="M390" s="5"/>
      <c r="N390" s="98"/>
      <c r="O390" s="98"/>
      <c r="P390" s="120"/>
      <c r="Q390" s="133"/>
      <c r="R390" s="133"/>
      <c r="S390" s="133"/>
      <c r="T390" s="133"/>
      <c r="U390" s="133"/>
      <c r="V390" s="133"/>
      <c r="W390" s="120"/>
      <c r="X390" s="120"/>
      <c r="Y390" s="117"/>
      <c r="Z390" s="118"/>
      <c r="AA390" s="118"/>
      <c r="AB390" s="118"/>
      <c r="AC390" s="142"/>
      <c r="AD390" s="39"/>
      <c r="AE390" s="39"/>
      <c r="AF390" s="39"/>
      <c r="AG390" s="39"/>
      <c r="AH390" s="39"/>
      <c r="AI390" s="39"/>
      <c r="AJ390" s="39"/>
      <c r="AK390" s="39"/>
      <c r="AL390" s="39"/>
      <c r="AM390"/>
    </row>
    <row r="391" spans="1:39" ht="14.1" customHeight="1" x14ac:dyDescent="0.25">
      <c r="A391" s="61" t="s">
        <v>32</v>
      </c>
      <c r="B391" s="6">
        <v>1761</v>
      </c>
      <c r="C391" s="98">
        <v>2.3289029954374132</v>
      </c>
      <c r="D391" s="5"/>
      <c r="E391" s="6">
        <v>1696</v>
      </c>
      <c r="F391" s="98">
        <v>2.2758074688351249</v>
      </c>
      <c r="G391" s="5"/>
      <c r="H391" s="6">
        <v>62</v>
      </c>
      <c r="I391" s="5">
        <v>6.4449064449064455</v>
      </c>
      <c r="J391" s="5"/>
      <c r="K391" s="6">
        <v>3</v>
      </c>
      <c r="L391" s="5">
        <v>2.3076923076923079</v>
      </c>
      <c r="M391" s="5"/>
      <c r="N391" s="98"/>
      <c r="O391" s="98"/>
      <c r="P391" s="120"/>
      <c r="Q391" s="133"/>
      <c r="R391" s="133"/>
      <c r="S391" s="133"/>
      <c r="T391" s="133"/>
      <c r="U391" s="133"/>
      <c r="V391" s="133"/>
      <c r="W391" s="120"/>
      <c r="X391" s="120"/>
      <c r="Y391" s="117"/>
      <c r="Z391" s="118"/>
      <c r="AA391" s="118"/>
      <c r="AB391" s="118"/>
      <c r="AC391" s="142"/>
      <c r="AD391" s="39"/>
      <c r="AE391" s="39"/>
      <c r="AF391" s="39"/>
      <c r="AG391" s="39"/>
      <c r="AH391" s="39"/>
      <c r="AI391" s="39"/>
      <c r="AJ391" s="39"/>
      <c r="AK391" s="39"/>
      <c r="AL391" s="39"/>
      <c r="AM391"/>
    </row>
    <row r="392" spans="1:39" ht="14.1" customHeight="1" x14ac:dyDescent="0.25">
      <c r="A392" s="61" t="s">
        <v>33</v>
      </c>
      <c r="B392" s="6">
        <v>35740</v>
      </c>
      <c r="C392" s="98">
        <v>47.165754149308995</v>
      </c>
      <c r="D392" s="5"/>
      <c r="E392" s="6">
        <v>35282</v>
      </c>
      <c r="F392" s="98">
        <v>47.243773063349572</v>
      </c>
      <c r="G392" s="5"/>
      <c r="H392" s="6">
        <v>414</v>
      </c>
      <c r="I392" s="5">
        <v>43.03534303534304</v>
      </c>
      <c r="J392" s="5"/>
      <c r="K392" s="6">
        <v>44</v>
      </c>
      <c r="L392" s="5">
        <v>33.846153846153847</v>
      </c>
      <c r="M392" s="5"/>
      <c r="N392" s="98"/>
      <c r="O392" s="98"/>
      <c r="P392" s="120"/>
      <c r="Q392" s="133"/>
      <c r="R392" s="133"/>
      <c r="S392" s="133"/>
      <c r="T392" s="133"/>
      <c r="U392" s="133"/>
      <c r="V392" s="133"/>
      <c r="W392" s="120"/>
      <c r="X392" s="120"/>
      <c r="Y392" s="117"/>
      <c r="Z392" s="118"/>
      <c r="AA392" s="118"/>
      <c r="AB392" s="118"/>
      <c r="AC392" s="142"/>
      <c r="AD392" s="39"/>
      <c r="AE392" s="39"/>
      <c r="AF392" s="39"/>
      <c r="AG392" s="39"/>
      <c r="AH392" s="39"/>
      <c r="AI392" s="39"/>
      <c r="AJ392" s="39"/>
      <c r="AK392" s="39"/>
      <c r="AL392" s="39"/>
      <c r="AM392"/>
    </row>
    <row r="393" spans="1:39" ht="14.1" customHeight="1" x14ac:dyDescent="0.25">
      <c r="A393" s="61" t="s">
        <v>34</v>
      </c>
      <c r="B393" s="6">
        <v>4754</v>
      </c>
      <c r="C393" s="98">
        <v>6.2871123454341067</v>
      </c>
      <c r="D393" s="5"/>
      <c r="E393" s="6">
        <v>4626</v>
      </c>
      <c r="F393" s="98">
        <v>6.2074795700656171</v>
      </c>
      <c r="G393" s="5"/>
      <c r="H393" s="6">
        <v>118</v>
      </c>
      <c r="I393" s="5">
        <v>12.366112266112266</v>
      </c>
      <c r="J393" s="5"/>
      <c r="K393" s="6">
        <v>10</v>
      </c>
      <c r="L393" s="5">
        <v>7.6923076923076925</v>
      </c>
      <c r="M393" s="5"/>
      <c r="N393" s="98"/>
      <c r="O393" s="98"/>
      <c r="P393" s="120"/>
      <c r="Q393" s="133"/>
      <c r="R393" s="133"/>
      <c r="S393" s="133"/>
      <c r="T393" s="133"/>
      <c r="U393" s="133"/>
      <c r="V393" s="133"/>
      <c r="W393" s="120"/>
      <c r="X393" s="120"/>
      <c r="Y393" s="117"/>
      <c r="Z393" s="118"/>
      <c r="AA393" s="118"/>
      <c r="AB393" s="118"/>
      <c r="AC393" s="142"/>
      <c r="AD393" s="39"/>
      <c r="AE393" s="39"/>
      <c r="AF393" s="39"/>
      <c r="AG393" s="39"/>
      <c r="AH393" s="39"/>
      <c r="AI393" s="39"/>
      <c r="AJ393" s="39"/>
      <c r="AK393" s="39"/>
      <c r="AL393" s="39"/>
      <c r="AM393"/>
    </row>
    <row r="394" spans="1:39" ht="14.1" customHeight="1" x14ac:dyDescent="0.25">
      <c r="A394" s="61" t="s">
        <v>68</v>
      </c>
      <c r="B394" s="6">
        <v>1254</v>
      </c>
      <c r="C394" s="98">
        <v>1.6584011108906962</v>
      </c>
      <c r="D394" s="5"/>
      <c r="E394" s="6">
        <v>1249</v>
      </c>
      <c r="F394" s="98">
        <v>1.6759926465654897</v>
      </c>
      <c r="G394" s="5"/>
      <c r="H394" s="6">
        <v>5</v>
      </c>
      <c r="I394" s="5">
        <v>0.51975051975051978</v>
      </c>
      <c r="J394" s="5"/>
      <c r="K394" s="3" t="s">
        <v>96</v>
      </c>
      <c r="L394" s="3" t="s">
        <v>96</v>
      </c>
      <c r="M394" s="5"/>
      <c r="N394" s="98"/>
      <c r="O394" s="98"/>
      <c r="P394" s="120"/>
      <c r="Q394" s="133"/>
      <c r="R394" s="133"/>
      <c r="S394" s="133"/>
      <c r="T394" s="133"/>
      <c r="U394" s="133"/>
      <c r="V394" s="133"/>
      <c r="W394" s="120"/>
      <c r="X394" s="120"/>
      <c r="Y394" s="117"/>
      <c r="Z394" s="118"/>
      <c r="AA394" s="118"/>
      <c r="AB394" s="118"/>
      <c r="AC394" s="142"/>
      <c r="AD394" s="39"/>
      <c r="AE394" s="39"/>
      <c r="AF394" s="39"/>
      <c r="AG394" s="39"/>
      <c r="AH394" s="39"/>
      <c r="AI394" s="39"/>
      <c r="AJ394" s="39"/>
      <c r="AK394" s="39"/>
      <c r="AL394" s="39"/>
      <c r="AM394"/>
    </row>
    <row r="395" spans="1:39" ht="14.1" customHeight="1" x14ac:dyDescent="0.25">
      <c r="A395" s="61" t="s">
        <v>69</v>
      </c>
      <c r="B395" s="6">
        <v>9383</v>
      </c>
      <c r="C395" s="98">
        <v>12.408913575348807</v>
      </c>
      <c r="D395" s="5"/>
      <c r="E395" s="6">
        <v>9362</v>
      </c>
      <c r="F395" s="98">
        <v>12.562564577378796</v>
      </c>
      <c r="G395" s="5"/>
      <c r="H395" s="6">
        <v>21</v>
      </c>
      <c r="I395" s="5">
        <v>2.182952182952183</v>
      </c>
      <c r="J395" s="5"/>
      <c r="K395" s="3" t="s">
        <v>96</v>
      </c>
      <c r="L395" s="3" t="s">
        <v>96</v>
      </c>
      <c r="M395" s="5"/>
      <c r="N395" s="98"/>
      <c r="O395" s="98"/>
      <c r="P395" s="120"/>
      <c r="Q395" s="133"/>
      <c r="R395" s="133"/>
      <c r="S395" s="133"/>
      <c r="T395" s="133"/>
      <c r="U395" s="133"/>
      <c r="V395" s="133"/>
      <c r="W395" s="120"/>
      <c r="X395" s="120"/>
      <c r="Y395" s="117"/>
      <c r="Z395" s="118"/>
      <c r="AA395" s="118"/>
      <c r="AB395" s="118"/>
      <c r="AC395" s="142"/>
      <c r="AD395" s="39"/>
      <c r="AE395" s="39"/>
      <c r="AF395" s="39"/>
      <c r="AG395" s="39"/>
      <c r="AH395" s="39"/>
      <c r="AI395" s="39"/>
      <c r="AJ395" s="39"/>
      <c r="AK395" s="39"/>
      <c r="AL395" s="39"/>
      <c r="AM395"/>
    </row>
    <row r="396" spans="1:39" ht="14.1" customHeight="1" x14ac:dyDescent="0.25">
      <c r="A396" s="61" t="s">
        <v>35</v>
      </c>
      <c r="B396" s="6">
        <v>1397</v>
      </c>
      <c r="C396" s="98">
        <v>1.8475170270448986</v>
      </c>
      <c r="D396" s="5"/>
      <c r="E396" s="6">
        <v>1391</v>
      </c>
      <c r="F396" s="98">
        <v>1.8665378473759777</v>
      </c>
      <c r="G396" s="5"/>
      <c r="H396" s="6">
        <v>6</v>
      </c>
      <c r="I396" s="5">
        <v>0.62370062370062374</v>
      </c>
      <c r="J396" s="5"/>
      <c r="K396" s="3" t="s">
        <v>96</v>
      </c>
      <c r="L396" s="3" t="s">
        <v>96</v>
      </c>
      <c r="M396" s="5"/>
      <c r="N396" s="98"/>
      <c r="O396" s="98"/>
      <c r="P396" s="120"/>
      <c r="Q396" s="133"/>
      <c r="R396" s="133"/>
      <c r="S396" s="133"/>
      <c r="T396" s="133"/>
      <c r="U396" s="133"/>
      <c r="V396" s="133"/>
      <c r="W396" s="120"/>
      <c r="X396" s="120"/>
      <c r="Y396" s="117"/>
      <c r="Z396" s="118"/>
      <c r="AA396" s="118"/>
      <c r="AB396" s="118"/>
      <c r="AC396" s="142"/>
      <c r="AD396" s="39"/>
      <c r="AE396" s="39"/>
      <c r="AF396" s="39"/>
      <c r="AG396" s="39"/>
      <c r="AH396" s="39"/>
      <c r="AI396" s="39"/>
      <c r="AJ396" s="39"/>
      <c r="AK396" s="39"/>
      <c r="AL396" s="39"/>
      <c r="AM396"/>
    </row>
    <row r="397" spans="1:39" ht="14.1" customHeight="1" x14ac:dyDescent="0.25">
      <c r="A397" s="61" t="s">
        <v>36</v>
      </c>
      <c r="B397" s="6">
        <v>5209</v>
      </c>
      <c r="C397" s="98">
        <v>6.8888448059247498</v>
      </c>
      <c r="D397" s="5"/>
      <c r="E397" s="6">
        <v>5161</v>
      </c>
      <c r="F397" s="98">
        <v>6.9253787421333008</v>
      </c>
      <c r="G397" s="5"/>
      <c r="H397" s="6">
        <v>42</v>
      </c>
      <c r="I397" s="5">
        <v>4.3659043659043659</v>
      </c>
      <c r="J397" s="5"/>
      <c r="K397" s="6">
        <v>6</v>
      </c>
      <c r="L397" s="5">
        <v>4.6153846153846159</v>
      </c>
      <c r="M397" s="5"/>
      <c r="N397" s="98"/>
      <c r="O397" s="98"/>
      <c r="P397" s="120"/>
      <c r="Q397" s="133"/>
      <c r="R397" s="133"/>
      <c r="S397" s="133"/>
      <c r="T397" s="133"/>
      <c r="U397" s="133"/>
      <c r="V397" s="133"/>
      <c r="W397" s="120"/>
      <c r="X397" s="120"/>
      <c r="Y397" s="117"/>
      <c r="Z397" s="118"/>
      <c r="AA397" s="118"/>
      <c r="AB397" s="118"/>
      <c r="AC397" s="142"/>
      <c r="AD397" s="39"/>
      <c r="AE397" s="39"/>
      <c r="AF397" s="39"/>
      <c r="AG397" s="39"/>
      <c r="AH397" s="39"/>
      <c r="AI397" s="39"/>
      <c r="AJ397" s="39"/>
      <c r="AK397" s="39"/>
      <c r="AL397" s="39"/>
      <c r="AM397"/>
    </row>
    <row r="398" spans="1:39" ht="14.1" customHeight="1" x14ac:dyDescent="0.25">
      <c r="A398" s="61" t="s">
        <v>37</v>
      </c>
      <c r="B398" s="6">
        <v>9801</v>
      </c>
      <c r="C398" s="98">
        <v>12.961713945645705</v>
      </c>
      <c r="D398" s="5"/>
      <c r="E398" s="6">
        <v>9734</v>
      </c>
      <c r="F398" s="98">
        <v>13.06173932879782</v>
      </c>
      <c r="G398" s="5"/>
      <c r="H398" s="6">
        <v>63</v>
      </c>
      <c r="I398" s="5">
        <v>6.5488565488565493</v>
      </c>
      <c r="J398" s="5"/>
      <c r="K398" s="6">
        <v>4</v>
      </c>
      <c r="L398" s="5">
        <v>3.0769230769230771</v>
      </c>
      <c r="M398" s="5"/>
      <c r="N398" s="98"/>
      <c r="O398" s="98"/>
      <c r="P398" s="120"/>
      <c r="Q398" s="133"/>
      <c r="R398" s="133"/>
      <c r="S398" s="133"/>
      <c r="T398" s="133"/>
      <c r="U398" s="133"/>
      <c r="V398" s="133"/>
      <c r="W398" s="120"/>
      <c r="X398" s="120"/>
      <c r="Y398" s="117"/>
      <c r="Z398" s="118"/>
      <c r="AA398" s="118"/>
      <c r="AB398" s="118"/>
      <c r="AC398" s="142"/>
      <c r="AD398" s="39"/>
      <c r="AE398" s="39"/>
      <c r="AF398" s="39"/>
      <c r="AG398" s="39"/>
      <c r="AH398" s="39"/>
      <c r="AI398" s="39"/>
      <c r="AJ398" s="39"/>
      <c r="AK398" s="39"/>
      <c r="AL398" s="39"/>
      <c r="AM398"/>
    </row>
    <row r="399" spans="1:39" ht="6" customHeight="1" x14ac:dyDescent="0.25">
      <c r="A399" s="61"/>
      <c r="B399" s="6"/>
      <c r="C399" s="5"/>
      <c r="D399" s="5"/>
      <c r="E399" s="6"/>
      <c r="F399" s="5"/>
      <c r="G399" s="5"/>
      <c r="H399" s="6"/>
      <c r="I399" s="5"/>
      <c r="J399" s="5"/>
      <c r="K399" s="6"/>
      <c r="L399" s="5"/>
      <c r="M399" s="5"/>
      <c r="N399" s="98"/>
      <c r="O399" s="115"/>
      <c r="P399" s="111"/>
      <c r="Q399" s="111"/>
      <c r="R399" s="118"/>
      <c r="S399" s="118"/>
      <c r="T399" s="118"/>
      <c r="U399" s="118"/>
      <c r="V399" s="118"/>
      <c r="W399" s="116"/>
      <c r="X399" s="111"/>
      <c r="Y399" s="118"/>
      <c r="Z399" s="118"/>
      <c r="AA399" s="118"/>
      <c r="AB399" s="118"/>
      <c r="AC399" s="142"/>
      <c r="AD399" s="39"/>
      <c r="AE399" s="39"/>
      <c r="AF399" s="39"/>
      <c r="AG399" s="39"/>
      <c r="AH399" s="39"/>
      <c r="AI399" s="39"/>
      <c r="AJ399" s="39"/>
      <c r="AK399" s="39"/>
      <c r="AL399" s="39"/>
      <c r="AM399"/>
    </row>
    <row r="400" spans="1:39" ht="12" customHeight="1" thickBot="1" x14ac:dyDescent="0.3">
      <c r="A400" s="64"/>
      <c r="B400" s="65"/>
      <c r="C400" s="5"/>
      <c r="D400" s="5"/>
      <c r="E400" s="6"/>
      <c r="F400" s="5"/>
      <c r="G400" s="5"/>
      <c r="H400" s="6"/>
      <c r="I400" s="5"/>
      <c r="J400" s="5"/>
      <c r="K400" s="6"/>
      <c r="L400" s="5"/>
      <c r="M400" s="5"/>
      <c r="N400" s="98"/>
      <c r="O400" s="115"/>
      <c r="P400" s="118"/>
      <c r="Q400" s="118"/>
      <c r="R400" s="118"/>
      <c r="S400" s="118"/>
      <c r="T400" s="118"/>
      <c r="U400" s="118"/>
      <c r="V400" s="118"/>
      <c r="W400" s="116"/>
      <c r="X400" s="111"/>
      <c r="Y400" s="118"/>
      <c r="Z400" s="118"/>
      <c r="AA400" s="118"/>
      <c r="AB400" s="118"/>
      <c r="AC400" s="119"/>
    </row>
    <row r="401" spans="1:29" ht="45" customHeight="1" x14ac:dyDescent="0.25">
      <c r="A401" s="175" t="s">
        <v>79</v>
      </c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51"/>
      <c r="O401" s="152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9"/>
    </row>
    <row r="406" spans="1:29" ht="12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13"/>
    </row>
    <row r="407" spans="1:29" ht="12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13"/>
    </row>
    <row r="408" spans="1:29" ht="12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13"/>
    </row>
    <row r="409" spans="1:29" ht="12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13"/>
    </row>
    <row r="410" spans="1:29" ht="12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13"/>
    </row>
    <row r="411" spans="1:29" ht="12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13"/>
    </row>
  </sheetData>
  <mergeCells count="9">
    <mergeCell ref="A401:M401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71" orientation="portrait" r:id="rId1"/>
  <rowBreaks count="6" manualBreakCount="6">
    <brk id="63" max="16383" man="1"/>
    <brk id="119" max="16383" man="1"/>
    <brk id="175" max="16383" man="1"/>
    <brk id="231" max="16383" man="1"/>
    <brk id="287" max="16383" man="1"/>
    <brk id="343" max="16383" man="1"/>
  </rowBreaks>
  <colBreaks count="1" manualBreakCount="1">
    <brk id="13" max="40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95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5.140625" style="1" customWidth="1"/>
    <col min="2" max="2" width="7.85546875" style="1" customWidth="1"/>
    <col min="3" max="3" width="4.85546875" style="1" customWidth="1"/>
    <col min="4" max="4" width="1" style="1" customWidth="1"/>
    <col min="5" max="5" width="7.85546875" style="1" customWidth="1"/>
    <col min="6" max="6" width="4.85546875" style="1" customWidth="1"/>
    <col min="7" max="7" width="1.5703125" style="1" customWidth="1"/>
    <col min="8" max="8" width="7.85546875" style="1" customWidth="1"/>
    <col min="9" max="9" width="4.85546875" style="1" customWidth="1"/>
    <col min="10" max="10" width="1.42578125" style="1" customWidth="1"/>
    <col min="11" max="11" width="7.85546875" style="1" customWidth="1"/>
    <col min="12" max="12" width="4.85546875" style="1" customWidth="1"/>
    <col min="13" max="13" width="1.85546875" style="1" customWidth="1"/>
    <col min="14" max="14" width="11.42578125" style="1"/>
    <col min="15" max="19" width="0" style="99" hidden="1" customWidth="1"/>
    <col min="20" max="16384" width="11.42578125" style="1"/>
  </cols>
  <sheetData>
    <row r="1" spans="1:24" ht="14.1" customHeight="1" x14ac:dyDescent="0.25">
      <c r="A1" s="163" t="s">
        <v>39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24" ht="18" customHeight="1" x14ac:dyDescent="0.25">
      <c r="A2" s="163" t="s">
        <v>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24" ht="4.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24" ht="15.95" customHeight="1" thickBot="1" x14ac:dyDescent="0.3">
      <c r="A4" s="164" t="s">
        <v>73</v>
      </c>
      <c r="B4" s="176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24" ht="27.75" customHeight="1" thickBot="1" x14ac:dyDescent="0.3">
      <c r="A5" s="165"/>
      <c r="B5" s="178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72" t="s">
        <v>65</v>
      </c>
      <c r="L5" s="172"/>
      <c r="M5" s="59"/>
    </row>
    <row r="6" spans="1:24" ht="15.7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50" t="s">
        <v>24</v>
      </c>
      <c r="I6" s="50" t="s">
        <v>23</v>
      </c>
      <c r="J6" s="50"/>
      <c r="K6" s="49" t="s">
        <v>24</v>
      </c>
      <c r="L6" s="49" t="s">
        <v>23</v>
      </c>
      <c r="M6" s="49"/>
    </row>
    <row r="7" spans="1:24" ht="9.9499999999999993" customHeight="1" x14ac:dyDescent="0.25">
      <c r="A7" s="60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  <c r="M7" s="11"/>
    </row>
    <row r="8" spans="1:24" ht="14.1" customHeight="1" x14ac:dyDescent="0.25">
      <c r="A8" s="67" t="s">
        <v>26</v>
      </c>
      <c r="B8" s="9">
        <v>2979707</v>
      </c>
      <c r="C8" s="15">
        <v>100</v>
      </c>
      <c r="D8" s="15"/>
      <c r="E8" s="9">
        <v>2898621</v>
      </c>
      <c r="F8" s="15">
        <v>100</v>
      </c>
      <c r="G8" s="15"/>
      <c r="H8" s="9">
        <v>67321</v>
      </c>
      <c r="I8" s="15">
        <v>100</v>
      </c>
      <c r="J8" s="15"/>
      <c r="K8" s="9">
        <v>13765</v>
      </c>
      <c r="L8" s="15">
        <v>100</v>
      </c>
      <c r="M8" s="15"/>
    </row>
    <row r="9" spans="1:24" ht="12" customHeight="1" x14ac:dyDescent="0.25">
      <c r="A9" s="46"/>
      <c r="B9" s="8"/>
      <c r="C9" s="7"/>
      <c r="D9" s="7"/>
      <c r="E9" s="8"/>
      <c r="F9" s="7"/>
      <c r="G9" s="7"/>
      <c r="H9" s="8"/>
      <c r="I9" s="7"/>
      <c r="J9" s="7"/>
      <c r="K9" s="8"/>
      <c r="L9" s="7"/>
      <c r="M9" s="7"/>
      <c r="U9" s="37"/>
      <c r="V9" s="37"/>
      <c r="W9" s="37"/>
      <c r="X9" s="37"/>
    </row>
    <row r="10" spans="1:24" ht="14.1" customHeight="1" x14ac:dyDescent="0.25">
      <c r="A10" s="61" t="s">
        <v>40</v>
      </c>
      <c r="B10" s="6">
        <v>2194046</v>
      </c>
      <c r="C10" s="5">
        <v>73.632944447222499</v>
      </c>
      <c r="D10" s="6">
        <v>2186138</v>
      </c>
      <c r="E10" s="6">
        <v>2186138</v>
      </c>
      <c r="F10" s="5">
        <v>75.419932443737906</v>
      </c>
      <c r="G10" s="5"/>
      <c r="H10" s="6">
        <v>7542</v>
      </c>
      <c r="I10" s="5">
        <v>11.203042141382333</v>
      </c>
      <c r="J10" s="5"/>
      <c r="K10" s="6">
        <v>366</v>
      </c>
      <c r="L10" s="5">
        <v>2.6589175444969122</v>
      </c>
      <c r="M10" s="5"/>
      <c r="U10" s="37"/>
      <c r="V10" s="37"/>
      <c r="W10" s="37"/>
      <c r="X10" s="37"/>
    </row>
    <row r="11" spans="1:24" ht="14.1" customHeight="1" x14ac:dyDescent="0.25">
      <c r="A11" s="61" t="s">
        <v>41</v>
      </c>
      <c r="B11" s="6">
        <v>374852</v>
      </c>
      <c r="C11" s="5">
        <v>12.580163083148779</v>
      </c>
      <c r="D11" s="6">
        <v>328988</v>
      </c>
      <c r="E11" s="6">
        <v>328988</v>
      </c>
      <c r="F11" s="5">
        <v>11.449810823836575</v>
      </c>
      <c r="G11" s="5"/>
      <c r="H11" s="6">
        <v>35951</v>
      </c>
      <c r="I11" s="5">
        <v>53.40235587706659</v>
      </c>
      <c r="J11" s="5"/>
      <c r="K11" s="6">
        <v>9913</v>
      </c>
      <c r="L11" s="5">
        <v>72.015982564475124</v>
      </c>
      <c r="M11" s="5"/>
      <c r="U11" s="37"/>
      <c r="V11" s="37"/>
      <c r="W11" s="37"/>
      <c r="X11" s="37"/>
    </row>
    <row r="12" spans="1:24" ht="14.1" customHeight="1" x14ac:dyDescent="0.25">
      <c r="A12" s="61" t="s">
        <v>42</v>
      </c>
      <c r="B12" s="6">
        <v>9481</v>
      </c>
      <c r="C12" s="5">
        <v>0.3181856471122832</v>
      </c>
      <c r="D12" s="6">
        <v>8957</v>
      </c>
      <c r="E12" s="6">
        <v>8957</v>
      </c>
      <c r="F12" s="5">
        <v>0.3090090080765992</v>
      </c>
      <c r="G12" s="5"/>
      <c r="H12" s="6">
        <v>423</v>
      </c>
      <c r="I12" s="5">
        <v>0.62833291246416423</v>
      </c>
      <c r="J12" s="5"/>
      <c r="K12" s="6">
        <v>101</v>
      </c>
      <c r="L12" s="5">
        <v>0.83374500544860153</v>
      </c>
      <c r="M12" s="5"/>
      <c r="U12" s="37"/>
      <c r="V12" s="37"/>
      <c r="W12" s="37"/>
      <c r="X12" s="37"/>
    </row>
    <row r="13" spans="1:24" ht="14.1" customHeight="1" x14ac:dyDescent="0.25">
      <c r="A13" s="61" t="s">
        <v>43</v>
      </c>
      <c r="B13" s="6">
        <v>68452</v>
      </c>
      <c r="C13" s="5">
        <v>2.2972728526663864</v>
      </c>
      <c r="D13" s="6">
        <v>61059</v>
      </c>
      <c r="E13" s="6">
        <v>61059</v>
      </c>
      <c r="F13" s="5">
        <v>2.1064844282850363</v>
      </c>
      <c r="G13" s="5"/>
      <c r="H13" s="6">
        <v>6288</v>
      </c>
      <c r="I13" s="5">
        <v>9.3403247129424702</v>
      </c>
      <c r="J13" s="5"/>
      <c r="K13" s="6">
        <v>1105</v>
      </c>
      <c r="L13" s="5">
        <v>8.0276062477297483</v>
      </c>
      <c r="M13" s="5"/>
      <c r="U13" s="37"/>
      <c r="V13" s="37"/>
      <c r="W13" s="37"/>
      <c r="X13" s="37"/>
    </row>
    <row r="14" spans="1:24" ht="14.1" customHeight="1" x14ac:dyDescent="0.25">
      <c r="A14" s="61" t="s">
        <v>44</v>
      </c>
      <c r="B14" s="6">
        <v>246340</v>
      </c>
      <c r="C14" s="5">
        <v>8.2672558073662952</v>
      </c>
      <c r="D14" s="6">
        <v>230783</v>
      </c>
      <c r="E14" s="6">
        <v>230783</v>
      </c>
      <c r="F14" s="5">
        <v>7.96182046566281</v>
      </c>
      <c r="G14" s="5"/>
      <c r="H14" s="6">
        <v>14264</v>
      </c>
      <c r="I14" s="5">
        <v>21.188039393354227</v>
      </c>
      <c r="J14" s="5"/>
      <c r="K14" s="6">
        <v>1293</v>
      </c>
      <c r="L14" s="5">
        <v>9.3933890301489278</v>
      </c>
      <c r="M14" s="5"/>
      <c r="U14" s="37"/>
      <c r="V14" s="37"/>
      <c r="W14" s="37"/>
      <c r="X14" s="37"/>
    </row>
    <row r="15" spans="1:24" ht="13.5" customHeight="1" x14ac:dyDescent="0.25">
      <c r="A15" s="61" t="s">
        <v>45</v>
      </c>
      <c r="B15" s="6">
        <v>48222</v>
      </c>
      <c r="C15" s="5">
        <v>1.6183470388195886</v>
      </c>
      <c r="D15" s="6">
        <v>47295</v>
      </c>
      <c r="E15" s="6">
        <v>47295</v>
      </c>
      <c r="F15" s="5">
        <v>1.6316379409381219</v>
      </c>
      <c r="G15" s="5"/>
      <c r="H15" s="6">
        <v>714</v>
      </c>
      <c r="I15" s="5">
        <v>1.0605903061451851</v>
      </c>
      <c r="J15" s="5"/>
      <c r="K15" s="6">
        <v>213</v>
      </c>
      <c r="L15" s="5">
        <v>1.5474028332727934</v>
      </c>
      <c r="M15" s="5"/>
      <c r="U15" s="37"/>
      <c r="V15" s="37"/>
      <c r="W15" s="37"/>
      <c r="X15" s="37"/>
    </row>
    <row r="16" spans="1:24" hidden="1" x14ac:dyDescent="0.25">
      <c r="A16" s="61" t="s">
        <v>46</v>
      </c>
      <c r="B16" s="6">
        <v>3246</v>
      </c>
      <c r="C16" s="5">
        <v>0.10893688540517574</v>
      </c>
      <c r="D16" s="6">
        <v>2887</v>
      </c>
      <c r="E16" s="6">
        <v>2887</v>
      </c>
      <c r="F16" s="5">
        <v>9.9599085220178823E-2</v>
      </c>
      <c r="G16" s="5"/>
      <c r="H16" s="6">
        <v>242</v>
      </c>
      <c r="I16" s="5">
        <v>0.359471784435763</v>
      </c>
      <c r="J16" s="5"/>
      <c r="K16" s="6">
        <v>117</v>
      </c>
      <c r="L16" s="5">
        <v>0.84998183799491456</v>
      </c>
      <c r="M16" s="5"/>
      <c r="U16" s="37"/>
      <c r="V16" s="37"/>
      <c r="W16" s="37"/>
      <c r="X16" s="37"/>
    </row>
    <row r="17" spans="1:24" ht="14.1" customHeight="1" x14ac:dyDescent="0.25">
      <c r="A17" s="61" t="s">
        <v>47</v>
      </c>
      <c r="B17" s="6">
        <v>38314</v>
      </c>
      <c r="C17" s="5">
        <v>1.2858311236641724</v>
      </c>
      <c r="D17" s="6">
        <v>32514</v>
      </c>
      <c r="E17" s="6">
        <v>35401</v>
      </c>
      <c r="F17" s="5">
        <v>1.221304889462955</v>
      </c>
      <c r="G17" s="5"/>
      <c r="H17" s="6">
        <v>2139</v>
      </c>
      <c r="I17" s="5">
        <v>3.1773146566450294</v>
      </c>
      <c r="J17" s="5"/>
      <c r="K17" s="6">
        <v>774</v>
      </c>
      <c r="L17" s="5">
        <v>5.6229567744278972</v>
      </c>
      <c r="M17" s="5"/>
      <c r="U17" s="37"/>
      <c r="V17" s="37"/>
      <c r="W17" s="37"/>
      <c r="X17" s="37"/>
    </row>
    <row r="18" spans="1:24" ht="14.1" customHeight="1" x14ac:dyDescent="0.25">
      <c r="A18" s="68"/>
      <c r="B18" s="6"/>
      <c r="C18" s="5"/>
      <c r="D18" s="5"/>
      <c r="E18" s="6"/>
      <c r="F18" s="5"/>
      <c r="G18" s="5"/>
      <c r="H18" s="6"/>
      <c r="I18" s="16"/>
      <c r="J18" s="16"/>
      <c r="K18" s="6"/>
      <c r="L18" s="16"/>
      <c r="M18" s="16"/>
      <c r="U18" s="37"/>
      <c r="V18" s="37"/>
      <c r="W18" s="37"/>
      <c r="X18" s="37"/>
    </row>
    <row r="19" spans="1:24" ht="14.1" customHeight="1" x14ac:dyDescent="0.25">
      <c r="A19" s="63" t="s">
        <v>21</v>
      </c>
      <c r="B19" s="9">
        <v>20516</v>
      </c>
      <c r="C19" s="15">
        <v>100</v>
      </c>
      <c r="D19" s="15"/>
      <c r="E19" s="9">
        <v>20092</v>
      </c>
      <c r="F19" s="15">
        <v>100</v>
      </c>
      <c r="G19" s="15"/>
      <c r="H19" s="9">
        <v>374</v>
      </c>
      <c r="I19" s="15">
        <v>100</v>
      </c>
      <c r="J19" s="15"/>
      <c r="K19" s="9">
        <v>50</v>
      </c>
      <c r="L19" s="15">
        <v>100</v>
      </c>
      <c r="M19" s="15"/>
      <c r="O19" s="100">
        <f>SUM(O20:O27)</f>
        <v>100.29999999999998</v>
      </c>
      <c r="P19" s="100">
        <f t="shared" ref="P19:S19" si="0">SUM(P20:P27)</f>
        <v>100.19999999999999</v>
      </c>
      <c r="Q19" s="100" t="e">
        <f t="shared" si="0"/>
        <v>#VALUE!</v>
      </c>
      <c r="R19" s="100" t="e">
        <f t="shared" si="0"/>
        <v>#VALUE!</v>
      </c>
      <c r="S19" s="100" t="e">
        <f t="shared" si="0"/>
        <v>#REF!</v>
      </c>
      <c r="U19" s="37"/>
      <c r="V19" s="37"/>
      <c r="W19" s="37"/>
      <c r="X19" s="37"/>
    </row>
    <row r="20" spans="1:24" ht="14.1" customHeight="1" x14ac:dyDescent="0.25">
      <c r="A20" s="61" t="s">
        <v>40</v>
      </c>
      <c r="B20" s="6">
        <v>14715</v>
      </c>
      <c r="C20" s="5">
        <v>71.774507701306291</v>
      </c>
      <c r="D20" s="5"/>
      <c r="E20" s="6">
        <v>14659</v>
      </c>
      <c r="F20" s="5">
        <v>73.059386820625122</v>
      </c>
      <c r="G20" s="5"/>
      <c r="H20" s="6">
        <v>55</v>
      </c>
      <c r="I20" s="5">
        <v>14.705882352941178</v>
      </c>
      <c r="J20" s="5"/>
      <c r="K20" s="6">
        <v>1</v>
      </c>
      <c r="L20" s="5">
        <v>2</v>
      </c>
      <c r="M20" s="5"/>
      <c r="O20" s="100">
        <f t="shared" ref="O20:O28" si="1">ROUND(C20,1)</f>
        <v>71.8</v>
      </c>
      <c r="P20" s="100">
        <f t="shared" ref="P20:P28" si="2">ROUND(F20,1)</f>
        <v>73.099999999999994</v>
      </c>
      <c r="Q20" s="100">
        <f t="shared" ref="Q20:Q28" si="3">ROUND(I20,1)</f>
        <v>14.7</v>
      </c>
      <c r="R20" s="100">
        <f t="shared" ref="R20:R28" si="4">ROUND(L20,1)</f>
        <v>2</v>
      </c>
      <c r="S20" s="100" t="e">
        <f>ROUND(#REF!,1)</f>
        <v>#REF!</v>
      </c>
      <c r="U20" s="37"/>
      <c r="V20" s="37"/>
      <c r="W20" s="37"/>
      <c r="X20" s="37"/>
    </row>
    <row r="21" spans="1:24" ht="14.1" customHeight="1" x14ac:dyDescent="0.25">
      <c r="A21" s="61" t="s">
        <v>41</v>
      </c>
      <c r="B21" s="6">
        <v>1177</v>
      </c>
      <c r="C21" s="5">
        <v>5.7369857672060833</v>
      </c>
      <c r="D21" s="5"/>
      <c r="E21" s="6">
        <v>1091</v>
      </c>
      <c r="F21" s="5">
        <v>5.4300218992633882</v>
      </c>
      <c r="G21" s="5"/>
      <c r="H21" s="6">
        <v>71</v>
      </c>
      <c r="I21" s="5">
        <v>18.983957219251337</v>
      </c>
      <c r="J21" s="5"/>
      <c r="K21" s="6">
        <v>15</v>
      </c>
      <c r="L21" s="5">
        <v>30</v>
      </c>
      <c r="M21" s="5"/>
      <c r="O21" s="100">
        <f t="shared" si="1"/>
        <v>5.7</v>
      </c>
      <c r="P21" s="100">
        <f t="shared" si="2"/>
        <v>5.4</v>
      </c>
      <c r="Q21" s="100">
        <f t="shared" si="3"/>
        <v>19</v>
      </c>
      <c r="R21" s="100">
        <f t="shared" si="4"/>
        <v>30</v>
      </c>
      <c r="S21" s="100" t="e">
        <f>ROUND(#REF!,1)</f>
        <v>#REF!</v>
      </c>
      <c r="U21" s="37"/>
      <c r="V21" s="37"/>
      <c r="W21" s="37"/>
      <c r="X21" s="37"/>
    </row>
    <row r="22" spans="1:24" ht="14.1" customHeight="1" x14ac:dyDescent="0.25">
      <c r="A22" s="61" t="s">
        <v>42</v>
      </c>
      <c r="B22" s="6">
        <v>30</v>
      </c>
      <c r="C22" s="5">
        <v>0.1462273347631117</v>
      </c>
      <c r="D22" s="5"/>
      <c r="E22" s="6">
        <v>30</v>
      </c>
      <c r="F22" s="5">
        <v>0.14931315946645429</v>
      </c>
      <c r="G22" s="5"/>
      <c r="H22" s="3" t="s">
        <v>96</v>
      </c>
      <c r="I22" s="3" t="s">
        <v>96</v>
      </c>
      <c r="J22" s="5"/>
      <c r="K22" s="3" t="s">
        <v>96</v>
      </c>
      <c r="L22" s="3" t="s">
        <v>96</v>
      </c>
      <c r="M22" s="5"/>
      <c r="O22" s="100">
        <f t="shared" si="1"/>
        <v>0.1</v>
      </c>
      <c r="P22" s="100">
        <f t="shared" si="2"/>
        <v>0.1</v>
      </c>
      <c r="Q22" s="100" t="e">
        <f t="shared" si="3"/>
        <v>#VALUE!</v>
      </c>
      <c r="R22" s="100" t="e">
        <f t="shared" si="4"/>
        <v>#VALUE!</v>
      </c>
      <c r="S22" s="100" t="e">
        <f>ROUND(#REF!,1)</f>
        <v>#REF!</v>
      </c>
      <c r="U22" s="37"/>
      <c r="V22" s="37"/>
      <c r="W22" s="37"/>
      <c r="X22" s="37"/>
    </row>
    <row r="23" spans="1:24" ht="14.1" customHeight="1" x14ac:dyDescent="0.25">
      <c r="A23" s="61" t="s">
        <v>43</v>
      </c>
      <c r="B23" s="6">
        <v>697</v>
      </c>
      <c r="C23" s="5">
        <v>3.3973484109962953</v>
      </c>
      <c r="D23" s="5"/>
      <c r="E23" s="6">
        <v>644</v>
      </c>
      <c r="F23" s="5">
        <v>3.2052558232132191</v>
      </c>
      <c r="G23" s="5"/>
      <c r="H23" s="6">
        <v>47</v>
      </c>
      <c r="I23" s="5">
        <v>12.566844919786096</v>
      </c>
      <c r="J23" s="5"/>
      <c r="K23" s="3">
        <v>6</v>
      </c>
      <c r="L23" s="16">
        <v>12</v>
      </c>
      <c r="M23" s="5"/>
      <c r="O23" s="100">
        <f t="shared" si="1"/>
        <v>3.4</v>
      </c>
      <c r="P23" s="100">
        <f t="shared" si="2"/>
        <v>3.2</v>
      </c>
      <c r="Q23" s="100">
        <f t="shared" si="3"/>
        <v>12.6</v>
      </c>
      <c r="R23" s="100">
        <f t="shared" si="4"/>
        <v>12</v>
      </c>
      <c r="S23" s="100" t="e">
        <f>ROUND(#REF!,1)</f>
        <v>#REF!</v>
      </c>
      <c r="U23" s="37"/>
      <c r="V23" s="37"/>
      <c r="W23" s="37"/>
      <c r="X23" s="37"/>
    </row>
    <row r="24" spans="1:24" ht="14.1" customHeight="1" x14ac:dyDescent="0.25">
      <c r="A24" s="61" t="s">
        <v>44</v>
      </c>
      <c r="B24" s="6">
        <v>2077</v>
      </c>
      <c r="C24" s="5">
        <v>10.123805810099434</v>
      </c>
      <c r="D24" s="5"/>
      <c r="E24" s="6">
        <v>1929</v>
      </c>
      <c r="F24" s="5">
        <v>9.6008361536930131</v>
      </c>
      <c r="G24" s="5"/>
      <c r="H24" s="6">
        <v>138</v>
      </c>
      <c r="I24" s="5">
        <v>36.898395721925134</v>
      </c>
      <c r="J24" s="5"/>
      <c r="K24" s="3">
        <v>10</v>
      </c>
      <c r="L24" s="16">
        <v>20</v>
      </c>
      <c r="M24" s="5"/>
      <c r="O24" s="100">
        <f t="shared" si="1"/>
        <v>10.1</v>
      </c>
      <c r="P24" s="100">
        <f t="shared" si="2"/>
        <v>9.6</v>
      </c>
      <c r="Q24" s="100">
        <f t="shared" si="3"/>
        <v>36.9</v>
      </c>
      <c r="R24" s="100">
        <f t="shared" si="4"/>
        <v>20</v>
      </c>
      <c r="S24" s="100" t="e">
        <f>ROUND(#REF!,1)</f>
        <v>#REF!</v>
      </c>
      <c r="U24" s="37"/>
      <c r="V24" s="37"/>
      <c r="W24" s="37"/>
      <c r="X24" s="37"/>
    </row>
    <row r="25" spans="1:24" ht="14.1" customHeight="1" x14ac:dyDescent="0.25">
      <c r="A25" s="61" t="s">
        <v>45</v>
      </c>
      <c r="B25" s="6">
        <v>775</v>
      </c>
      <c r="C25" s="5">
        <v>3.7775394813803862</v>
      </c>
      <c r="D25" s="5"/>
      <c r="E25" s="6">
        <v>768</v>
      </c>
      <c r="F25" s="5">
        <v>3.8224168823412308</v>
      </c>
      <c r="G25" s="5"/>
      <c r="H25" s="6">
        <v>2</v>
      </c>
      <c r="I25" s="5">
        <v>0.53475935828876997</v>
      </c>
      <c r="J25" s="5"/>
      <c r="K25" s="3">
        <v>5</v>
      </c>
      <c r="L25" s="16">
        <v>10</v>
      </c>
      <c r="M25" s="5"/>
      <c r="O25" s="100">
        <f t="shared" si="1"/>
        <v>3.8</v>
      </c>
      <c r="P25" s="100">
        <f t="shared" si="2"/>
        <v>3.8</v>
      </c>
      <c r="Q25" s="100">
        <f t="shared" si="3"/>
        <v>0.5</v>
      </c>
      <c r="R25" s="100">
        <f t="shared" si="4"/>
        <v>10</v>
      </c>
      <c r="S25" s="100" t="e">
        <f>ROUND(#REF!,1)</f>
        <v>#REF!</v>
      </c>
      <c r="U25" s="37"/>
      <c r="V25" s="37"/>
      <c r="W25" s="37"/>
      <c r="X25" s="37"/>
    </row>
    <row r="26" spans="1:24" hidden="1" x14ac:dyDescent="0.25">
      <c r="A26" s="61" t="s">
        <v>46</v>
      </c>
      <c r="B26" s="6">
        <v>55</v>
      </c>
      <c r="C26" s="5">
        <v>0.26808344706570481</v>
      </c>
      <c r="D26" s="5"/>
      <c r="E26" s="6">
        <v>45</v>
      </c>
      <c r="F26" s="5">
        <v>0.22396973919968144</v>
      </c>
      <c r="G26" s="5"/>
      <c r="H26" s="6">
        <v>6</v>
      </c>
      <c r="I26" s="5">
        <v>1.6042780748663104</v>
      </c>
      <c r="J26" s="5"/>
      <c r="K26" s="3">
        <v>4</v>
      </c>
      <c r="L26" s="16">
        <v>8</v>
      </c>
      <c r="M26" s="5"/>
      <c r="O26" s="100">
        <f t="shared" si="1"/>
        <v>0.3</v>
      </c>
      <c r="P26" s="100">
        <f t="shared" si="2"/>
        <v>0.2</v>
      </c>
      <c r="Q26" s="100">
        <f t="shared" si="3"/>
        <v>1.6</v>
      </c>
      <c r="R26" s="100">
        <f t="shared" si="4"/>
        <v>8</v>
      </c>
      <c r="S26" s="100" t="e">
        <f>ROUND(#REF!,1)</f>
        <v>#REF!</v>
      </c>
      <c r="U26" s="37"/>
      <c r="V26" s="37"/>
      <c r="W26" s="37"/>
      <c r="X26" s="37"/>
    </row>
    <row r="27" spans="1:24" ht="14.1" customHeight="1" x14ac:dyDescent="0.25">
      <c r="A27" s="61" t="s">
        <v>47</v>
      </c>
      <c r="B27" s="6">
        <v>1045</v>
      </c>
      <c r="C27" s="5">
        <v>5.0935854942483916</v>
      </c>
      <c r="D27" s="5"/>
      <c r="E27" s="6">
        <v>971</v>
      </c>
      <c r="F27" s="5">
        <v>4.832769261397571</v>
      </c>
      <c r="G27" s="5"/>
      <c r="H27" s="6">
        <v>61</v>
      </c>
      <c r="I27" s="5">
        <v>16.310160427807489</v>
      </c>
      <c r="J27" s="5"/>
      <c r="K27" s="6">
        <v>13</v>
      </c>
      <c r="L27" s="5">
        <v>26</v>
      </c>
      <c r="M27" s="5"/>
      <c r="O27" s="100">
        <f t="shared" si="1"/>
        <v>5.0999999999999996</v>
      </c>
      <c r="P27" s="100">
        <f t="shared" si="2"/>
        <v>4.8</v>
      </c>
      <c r="Q27" s="100">
        <f t="shared" si="3"/>
        <v>16.3</v>
      </c>
      <c r="R27" s="100">
        <f t="shared" si="4"/>
        <v>26</v>
      </c>
      <c r="S27" s="100" t="e">
        <f>ROUND(#REF!,1)</f>
        <v>#REF!</v>
      </c>
      <c r="U27" s="37"/>
      <c r="V27" s="37"/>
      <c r="W27" s="37"/>
      <c r="X27" s="37"/>
    </row>
    <row r="28" spans="1:24" ht="14.1" customHeight="1" x14ac:dyDescent="0.25">
      <c r="A28" s="68"/>
      <c r="B28" s="9"/>
      <c r="C28" s="15"/>
      <c r="D28" s="15"/>
      <c r="E28" s="9"/>
      <c r="F28" s="15"/>
      <c r="G28" s="15"/>
      <c r="H28" s="9"/>
      <c r="I28" s="15"/>
      <c r="J28" s="15"/>
      <c r="K28" s="9"/>
      <c r="L28" s="15"/>
      <c r="M28" s="15"/>
      <c r="O28" s="100">
        <f t="shared" si="1"/>
        <v>0</v>
      </c>
      <c r="P28" s="100">
        <f t="shared" si="2"/>
        <v>0</v>
      </c>
      <c r="Q28" s="100">
        <f t="shared" si="3"/>
        <v>0</v>
      </c>
      <c r="R28" s="100">
        <f t="shared" si="4"/>
        <v>0</v>
      </c>
      <c r="S28" s="100" t="e">
        <f>ROUND(#REF!,1)</f>
        <v>#REF!</v>
      </c>
      <c r="U28" s="37"/>
      <c r="V28" s="37"/>
      <c r="W28" s="37"/>
      <c r="X28" s="37"/>
    </row>
    <row r="29" spans="1:24" ht="14.1" customHeight="1" x14ac:dyDescent="0.25">
      <c r="A29" s="63" t="s">
        <v>56</v>
      </c>
      <c r="B29" s="9">
        <v>86708</v>
      </c>
      <c r="C29" s="15">
        <v>100</v>
      </c>
      <c r="D29" s="15"/>
      <c r="E29" s="9">
        <v>85261</v>
      </c>
      <c r="F29" s="15">
        <v>100</v>
      </c>
      <c r="G29" s="15"/>
      <c r="H29" s="9">
        <v>1327</v>
      </c>
      <c r="I29" s="15">
        <v>100</v>
      </c>
      <c r="J29" s="15"/>
      <c r="K29" s="9">
        <v>120</v>
      </c>
      <c r="L29" s="15">
        <v>100</v>
      </c>
      <c r="M29" s="15"/>
      <c r="O29" s="100">
        <f>SUM(O30:O37)</f>
        <v>100.1</v>
      </c>
      <c r="P29" s="100">
        <f t="shared" ref="P29:S29" si="5">SUM(P30:P37)</f>
        <v>100.1</v>
      </c>
      <c r="Q29" s="100">
        <f t="shared" si="5"/>
        <v>100.4</v>
      </c>
      <c r="R29" s="100" t="e">
        <f t="shared" si="5"/>
        <v>#VALUE!</v>
      </c>
      <c r="S29" s="100" t="e">
        <f t="shared" si="5"/>
        <v>#REF!</v>
      </c>
      <c r="U29" s="37"/>
      <c r="V29" s="37"/>
      <c r="W29" s="37"/>
      <c r="X29" s="37"/>
    </row>
    <row r="30" spans="1:24" ht="14.1" customHeight="1" x14ac:dyDescent="0.25">
      <c r="A30" s="61" t="s">
        <v>40</v>
      </c>
      <c r="B30" s="6">
        <v>65220</v>
      </c>
      <c r="C30" s="5">
        <v>75.217972966738941</v>
      </c>
      <c r="D30" s="5"/>
      <c r="E30" s="6">
        <v>65015</v>
      </c>
      <c r="F30" s="5">
        <v>76.204090381299778</v>
      </c>
      <c r="G30" s="5"/>
      <c r="H30" s="6">
        <v>200</v>
      </c>
      <c r="I30" s="5">
        <v>15.071590052750567</v>
      </c>
      <c r="J30" s="5"/>
      <c r="K30" s="6">
        <v>5</v>
      </c>
      <c r="L30" s="5">
        <v>4.1666666666666661</v>
      </c>
      <c r="M30" s="5"/>
      <c r="O30" s="100">
        <f t="shared" ref="O30:O38" si="6">ROUND(C30,1)</f>
        <v>75.2</v>
      </c>
      <c r="P30" s="100">
        <f t="shared" ref="P30:P38" si="7">ROUND(F30,1)</f>
        <v>76.2</v>
      </c>
      <c r="Q30" s="100">
        <f t="shared" ref="Q30:Q38" si="8">ROUND(I30,1)</f>
        <v>15.1</v>
      </c>
      <c r="R30" s="100">
        <f t="shared" ref="R30:R38" si="9">ROUND(L30,1)</f>
        <v>4.2</v>
      </c>
      <c r="S30" s="100" t="e">
        <f>ROUND(#REF!,1)</f>
        <v>#REF!</v>
      </c>
      <c r="U30" s="37"/>
      <c r="V30" s="37"/>
      <c r="W30" s="37"/>
      <c r="X30" s="37"/>
    </row>
    <row r="31" spans="1:24" ht="14.1" customHeight="1" x14ac:dyDescent="0.25">
      <c r="A31" s="61" t="s">
        <v>41</v>
      </c>
      <c r="B31" s="6">
        <v>7840</v>
      </c>
      <c r="C31" s="5">
        <v>9.0418415832449135</v>
      </c>
      <c r="D31" s="5"/>
      <c r="E31" s="6">
        <v>7313</v>
      </c>
      <c r="F31" s="5">
        <v>8.5771923857332197</v>
      </c>
      <c r="G31" s="5"/>
      <c r="H31" s="6">
        <v>462</v>
      </c>
      <c r="I31" s="5">
        <v>34.815373021853809</v>
      </c>
      <c r="J31" s="5"/>
      <c r="K31" s="6">
        <v>65</v>
      </c>
      <c r="L31" s="5">
        <v>54.016666666666666</v>
      </c>
      <c r="M31" s="5"/>
      <c r="O31" s="100">
        <f t="shared" si="6"/>
        <v>9</v>
      </c>
      <c r="P31" s="100">
        <f t="shared" si="7"/>
        <v>8.6</v>
      </c>
      <c r="Q31" s="100">
        <f t="shared" si="8"/>
        <v>34.799999999999997</v>
      </c>
      <c r="R31" s="100">
        <f t="shared" si="9"/>
        <v>54</v>
      </c>
      <c r="S31" s="100" t="e">
        <f>ROUND(#REF!,1)</f>
        <v>#REF!</v>
      </c>
      <c r="U31" s="37"/>
      <c r="V31" s="37"/>
      <c r="W31" s="37"/>
      <c r="X31" s="37"/>
    </row>
    <row r="32" spans="1:24" ht="14.1" customHeight="1" x14ac:dyDescent="0.25">
      <c r="A32" s="61" t="s">
        <v>42</v>
      </c>
      <c r="B32" s="6">
        <v>135</v>
      </c>
      <c r="C32" s="5">
        <v>0.15569497624209991</v>
      </c>
      <c r="D32" s="5"/>
      <c r="E32" s="6">
        <v>134</v>
      </c>
      <c r="F32" s="5">
        <v>0.15716447144649956</v>
      </c>
      <c r="G32" s="5"/>
      <c r="H32" s="6">
        <v>1</v>
      </c>
      <c r="I32" s="5">
        <v>7.5357950263752832E-2</v>
      </c>
      <c r="J32" s="5"/>
      <c r="K32" s="3" t="s">
        <v>96</v>
      </c>
      <c r="L32" s="3" t="s">
        <v>96</v>
      </c>
      <c r="M32" s="5"/>
      <c r="O32" s="100">
        <f t="shared" si="6"/>
        <v>0.2</v>
      </c>
      <c r="P32" s="100">
        <f t="shared" si="7"/>
        <v>0.2</v>
      </c>
      <c r="Q32" s="100">
        <f t="shared" si="8"/>
        <v>0.1</v>
      </c>
      <c r="R32" s="100" t="e">
        <f t="shared" si="9"/>
        <v>#VALUE!</v>
      </c>
      <c r="S32" s="100" t="e">
        <f>ROUND(#REF!,1)</f>
        <v>#REF!</v>
      </c>
      <c r="U32" s="37"/>
      <c r="V32" s="37"/>
      <c r="W32" s="37"/>
      <c r="X32" s="37"/>
    </row>
    <row r="33" spans="1:24" ht="14.1" customHeight="1" x14ac:dyDescent="0.25">
      <c r="A33" s="61" t="s">
        <v>43</v>
      </c>
      <c r="B33" s="6">
        <v>3025</v>
      </c>
      <c r="C33" s="5">
        <v>3.4887207639433502</v>
      </c>
      <c r="D33" s="5"/>
      <c r="E33" s="6">
        <v>2798</v>
      </c>
      <c r="F33" s="5">
        <v>3.2816879933381031</v>
      </c>
      <c r="G33" s="5"/>
      <c r="H33" s="6">
        <v>206</v>
      </c>
      <c r="I33" s="5">
        <v>15.523737754333084</v>
      </c>
      <c r="J33" s="5"/>
      <c r="K33" s="3">
        <v>21</v>
      </c>
      <c r="L33" s="16">
        <v>17.5</v>
      </c>
      <c r="M33" s="5"/>
      <c r="O33" s="100">
        <f t="shared" si="6"/>
        <v>3.5</v>
      </c>
      <c r="P33" s="100">
        <f t="shared" si="7"/>
        <v>3.3</v>
      </c>
      <c r="Q33" s="100">
        <f t="shared" si="8"/>
        <v>15.5</v>
      </c>
      <c r="R33" s="100">
        <f t="shared" si="9"/>
        <v>17.5</v>
      </c>
      <c r="S33" s="100" t="e">
        <f>ROUND(#REF!,1)</f>
        <v>#REF!</v>
      </c>
      <c r="U33" s="37"/>
      <c r="V33" s="37"/>
      <c r="W33" s="37"/>
      <c r="X33" s="37"/>
    </row>
    <row r="34" spans="1:24" ht="14.1" customHeight="1" x14ac:dyDescent="0.25">
      <c r="A34" s="61" t="s">
        <v>44</v>
      </c>
      <c r="B34" s="6">
        <v>8095</v>
      </c>
      <c r="C34" s="5">
        <v>9.3359320939244359</v>
      </c>
      <c r="D34" s="5"/>
      <c r="E34" s="6">
        <v>7676</v>
      </c>
      <c r="F34" s="5">
        <v>9.0029439016666473</v>
      </c>
      <c r="G34" s="5"/>
      <c r="H34" s="6">
        <v>395</v>
      </c>
      <c r="I34" s="5">
        <v>29.666390354182365</v>
      </c>
      <c r="J34" s="5"/>
      <c r="K34" s="3">
        <v>24</v>
      </c>
      <c r="L34" s="16">
        <v>20.100000000000001</v>
      </c>
      <c r="M34" s="5"/>
      <c r="O34" s="100">
        <f t="shared" si="6"/>
        <v>9.3000000000000007</v>
      </c>
      <c r="P34" s="100">
        <f t="shared" si="7"/>
        <v>9</v>
      </c>
      <c r="Q34" s="100">
        <f t="shared" si="8"/>
        <v>29.7</v>
      </c>
      <c r="R34" s="100">
        <f t="shared" si="9"/>
        <v>20.100000000000001</v>
      </c>
      <c r="S34" s="100" t="e">
        <f>ROUND(#REF!,1)</f>
        <v>#REF!</v>
      </c>
      <c r="U34" s="37"/>
      <c r="V34" s="37"/>
      <c r="W34" s="37"/>
      <c r="X34" s="37"/>
    </row>
    <row r="35" spans="1:24" ht="14.1" customHeight="1" x14ac:dyDescent="0.25">
      <c r="A35" s="61" t="s">
        <v>45</v>
      </c>
      <c r="B35" s="6">
        <v>1270</v>
      </c>
      <c r="C35" s="5">
        <v>1.4646860727960511</v>
      </c>
      <c r="D35" s="5"/>
      <c r="E35" s="6">
        <v>1260</v>
      </c>
      <c r="F35" s="5">
        <v>1.4778151792730556</v>
      </c>
      <c r="G35" s="5"/>
      <c r="H35" s="6">
        <v>10</v>
      </c>
      <c r="I35" s="5">
        <v>0.75357950263752826</v>
      </c>
      <c r="J35" s="5"/>
      <c r="K35" s="3" t="s">
        <v>96</v>
      </c>
      <c r="L35" s="3" t="s">
        <v>96</v>
      </c>
      <c r="M35" s="5"/>
      <c r="O35" s="100">
        <f t="shared" si="6"/>
        <v>1.5</v>
      </c>
      <c r="P35" s="100">
        <f t="shared" si="7"/>
        <v>1.5</v>
      </c>
      <c r="Q35" s="100">
        <f t="shared" si="8"/>
        <v>0.8</v>
      </c>
      <c r="R35" s="100" t="e">
        <f t="shared" si="9"/>
        <v>#VALUE!</v>
      </c>
      <c r="S35" s="100" t="e">
        <f>ROUND(#REF!,1)</f>
        <v>#REF!</v>
      </c>
      <c r="U35" s="37"/>
      <c r="V35" s="37"/>
      <c r="W35" s="37"/>
      <c r="X35" s="37"/>
    </row>
    <row r="36" spans="1:24" hidden="1" x14ac:dyDescent="0.25">
      <c r="A36" s="61" t="s">
        <v>46</v>
      </c>
      <c r="B36" s="6">
        <v>54</v>
      </c>
      <c r="C36" s="5">
        <v>6.2277990496839963E-2</v>
      </c>
      <c r="D36" s="5"/>
      <c r="E36" s="6">
        <v>48</v>
      </c>
      <c r="F36" s="5">
        <v>5.6297721115164019E-2</v>
      </c>
      <c r="G36" s="5"/>
      <c r="H36" s="6">
        <v>5</v>
      </c>
      <c r="I36" s="5">
        <v>0.37678975131876413</v>
      </c>
      <c r="J36" s="5"/>
      <c r="K36" s="6">
        <v>1</v>
      </c>
      <c r="L36" s="5">
        <v>0.83333333333333337</v>
      </c>
      <c r="M36" s="5"/>
      <c r="O36" s="100">
        <f t="shared" si="6"/>
        <v>0.1</v>
      </c>
      <c r="P36" s="100">
        <f t="shared" si="7"/>
        <v>0.1</v>
      </c>
      <c r="Q36" s="100">
        <f t="shared" si="8"/>
        <v>0.4</v>
      </c>
      <c r="R36" s="100">
        <f t="shared" si="9"/>
        <v>0.8</v>
      </c>
      <c r="S36" s="100" t="e">
        <f>ROUND(#REF!,1)</f>
        <v>#REF!</v>
      </c>
      <c r="U36" s="37"/>
      <c r="V36" s="37"/>
      <c r="W36" s="37"/>
      <c r="X36" s="37"/>
    </row>
    <row r="37" spans="1:24" ht="14.1" customHeight="1" x14ac:dyDescent="0.25">
      <c r="A37" s="61" t="s">
        <v>47</v>
      </c>
      <c r="B37" s="6">
        <v>1123</v>
      </c>
      <c r="C37" s="5">
        <v>1.2951515431102092</v>
      </c>
      <c r="D37" s="5"/>
      <c r="E37" s="6">
        <v>1065</v>
      </c>
      <c r="F37" s="5">
        <v>1.2491056872427018</v>
      </c>
      <c r="G37" s="5"/>
      <c r="H37" s="6">
        <v>53</v>
      </c>
      <c r="I37" s="5">
        <v>3.9939713639788996</v>
      </c>
      <c r="J37" s="5"/>
      <c r="K37" s="6">
        <v>5</v>
      </c>
      <c r="L37" s="5">
        <v>4.166666666666667</v>
      </c>
      <c r="M37" s="5"/>
      <c r="O37" s="100">
        <f t="shared" si="6"/>
        <v>1.3</v>
      </c>
      <c r="P37" s="100">
        <f t="shared" si="7"/>
        <v>1.2</v>
      </c>
      <c r="Q37" s="100">
        <f t="shared" si="8"/>
        <v>4</v>
      </c>
      <c r="R37" s="100">
        <f t="shared" si="9"/>
        <v>4.2</v>
      </c>
      <c r="S37" s="100" t="e">
        <f>ROUND(#REF!,1)</f>
        <v>#REF!</v>
      </c>
      <c r="U37" s="37"/>
      <c r="V37" s="37"/>
      <c r="W37" s="37"/>
      <c r="X37" s="37"/>
    </row>
    <row r="38" spans="1:24" ht="14.1" customHeight="1" x14ac:dyDescent="0.25">
      <c r="A38" s="68"/>
      <c r="B38" s="6"/>
      <c r="C38" s="5"/>
      <c r="D38" s="5"/>
      <c r="E38" s="6"/>
      <c r="F38" s="5"/>
      <c r="G38" s="5"/>
      <c r="H38" s="6"/>
      <c r="I38" s="16"/>
      <c r="J38" s="16"/>
      <c r="K38" s="6"/>
      <c r="L38" s="16"/>
      <c r="M38" s="16"/>
      <c r="O38" s="100">
        <f t="shared" si="6"/>
        <v>0</v>
      </c>
      <c r="P38" s="100">
        <f t="shared" si="7"/>
        <v>0</v>
      </c>
      <c r="Q38" s="100">
        <f t="shared" si="8"/>
        <v>0</v>
      </c>
      <c r="R38" s="100">
        <f t="shared" si="9"/>
        <v>0</v>
      </c>
      <c r="S38" s="100" t="e">
        <f>ROUND(#REF!,1)</f>
        <v>#REF!</v>
      </c>
      <c r="U38" s="37"/>
      <c r="V38" s="37"/>
      <c r="W38" s="37"/>
      <c r="X38" s="37"/>
    </row>
    <row r="39" spans="1:24" ht="14.1" customHeight="1" x14ac:dyDescent="0.25">
      <c r="A39" s="63" t="s">
        <v>58</v>
      </c>
      <c r="B39" s="9">
        <v>30711</v>
      </c>
      <c r="C39" s="15">
        <v>100</v>
      </c>
      <c r="D39" s="15"/>
      <c r="E39" s="9">
        <v>30212</v>
      </c>
      <c r="F39" s="15">
        <v>100</v>
      </c>
      <c r="G39" s="15"/>
      <c r="H39" s="9">
        <v>455</v>
      </c>
      <c r="I39" s="15">
        <v>100</v>
      </c>
      <c r="J39" s="15"/>
      <c r="K39" s="9">
        <v>44</v>
      </c>
      <c r="L39" s="15">
        <v>100</v>
      </c>
      <c r="M39" s="15"/>
      <c r="O39" s="100">
        <f>SUM(O40:O47)</f>
        <v>100.2</v>
      </c>
      <c r="P39" s="100">
        <f t="shared" ref="P39:S39" si="10">SUM(P40:P47)</f>
        <v>100.2</v>
      </c>
      <c r="Q39" s="100">
        <f t="shared" si="10"/>
        <v>100.7</v>
      </c>
      <c r="R39" s="100" t="e">
        <f t="shared" si="10"/>
        <v>#VALUE!</v>
      </c>
      <c r="S39" s="100" t="e">
        <f t="shared" si="10"/>
        <v>#REF!</v>
      </c>
      <c r="U39" s="37"/>
      <c r="V39" s="37"/>
      <c r="W39" s="37"/>
      <c r="X39" s="37"/>
    </row>
    <row r="40" spans="1:24" ht="14.1" customHeight="1" x14ac:dyDescent="0.25">
      <c r="A40" s="61" t="s">
        <v>40</v>
      </c>
      <c r="B40" s="6">
        <v>23642</v>
      </c>
      <c r="C40" s="5">
        <v>76.952188792289405</v>
      </c>
      <c r="D40" s="5"/>
      <c r="E40" s="6">
        <v>23521</v>
      </c>
      <c r="F40" s="5">
        <v>77.903170925460074</v>
      </c>
      <c r="G40" s="5"/>
      <c r="H40" s="6">
        <v>119</v>
      </c>
      <c r="I40" s="5">
        <v>26.153846153846157</v>
      </c>
      <c r="J40" s="5"/>
      <c r="K40" s="6">
        <v>2</v>
      </c>
      <c r="L40" s="5">
        <v>4.5454545454545459</v>
      </c>
      <c r="M40" s="5"/>
      <c r="O40" s="100">
        <f t="shared" ref="O40:O48" si="11">ROUND(C40,1)</f>
        <v>77</v>
      </c>
      <c r="P40" s="100">
        <f t="shared" ref="P40:P48" si="12">ROUND(F40,1)</f>
        <v>77.900000000000006</v>
      </c>
      <c r="Q40" s="100">
        <f t="shared" ref="Q40:Q48" si="13">ROUND(I40,1)</f>
        <v>26.2</v>
      </c>
      <c r="R40" s="100">
        <f t="shared" ref="R40:R48" si="14">ROUND(L40,1)</f>
        <v>4.5</v>
      </c>
      <c r="S40" s="100" t="e">
        <f>ROUND(#REF!,1)</f>
        <v>#REF!</v>
      </c>
      <c r="U40" s="37"/>
      <c r="V40" s="37"/>
      <c r="W40" s="37"/>
      <c r="X40" s="37"/>
    </row>
    <row r="41" spans="1:24" ht="14.1" customHeight="1" x14ac:dyDescent="0.25">
      <c r="A41" s="61" t="s">
        <v>41</v>
      </c>
      <c r="B41" s="6">
        <v>2131</v>
      </c>
      <c r="C41" s="5">
        <v>6.9388818338705995</v>
      </c>
      <c r="D41" s="5"/>
      <c r="E41" s="6">
        <v>1999</v>
      </c>
      <c r="F41" s="5">
        <v>6.6165761948894479</v>
      </c>
      <c r="G41" s="5"/>
      <c r="H41" s="6">
        <v>115</v>
      </c>
      <c r="I41" s="5">
        <v>25.274725274725274</v>
      </c>
      <c r="J41" s="5"/>
      <c r="K41" s="6">
        <v>17</v>
      </c>
      <c r="L41" s="5">
        <v>38.636363636363633</v>
      </c>
      <c r="M41" s="5"/>
      <c r="O41" s="100">
        <f t="shared" si="11"/>
        <v>6.9</v>
      </c>
      <c r="P41" s="100">
        <f t="shared" si="12"/>
        <v>6.6</v>
      </c>
      <c r="Q41" s="100">
        <f t="shared" si="13"/>
        <v>25.3</v>
      </c>
      <c r="R41" s="100">
        <f t="shared" si="14"/>
        <v>38.6</v>
      </c>
      <c r="S41" s="100" t="e">
        <f>ROUND(#REF!,1)</f>
        <v>#REF!</v>
      </c>
      <c r="U41" s="37"/>
      <c r="V41" s="37"/>
      <c r="W41" s="37"/>
      <c r="X41" s="37"/>
    </row>
    <row r="42" spans="1:24" ht="14.1" customHeight="1" x14ac:dyDescent="0.25">
      <c r="A42" s="61" t="s">
        <v>42</v>
      </c>
      <c r="B42" s="6">
        <v>23</v>
      </c>
      <c r="C42" s="5">
        <v>7.4891732603952973E-2</v>
      </c>
      <c r="D42" s="5"/>
      <c r="E42" s="6">
        <v>22</v>
      </c>
      <c r="F42" s="5">
        <v>7.2818747517542692E-2</v>
      </c>
      <c r="G42" s="5"/>
      <c r="H42" s="6">
        <v>1</v>
      </c>
      <c r="I42" s="5">
        <v>0.21978021978021978</v>
      </c>
      <c r="J42" s="5"/>
      <c r="K42" s="3" t="s">
        <v>96</v>
      </c>
      <c r="L42" s="3" t="s">
        <v>96</v>
      </c>
      <c r="M42" s="5"/>
      <c r="O42" s="100">
        <f t="shared" si="11"/>
        <v>0.1</v>
      </c>
      <c r="P42" s="100">
        <f t="shared" si="12"/>
        <v>0.1</v>
      </c>
      <c r="Q42" s="100">
        <f t="shared" si="13"/>
        <v>0.2</v>
      </c>
      <c r="R42" s="100" t="e">
        <f t="shared" si="14"/>
        <v>#VALUE!</v>
      </c>
      <c r="S42" s="100" t="e">
        <f>ROUND(#REF!,1)</f>
        <v>#REF!</v>
      </c>
      <c r="U42" s="37"/>
      <c r="V42" s="37"/>
      <c r="W42" s="37"/>
      <c r="X42" s="37"/>
    </row>
    <row r="43" spans="1:24" ht="14.1" customHeight="1" x14ac:dyDescent="0.25">
      <c r="A43" s="61" t="s">
        <v>43</v>
      </c>
      <c r="B43" s="6">
        <v>1433</v>
      </c>
      <c r="C43" s="5">
        <v>4.6660805574549835</v>
      </c>
      <c r="D43" s="5"/>
      <c r="E43" s="6">
        <v>1344</v>
      </c>
      <c r="F43" s="5">
        <v>4.4485634847080631</v>
      </c>
      <c r="G43" s="5"/>
      <c r="H43" s="6">
        <v>77</v>
      </c>
      <c r="I43" s="5">
        <v>16.923076923076923</v>
      </c>
      <c r="J43" s="5"/>
      <c r="K43" s="6">
        <v>12</v>
      </c>
      <c r="L43" s="5">
        <v>27.27272727272727</v>
      </c>
      <c r="M43" s="5"/>
      <c r="O43" s="100">
        <f t="shared" si="11"/>
        <v>4.7</v>
      </c>
      <c r="P43" s="100">
        <f t="shared" si="12"/>
        <v>4.4000000000000004</v>
      </c>
      <c r="Q43" s="100">
        <f t="shared" si="13"/>
        <v>16.899999999999999</v>
      </c>
      <c r="R43" s="100">
        <f t="shared" si="14"/>
        <v>27.3</v>
      </c>
      <c r="S43" s="100" t="e">
        <f>ROUND(#REF!,1)</f>
        <v>#REF!</v>
      </c>
      <c r="U43" s="37"/>
      <c r="V43" s="37"/>
      <c r="W43" s="37"/>
      <c r="X43" s="37"/>
    </row>
    <row r="44" spans="1:24" ht="14.1" customHeight="1" x14ac:dyDescent="0.25">
      <c r="A44" s="61" t="s">
        <v>44</v>
      </c>
      <c r="B44" s="6">
        <v>2048</v>
      </c>
      <c r="C44" s="5">
        <v>6.6486203640389441</v>
      </c>
      <c r="D44" s="5"/>
      <c r="E44" s="6">
        <v>1914</v>
      </c>
      <c r="F44" s="5">
        <v>6.335231034026215</v>
      </c>
      <c r="G44" s="5"/>
      <c r="H44" s="6">
        <v>126</v>
      </c>
      <c r="I44" s="5">
        <v>27.592307692307692</v>
      </c>
      <c r="J44" s="5"/>
      <c r="K44" s="6">
        <v>8</v>
      </c>
      <c r="L44" s="5">
        <v>18.181818181818183</v>
      </c>
      <c r="M44" s="5"/>
      <c r="O44" s="100">
        <f t="shared" si="11"/>
        <v>6.6</v>
      </c>
      <c r="P44" s="100">
        <f t="shared" si="12"/>
        <v>6.3</v>
      </c>
      <c r="Q44" s="100">
        <f t="shared" si="13"/>
        <v>27.6</v>
      </c>
      <c r="R44" s="100">
        <f t="shared" si="14"/>
        <v>18.2</v>
      </c>
      <c r="S44" s="100" t="e">
        <f>ROUND(#REF!,1)</f>
        <v>#REF!</v>
      </c>
      <c r="U44" s="37"/>
      <c r="V44" s="37"/>
      <c r="W44" s="37"/>
      <c r="X44" s="37"/>
    </row>
    <row r="45" spans="1:24" ht="14.1" customHeight="1" x14ac:dyDescent="0.25">
      <c r="A45" s="61" t="s">
        <v>45</v>
      </c>
      <c r="B45" s="6">
        <v>1017</v>
      </c>
      <c r="C45" s="5">
        <v>3.3115170460095733</v>
      </c>
      <c r="D45" s="5"/>
      <c r="E45" s="6">
        <v>1013</v>
      </c>
      <c r="F45" s="5">
        <v>3.3529723288759432</v>
      </c>
      <c r="G45" s="5"/>
      <c r="H45" s="6">
        <v>4</v>
      </c>
      <c r="I45" s="5">
        <v>0.87912087912087911</v>
      </c>
      <c r="J45" s="5"/>
      <c r="K45" s="3" t="s">
        <v>96</v>
      </c>
      <c r="L45" s="3" t="s">
        <v>96</v>
      </c>
      <c r="M45" s="5"/>
      <c r="O45" s="100">
        <f t="shared" si="11"/>
        <v>3.3</v>
      </c>
      <c r="P45" s="100">
        <f t="shared" si="12"/>
        <v>3.4</v>
      </c>
      <c r="Q45" s="100">
        <f t="shared" si="13"/>
        <v>0.9</v>
      </c>
      <c r="R45" s="100" t="e">
        <f t="shared" si="14"/>
        <v>#VALUE!</v>
      </c>
      <c r="S45" s="100" t="e">
        <f>ROUND(#REF!,1)</f>
        <v>#REF!</v>
      </c>
      <c r="U45" s="37"/>
      <c r="V45" s="37"/>
      <c r="W45" s="37"/>
      <c r="X45" s="37"/>
    </row>
    <row r="46" spans="1:24" hidden="1" x14ac:dyDescent="0.25">
      <c r="A46" s="61" t="s">
        <v>46</v>
      </c>
      <c r="B46" s="6">
        <v>56</v>
      </c>
      <c r="C46" s="5">
        <v>0.18234508807918987</v>
      </c>
      <c r="D46" s="5"/>
      <c r="E46" s="6">
        <v>51</v>
      </c>
      <c r="F46" s="5">
        <v>0.1688070965179399</v>
      </c>
      <c r="G46" s="5"/>
      <c r="H46" s="6">
        <v>3</v>
      </c>
      <c r="I46" s="5">
        <v>0.65934065934065933</v>
      </c>
      <c r="J46" s="5"/>
      <c r="K46" s="6">
        <v>2</v>
      </c>
      <c r="L46" s="5">
        <v>4.5454545454545459</v>
      </c>
      <c r="M46" s="5"/>
      <c r="O46" s="100">
        <f t="shared" si="11"/>
        <v>0.2</v>
      </c>
      <c r="P46" s="100">
        <f t="shared" si="12"/>
        <v>0.2</v>
      </c>
      <c r="Q46" s="100">
        <f t="shared" si="13"/>
        <v>0.7</v>
      </c>
      <c r="R46" s="100">
        <f t="shared" si="14"/>
        <v>4.5</v>
      </c>
      <c r="S46" s="100" t="e">
        <f>ROUND(#REF!,1)</f>
        <v>#REF!</v>
      </c>
      <c r="U46" s="37"/>
      <c r="V46" s="37"/>
      <c r="W46" s="37"/>
      <c r="X46" s="37"/>
    </row>
    <row r="47" spans="1:24" ht="14.1" customHeight="1" x14ac:dyDescent="0.25">
      <c r="A47" s="61" t="s">
        <v>47</v>
      </c>
      <c r="B47" s="6">
        <v>417</v>
      </c>
      <c r="C47" s="5">
        <v>1.357819673732539</v>
      </c>
      <c r="D47" s="5"/>
      <c r="E47" s="6">
        <v>399</v>
      </c>
      <c r="F47" s="5">
        <v>1.3206672845227061</v>
      </c>
      <c r="G47" s="5"/>
      <c r="H47" s="6">
        <v>13</v>
      </c>
      <c r="I47" s="5">
        <v>2.8571428571428572</v>
      </c>
      <c r="J47" s="5"/>
      <c r="K47" s="6">
        <v>5</v>
      </c>
      <c r="L47" s="5">
        <v>11.363636363636363</v>
      </c>
      <c r="M47" s="5"/>
      <c r="O47" s="100">
        <f t="shared" si="11"/>
        <v>1.4</v>
      </c>
      <c r="P47" s="100">
        <f t="shared" si="12"/>
        <v>1.3</v>
      </c>
      <c r="Q47" s="100">
        <f t="shared" si="13"/>
        <v>2.9</v>
      </c>
      <c r="R47" s="100">
        <f t="shared" si="14"/>
        <v>11.4</v>
      </c>
      <c r="S47" s="100" t="e">
        <f>ROUND(#REF!,1)</f>
        <v>#REF!</v>
      </c>
      <c r="U47" s="37"/>
      <c r="V47" s="37"/>
      <c r="W47" s="37"/>
      <c r="X47" s="37"/>
    </row>
    <row r="48" spans="1:24" ht="14.1" customHeight="1" x14ac:dyDescent="0.25">
      <c r="A48" s="69"/>
      <c r="B48" s="9"/>
      <c r="C48" s="5"/>
      <c r="D48" s="5"/>
      <c r="E48" s="6"/>
      <c r="F48" s="5"/>
      <c r="G48" s="5"/>
      <c r="H48" s="6"/>
      <c r="I48" s="16"/>
      <c r="J48" s="16"/>
      <c r="K48" s="6"/>
      <c r="L48" s="16"/>
      <c r="M48" s="16"/>
      <c r="O48" s="100">
        <f t="shared" si="11"/>
        <v>0</v>
      </c>
      <c r="P48" s="100">
        <f t="shared" si="12"/>
        <v>0</v>
      </c>
      <c r="Q48" s="100">
        <f t="shared" si="13"/>
        <v>0</v>
      </c>
      <c r="R48" s="100">
        <f t="shared" si="14"/>
        <v>0</v>
      </c>
      <c r="S48" s="100" t="e">
        <f>ROUND(#REF!,1)</f>
        <v>#REF!</v>
      </c>
      <c r="U48" s="37"/>
      <c r="V48" s="37"/>
      <c r="W48" s="37"/>
      <c r="X48" s="37"/>
    </row>
    <row r="49" spans="1:24" ht="14.1" customHeight="1" x14ac:dyDescent="0.25">
      <c r="A49" s="63" t="s">
        <v>20</v>
      </c>
      <c r="B49" s="9">
        <v>164620</v>
      </c>
      <c r="C49" s="15">
        <v>100</v>
      </c>
      <c r="D49" s="15"/>
      <c r="E49" s="9">
        <v>161063</v>
      </c>
      <c r="F49" s="15">
        <v>100</v>
      </c>
      <c r="G49" s="15"/>
      <c r="H49" s="9">
        <v>3093</v>
      </c>
      <c r="I49" s="15">
        <v>100</v>
      </c>
      <c r="J49" s="15"/>
      <c r="K49" s="9">
        <v>464</v>
      </c>
      <c r="L49" s="15">
        <v>100</v>
      </c>
      <c r="M49" s="15"/>
      <c r="O49" s="100">
        <f>SUM(O50:O57)</f>
        <v>100.10000000000001</v>
      </c>
      <c r="P49" s="100">
        <f t="shared" ref="P49:S49" si="15">SUM(P50:P57)</f>
        <v>100.10000000000001</v>
      </c>
      <c r="Q49" s="100">
        <f t="shared" si="15"/>
        <v>100.4</v>
      </c>
      <c r="R49" s="100">
        <f t="shared" si="15"/>
        <v>100.4</v>
      </c>
      <c r="S49" s="100" t="e">
        <f t="shared" si="15"/>
        <v>#REF!</v>
      </c>
      <c r="U49" s="37"/>
      <c r="V49" s="37"/>
      <c r="W49" s="37"/>
      <c r="X49" s="37"/>
    </row>
    <row r="50" spans="1:24" ht="14.1" customHeight="1" x14ac:dyDescent="0.25">
      <c r="A50" s="61" t="s">
        <v>40</v>
      </c>
      <c r="B50" s="6">
        <v>121771</v>
      </c>
      <c r="C50" s="5">
        <v>73.970963430931846</v>
      </c>
      <c r="D50" s="5"/>
      <c r="E50" s="6">
        <v>121369</v>
      </c>
      <c r="F50" s="5">
        <v>75.354985316304806</v>
      </c>
      <c r="G50" s="5"/>
      <c r="H50" s="6">
        <v>380</v>
      </c>
      <c r="I50" s="5">
        <v>12.335806660200454</v>
      </c>
      <c r="J50" s="5"/>
      <c r="K50" s="6">
        <v>22</v>
      </c>
      <c r="L50" s="5">
        <v>4.7413793103448274</v>
      </c>
      <c r="M50" s="5"/>
      <c r="O50" s="100">
        <f t="shared" ref="O50:O58" si="16">ROUND(C50,1)</f>
        <v>74</v>
      </c>
      <c r="P50" s="100">
        <f t="shared" ref="P50:P58" si="17">ROUND(F50,1)</f>
        <v>75.400000000000006</v>
      </c>
      <c r="Q50" s="100">
        <f t="shared" ref="Q50:Q58" si="18">ROUND(I50,1)</f>
        <v>12.3</v>
      </c>
      <c r="R50" s="100">
        <f t="shared" ref="R50:R58" si="19">ROUND(L50,1)</f>
        <v>4.7</v>
      </c>
      <c r="S50" s="100" t="e">
        <f>ROUND(#REF!,1)</f>
        <v>#REF!</v>
      </c>
      <c r="U50" s="37"/>
      <c r="V50" s="37"/>
      <c r="W50" s="37"/>
      <c r="X50" s="37"/>
    </row>
    <row r="51" spans="1:24" ht="14.1" customHeight="1" x14ac:dyDescent="0.25">
      <c r="A51" s="61" t="s">
        <v>41</v>
      </c>
      <c r="B51" s="6">
        <v>13926</v>
      </c>
      <c r="C51" s="5">
        <v>8.4594824444174463</v>
      </c>
      <c r="D51" s="5"/>
      <c r="E51" s="6">
        <v>12626</v>
      </c>
      <c r="F51" s="5">
        <v>7.8391685241178912</v>
      </c>
      <c r="G51" s="5"/>
      <c r="H51" s="6">
        <v>1051</v>
      </c>
      <c r="I51" s="5">
        <v>33.979954736501774</v>
      </c>
      <c r="J51" s="5"/>
      <c r="K51" s="6">
        <v>249</v>
      </c>
      <c r="L51" s="5">
        <v>53.663793103448278</v>
      </c>
      <c r="M51" s="5"/>
      <c r="O51" s="100">
        <f t="shared" si="16"/>
        <v>8.5</v>
      </c>
      <c r="P51" s="100">
        <f t="shared" si="17"/>
        <v>7.8</v>
      </c>
      <c r="Q51" s="100">
        <f t="shared" si="18"/>
        <v>34</v>
      </c>
      <c r="R51" s="100">
        <f t="shared" si="19"/>
        <v>53.7</v>
      </c>
      <c r="S51" s="100" t="e">
        <f>ROUND(#REF!,1)</f>
        <v>#REF!</v>
      </c>
      <c r="U51" s="37"/>
      <c r="V51" s="37"/>
      <c r="W51" s="37"/>
      <c r="X51" s="37"/>
    </row>
    <row r="52" spans="1:24" ht="14.1" customHeight="1" x14ac:dyDescent="0.25">
      <c r="A52" s="61" t="s">
        <v>42</v>
      </c>
      <c r="B52" s="6">
        <v>391</v>
      </c>
      <c r="C52" s="5">
        <v>0.23751670513910825</v>
      </c>
      <c r="D52" s="5"/>
      <c r="E52" s="6">
        <v>371</v>
      </c>
      <c r="F52" s="5">
        <v>0.23034464774653396</v>
      </c>
      <c r="G52" s="5"/>
      <c r="H52" s="6">
        <v>18</v>
      </c>
      <c r="I52" s="5">
        <v>0.58195926285160038</v>
      </c>
      <c r="J52" s="5"/>
      <c r="K52" s="6">
        <v>2</v>
      </c>
      <c r="L52" s="5">
        <v>0.43103448275862066</v>
      </c>
      <c r="M52" s="5"/>
      <c r="O52" s="100">
        <f t="shared" si="16"/>
        <v>0.2</v>
      </c>
      <c r="P52" s="100">
        <f t="shared" si="17"/>
        <v>0.2</v>
      </c>
      <c r="Q52" s="100">
        <f t="shared" si="18"/>
        <v>0.6</v>
      </c>
      <c r="R52" s="100">
        <f t="shared" si="19"/>
        <v>0.4</v>
      </c>
      <c r="S52" s="100" t="e">
        <f>ROUND(#REF!,1)</f>
        <v>#REF!</v>
      </c>
      <c r="U52" s="37"/>
      <c r="V52" s="37"/>
      <c r="W52" s="37"/>
      <c r="X52" s="37"/>
    </row>
    <row r="53" spans="1:24" ht="14.1" customHeight="1" x14ac:dyDescent="0.25">
      <c r="A53" s="61" t="s">
        <v>43</v>
      </c>
      <c r="B53" s="6">
        <v>6992</v>
      </c>
      <c r="C53" s="5">
        <v>4.2473575507228771</v>
      </c>
      <c r="D53" s="5"/>
      <c r="E53" s="6">
        <v>6287</v>
      </c>
      <c r="F53" s="5">
        <v>3.9034415104648494</v>
      </c>
      <c r="G53" s="5"/>
      <c r="H53" s="6">
        <v>620</v>
      </c>
      <c r="I53" s="5">
        <v>20.045263498221789</v>
      </c>
      <c r="J53" s="5"/>
      <c r="K53" s="6">
        <v>85</v>
      </c>
      <c r="L53" s="5">
        <v>18.318965517241377</v>
      </c>
      <c r="M53" s="5"/>
      <c r="O53" s="100">
        <f t="shared" si="16"/>
        <v>4.2</v>
      </c>
      <c r="P53" s="100">
        <f t="shared" si="17"/>
        <v>3.9</v>
      </c>
      <c r="Q53" s="100">
        <f t="shared" si="18"/>
        <v>20</v>
      </c>
      <c r="R53" s="100">
        <f t="shared" si="19"/>
        <v>18.3</v>
      </c>
      <c r="S53" s="100" t="e">
        <f>ROUND(#REF!,1)</f>
        <v>#REF!</v>
      </c>
      <c r="U53" s="37"/>
      <c r="V53" s="37"/>
      <c r="W53" s="37"/>
      <c r="X53" s="37"/>
    </row>
    <row r="54" spans="1:24" ht="14.1" customHeight="1" x14ac:dyDescent="0.25">
      <c r="A54" s="61" t="s">
        <v>44</v>
      </c>
      <c r="B54" s="6">
        <v>17913</v>
      </c>
      <c r="C54" s="5">
        <v>10.881423885311627</v>
      </c>
      <c r="D54" s="5"/>
      <c r="E54" s="6">
        <v>16940</v>
      </c>
      <c r="F54" s="5">
        <v>10.567623538615324</v>
      </c>
      <c r="G54" s="5"/>
      <c r="H54" s="6">
        <v>897</v>
      </c>
      <c r="I54" s="5">
        <v>29.000969932104752</v>
      </c>
      <c r="J54" s="5"/>
      <c r="K54" s="6">
        <v>76</v>
      </c>
      <c r="L54" s="5">
        <v>16.379310344827587</v>
      </c>
      <c r="M54" s="5"/>
      <c r="O54" s="100">
        <f t="shared" si="16"/>
        <v>10.9</v>
      </c>
      <c r="P54" s="100">
        <f t="shared" si="17"/>
        <v>10.6</v>
      </c>
      <c r="Q54" s="100">
        <f t="shared" si="18"/>
        <v>29</v>
      </c>
      <c r="R54" s="100">
        <f t="shared" si="19"/>
        <v>16.399999999999999</v>
      </c>
      <c r="S54" s="100" t="e">
        <f>ROUND(#REF!,1)</f>
        <v>#REF!</v>
      </c>
      <c r="U54" s="37"/>
      <c r="V54" s="37"/>
      <c r="W54" s="37"/>
      <c r="X54" s="37"/>
    </row>
    <row r="55" spans="1:24" ht="14.1" customHeight="1" x14ac:dyDescent="0.25">
      <c r="A55" s="61" t="s">
        <v>45</v>
      </c>
      <c r="B55" s="6">
        <v>2379</v>
      </c>
      <c r="C55" s="5">
        <v>1.4451463977645487</v>
      </c>
      <c r="D55" s="5"/>
      <c r="E55" s="6">
        <v>2315</v>
      </c>
      <c r="F55" s="5">
        <v>1.4373257669359196</v>
      </c>
      <c r="G55" s="5"/>
      <c r="H55" s="6">
        <v>47</v>
      </c>
      <c r="I55" s="5">
        <v>1.5195602974458453</v>
      </c>
      <c r="J55" s="5"/>
      <c r="K55" s="6">
        <v>17</v>
      </c>
      <c r="L55" s="5">
        <v>3.6637931034482754</v>
      </c>
      <c r="M55" s="5"/>
      <c r="O55" s="100">
        <f t="shared" si="16"/>
        <v>1.4</v>
      </c>
      <c r="P55" s="100">
        <f t="shared" si="17"/>
        <v>1.4</v>
      </c>
      <c r="Q55" s="100">
        <f t="shared" si="18"/>
        <v>1.5</v>
      </c>
      <c r="R55" s="100">
        <f t="shared" si="19"/>
        <v>3.7</v>
      </c>
      <c r="S55" s="100" t="e">
        <f>ROUND(#REF!,1)</f>
        <v>#REF!</v>
      </c>
      <c r="U55" s="37"/>
      <c r="V55" s="37"/>
      <c r="W55" s="37"/>
      <c r="X55" s="37"/>
    </row>
    <row r="56" spans="1:24" hidden="1" x14ac:dyDescent="0.25">
      <c r="A56" s="61" t="s">
        <v>46</v>
      </c>
      <c r="B56" s="6">
        <v>179</v>
      </c>
      <c r="C56" s="5">
        <v>0.10873526910460454</v>
      </c>
      <c r="D56" s="5"/>
      <c r="E56" s="6">
        <v>166</v>
      </c>
      <c r="F56" s="5">
        <v>0.10306526017769445</v>
      </c>
      <c r="G56" s="5"/>
      <c r="H56" s="6">
        <v>11</v>
      </c>
      <c r="I56" s="5">
        <v>0.35564177174264466</v>
      </c>
      <c r="J56" s="5"/>
      <c r="K56" s="6">
        <v>2</v>
      </c>
      <c r="L56" s="5">
        <v>0.43103448275862066</v>
      </c>
      <c r="M56" s="5"/>
      <c r="O56" s="100">
        <f t="shared" si="16"/>
        <v>0.1</v>
      </c>
      <c r="P56" s="100">
        <f t="shared" si="17"/>
        <v>0.1</v>
      </c>
      <c r="Q56" s="100">
        <f t="shared" si="18"/>
        <v>0.4</v>
      </c>
      <c r="R56" s="100">
        <f t="shared" si="19"/>
        <v>0.4</v>
      </c>
      <c r="S56" s="100" t="e">
        <f>ROUND(#REF!,1)</f>
        <v>#REF!</v>
      </c>
      <c r="U56" s="37"/>
      <c r="V56" s="37"/>
      <c r="W56" s="37"/>
      <c r="X56" s="37"/>
    </row>
    <row r="57" spans="1:24" ht="14.1" customHeight="1" x14ac:dyDescent="0.25">
      <c r="A57" s="61" t="s">
        <v>47</v>
      </c>
      <c r="B57" s="6">
        <v>1248</v>
      </c>
      <c r="C57" s="5">
        <v>0.75810958571255005</v>
      </c>
      <c r="D57" s="5"/>
      <c r="E57" s="6">
        <v>1155</v>
      </c>
      <c r="F57" s="5">
        <v>0.71711069581468123</v>
      </c>
      <c r="G57" s="5"/>
      <c r="H57" s="6">
        <v>80</v>
      </c>
      <c r="I57" s="5">
        <v>2.5864856126737794</v>
      </c>
      <c r="J57" s="5"/>
      <c r="K57" s="6">
        <v>13</v>
      </c>
      <c r="L57" s="5">
        <v>2.8017241379310343</v>
      </c>
      <c r="M57" s="5"/>
      <c r="O57" s="100">
        <f t="shared" si="16"/>
        <v>0.8</v>
      </c>
      <c r="P57" s="100">
        <f t="shared" si="17"/>
        <v>0.7</v>
      </c>
      <c r="Q57" s="100">
        <f t="shared" si="18"/>
        <v>2.6</v>
      </c>
      <c r="R57" s="100">
        <f t="shared" si="19"/>
        <v>2.8</v>
      </c>
      <c r="S57" s="100" t="e">
        <f>ROUND(#REF!,1)</f>
        <v>#REF!</v>
      </c>
      <c r="U57" s="37"/>
      <c r="V57" s="37"/>
      <c r="W57" s="37"/>
      <c r="X57" s="37"/>
    </row>
    <row r="58" spans="1:24" ht="14.1" customHeight="1" x14ac:dyDescent="0.25">
      <c r="A58" s="61"/>
      <c r="B58" s="6"/>
      <c r="C58" s="5"/>
      <c r="D58" s="5"/>
      <c r="E58" s="6"/>
      <c r="F58" s="5"/>
      <c r="G58" s="5"/>
      <c r="H58" s="6"/>
      <c r="I58" s="16"/>
      <c r="J58" s="16"/>
      <c r="K58" s="6"/>
      <c r="L58" s="16"/>
      <c r="M58" s="16"/>
      <c r="O58" s="100">
        <f t="shared" si="16"/>
        <v>0</v>
      </c>
      <c r="P58" s="100">
        <f t="shared" si="17"/>
        <v>0</v>
      </c>
      <c r="Q58" s="100">
        <f t="shared" si="18"/>
        <v>0</v>
      </c>
      <c r="R58" s="100">
        <f t="shared" si="19"/>
        <v>0</v>
      </c>
      <c r="S58" s="100" t="e">
        <f>ROUND(#REF!,1)</f>
        <v>#REF!</v>
      </c>
      <c r="U58" s="37"/>
      <c r="V58" s="37"/>
      <c r="W58" s="37"/>
      <c r="X58" s="37"/>
    </row>
    <row r="59" spans="1:24" ht="14.1" customHeight="1" x14ac:dyDescent="0.25">
      <c r="A59" s="63" t="s">
        <v>19</v>
      </c>
      <c r="B59" s="9">
        <v>40151</v>
      </c>
      <c r="C59" s="15">
        <v>100</v>
      </c>
      <c r="D59" s="15"/>
      <c r="E59" s="9">
        <v>39441</v>
      </c>
      <c r="F59" s="15">
        <v>100</v>
      </c>
      <c r="G59" s="15"/>
      <c r="H59" s="9">
        <v>633</v>
      </c>
      <c r="I59" s="15">
        <v>100</v>
      </c>
      <c r="J59" s="15"/>
      <c r="K59" s="9">
        <v>77</v>
      </c>
      <c r="L59" s="15">
        <v>100</v>
      </c>
      <c r="M59" s="15"/>
      <c r="O59" s="100">
        <f>SUM(O60:O67)</f>
        <v>100.3</v>
      </c>
      <c r="P59" s="100">
        <f t="shared" ref="P59:S59" si="20">SUM(P60:P67)</f>
        <v>100.20000000000002</v>
      </c>
      <c r="Q59" s="100">
        <f t="shared" si="20"/>
        <v>100.6</v>
      </c>
      <c r="R59" s="100" t="e">
        <f t="shared" si="20"/>
        <v>#VALUE!</v>
      </c>
      <c r="S59" s="100" t="e">
        <f t="shared" si="20"/>
        <v>#REF!</v>
      </c>
      <c r="U59" s="37"/>
      <c r="V59" s="37"/>
      <c r="W59" s="37"/>
      <c r="X59" s="37"/>
    </row>
    <row r="60" spans="1:24" ht="14.1" customHeight="1" x14ac:dyDescent="0.25">
      <c r="A60" s="61" t="s">
        <v>40</v>
      </c>
      <c r="B60" s="6">
        <v>30996</v>
      </c>
      <c r="C60" s="5">
        <v>77.198575377948245</v>
      </c>
      <c r="D60" s="5"/>
      <c r="E60" s="6">
        <v>30848</v>
      </c>
      <c r="F60" s="5">
        <v>78.213027053066611</v>
      </c>
      <c r="G60" s="5"/>
      <c r="H60" s="6">
        <v>138</v>
      </c>
      <c r="I60" s="5">
        <v>21.800947867298579</v>
      </c>
      <c r="J60" s="5"/>
      <c r="K60" s="6">
        <v>10</v>
      </c>
      <c r="L60" s="5">
        <v>12.987012987012985</v>
      </c>
      <c r="M60" s="5"/>
      <c r="O60" s="100">
        <f t="shared" ref="O60:O68" si="21">ROUND(C60,1)</f>
        <v>77.2</v>
      </c>
      <c r="P60" s="100">
        <f t="shared" ref="P60:P68" si="22">ROUND(F60,1)</f>
        <v>78.2</v>
      </c>
      <c r="Q60" s="100">
        <f t="shared" ref="Q60:Q68" si="23">ROUND(I60,1)</f>
        <v>21.8</v>
      </c>
      <c r="R60" s="100">
        <f t="shared" ref="R60:R68" si="24">ROUND(L60,1)</f>
        <v>13</v>
      </c>
      <c r="S60" s="100" t="e">
        <f>ROUND(#REF!,1)</f>
        <v>#REF!</v>
      </c>
      <c r="U60" s="37"/>
      <c r="V60" s="37"/>
      <c r="W60" s="37"/>
      <c r="X60" s="37"/>
    </row>
    <row r="61" spans="1:24" ht="14.1" customHeight="1" x14ac:dyDescent="0.25">
      <c r="A61" s="61" t="s">
        <v>41</v>
      </c>
      <c r="B61" s="6">
        <v>3552</v>
      </c>
      <c r="C61" s="5">
        <v>8.8466040696371184</v>
      </c>
      <c r="D61" s="5"/>
      <c r="E61" s="6">
        <v>3322</v>
      </c>
      <c r="F61" s="5">
        <v>8.4227073350067183</v>
      </c>
      <c r="G61" s="5"/>
      <c r="H61" s="6">
        <v>195</v>
      </c>
      <c r="I61" s="5">
        <v>30.805687203791472</v>
      </c>
      <c r="J61" s="5"/>
      <c r="K61" s="6">
        <v>35</v>
      </c>
      <c r="L61" s="5">
        <v>45.454545454545453</v>
      </c>
      <c r="M61" s="5"/>
      <c r="O61" s="100">
        <f t="shared" si="21"/>
        <v>8.8000000000000007</v>
      </c>
      <c r="P61" s="100">
        <f t="shared" si="22"/>
        <v>8.4</v>
      </c>
      <c r="Q61" s="100">
        <f t="shared" si="23"/>
        <v>30.8</v>
      </c>
      <c r="R61" s="100">
        <f t="shared" si="24"/>
        <v>45.5</v>
      </c>
      <c r="S61" s="100" t="e">
        <f>ROUND(#REF!,1)</f>
        <v>#REF!</v>
      </c>
      <c r="U61" s="37"/>
      <c r="V61" s="37"/>
      <c r="W61" s="37"/>
      <c r="X61" s="37"/>
    </row>
    <row r="62" spans="1:24" ht="14.1" customHeight="1" x14ac:dyDescent="0.25">
      <c r="A62" s="61" t="s">
        <v>42</v>
      </c>
      <c r="B62" s="6">
        <v>29</v>
      </c>
      <c r="C62" s="5">
        <v>7.2227341784762533E-2</v>
      </c>
      <c r="D62" s="5"/>
      <c r="E62" s="6">
        <v>28</v>
      </c>
      <c r="F62" s="5">
        <v>7.0992114804391368E-2</v>
      </c>
      <c r="G62" s="5"/>
      <c r="H62" s="6">
        <v>1</v>
      </c>
      <c r="I62" s="5">
        <v>0.15797788309636651</v>
      </c>
      <c r="J62" s="5"/>
      <c r="K62" s="3" t="s">
        <v>96</v>
      </c>
      <c r="L62" s="3" t="s">
        <v>96</v>
      </c>
      <c r="M62" s="5"/>
      <c r="O62" s="100">
        <f t="shared" si="21"/>
        <v>0.1</v>
      </c>
      <c r="P62" s="100">
        <f t="shared" si="22"/>
        <v>0.1</v>
      </c>
      <c r="Q62" s="100">
        <f t="shared" si="23"/>
        <v>0.2</v>
      </c>
      <c r="R62" s="100" t="e">
        <f t="shared" si="24"/>
        <v>#VALUE!</v>
      </c>
      <c r="S62" s="100" t="e">
        <f>ROUND(#REF!,1)</f>
        <v>#REF!</v>
      </c>
      <c r="U62" s="37"/>
      <c r="V62" s="37"/>
      <c r="W62" s="37"/>
      <c r="X62" s="37"/>
    </row>
    <row r="63" spans="1:24" ht="14.1" customHeight="1" x14ac:dyDescent="0.25">
      <c r="A63" s="61" t="s">
        <v>43</v>
      </c>
      <c r="B63" s="6">
        <v>1036</v>
      </c>
      <c r="C63" s="5">
        <v>2.5802595203108267</v>
      </c>
      <c r="D63" s="5"/>
      <c r="E63" s="6">
        <v>946</v>
      </c>
      <c r="F63" s="5">
        <v>2.3985193073197943</v>
      </c>
      <c r="G63" s="5"/>
      <c r="H63" s="6">
        <v>81</v>
      </c>
      <c r="I63" s="5">
        <v>12.796208530805686</v>
      </c>
      <c r="J63" s="5"/>
      <c r="K63" s="3">
        <v>9</v>
      </c>
      <c r="L63" s="16">
        <v>11.688311688311687</v>
      </c>
      <c r="M63" s="5"/>
      <c r="O63" s="100">
        <f t="shared" si="21"/>
        <v>2.6</v>
      </c>
      <c r="P63" s="100">
        <f t="shared" si="22"/>
        <v>2.4</v>
      </c>
      <c r="Q63" s="100">
        <f t="shared" si="23"/>
        <v>12.8</v>
      </c>
      <c r="R63" s="100">
        <f t="shared" si="24"/>
        <v>11.7</v>
      </c>
      <c r="S63" s="100" t="e">
        <f>ROUND(#REF!,1)</f>
        <v>#REF!</v>
      </c>
      <c r="U63" s="37"/>
      <c r="V63" s="37"/>
      <c r="W63" s="37"/>
      <c r="X63" s="37"/>
    </row>
    <row r="64" spans="1:24" ht="14.1" customHeight="1" x14ac:dyDescent="0.25">
      <c r="A64" s="61" t="s">
        <v>44</v>
      </c>
      <c r="B64" s="6">
        <v>2880</v>
      </c>
      <c r="C64" s="5">
        <v>7.1729222186246915</v>
      </c>
      <c r="D64" s="5"/>
      <c r="E64" s="6">
        <v>2676</v>
      </c>
      <c r="F64" s="5">
        <v>6.7848178291625469</v>
      </c>
      <c r="G64" s="5"/>
      <c r="H64" s="6">
        <v>185</v>
      </c>
      <c r="I64" s="5">
        <v>29.225908372827803</v>
      </c>
      <c r="J64" s="5"/>
      <c r="K64" s="3">
        <v>19</v>
      </c>
      <c r="L64" s="16">
        <v>24.575324675324673</v>
      </c>
      <c r="M64" s="5"/>
      <c r="O64" s="100">
        <f t="shared" si="21"/>
        <v>7.2</v>
      </c>
      <c r="P64" s="100">
        <f t="shared" si="22"/>
        <v>6.8</v>
      </c>
      <c r="Q64" s="100">
        <f t="shared" si="23"/>
        <v>29.2</v>
      </c>
      <c r="R64" s="100">
        <f t="shared" si="24"/>
        <v>24.6</v>
      </c>
      <c r="S64" s="100" t="e">
        <f>ROUND(#REF!,1)</f>
        <v>#REF!</v>
      </c>
      <c r="U64" s="37"/>
      <c r="V64" s="37"/>
      <c r="W64" s="37"/>
      <c r="X64" s="37"/>
    </row>
    <row r="65" spans="1:24" ht="14.1" customHeight="1" x14ac:dyDescent="0.25">
      <c r="A65" s="61" t="s">
        <v>45</v>
      </c>
      <c r="B65" s="6">
        <v>1162</v>
      </c>
      <c r="C65" s="5">
        <v>2.8940748673756569</v>
      </c>
      <c r="D65" s="5"/>
      <c r="E65" s="6">
        <v>1158</v>
      </c>
      <c r="F65" s="5">
        <v>2.9360310336959001</v>
      </c>
      <c r="G65" s="5"/>
      <c r="H65" s="6">
        <v>4</v>
      </c>
      <c r="I65" s="5">
        <v>0.63191153238546605</v>
      </c>
      <c r="J65" s="5"/>
      <c r="K65" s="3" t="s">
        <v>96</v>
      </c>
      <c r="L65" s="3" t="s">
        <v>96</v>
      </c>
      <c r="M65" s="5"/>
      <c r="O65" s="100">
        <f t="shared" si="21"/>
        <v>2.9</v>
      </c>
      <c r="P65" s="100">
        <f t="shared" si="22"/>
        <v>2.9</v>
      </c>
      <c r="Q65" s="100">
        <f t="shared" si="23"/>
        <v>0.6</v>
      </c>
      <c r="R65" s="100" t="e">
        <f t="shared" si="24"/>
        <v>#VALUE!</v>
      </c>
      <c r="S65" s="100" t="e">
        <f>ROUND(#REF!,1)</f>
        <v>#REF!</v>
      </c>
      <c r="U65" s="37"/>
      <c r="V65" s="37"/>
      <c r="W65" s="37"/>
      <c r="X65" s="37"/>
    </row>
    <row r="66" spans="1:24" hidden="1" x14ac:dyDescent="0.25">
      <c r="A66" s="61" t="s">
        <v>46</v>
      </c>
      <c r="B66" s="6">
        <v>102</v>
      </c>
      <c r="C66" s="5">
        <v>0.25404099524295781</v>
      </c>
      <c r="D66" s="5"/>
      <c r="E66" s="6">
        <v>96</v>
      </c>
      <c r="F66" s="5">
        <v>0.24340153647219898</v>
      </c>
      <c r="G66" s="5"/>
      <c r="H66" s="6">
        <v>4</v>
      </c>
      <c r="I66" s="5">
        <v>0.63191153238546605</v>
      </c>
      <c r="J66" s="5"/>
      <c r="K66" s="6">
        <v>2</v>
      </c>
      <c r="L66" s="5">
        <v>2.5974025974025974</v>
      </c>
      <c r="M66" s="5"/>
      <c r="O66" s="100">
        <f t="shared" si="21"/>
        <v>0.3</v>
      </c>
      <c r="P66" s="100">
        <f t="shared" si="22"/>
        <v>0.2</v>
      </c>
      <c r="Q66" s="100">
        <f t="shared" si="23"/>
        <v>0.6</v>
      </c>
      <c r="R66" s="100">
        <f t="shared" si="24"/>
        <v>2.6</v>
      </c>
      <c r="S66" s="100" t="e">
        <f>ROUND(#REF!,1)</f>
        <v>#REF!</v>
      </c>
      <c r="U66" s="37"/>
      <c r="V66" s="37"/>
      <c r="W66" s="37"/>
      <c r="X66" s="37"/>
    </row>
    <row r="67" spans="1:24" ht="14.1" customHeight="1" x14ac:dyDescent="0.25">
      <c r="A67" s="61" t="s">
        <v>47</v>
      </c>
      <c r="B67" s="6">
        <v>496</v>
      </c>
      <c r="C67" s="5">
        <v>1.2353366043186969</v>
      </c>
      <c r="D67" s="5"/>
      <c r="E67" s="6">
        <v>463</v>
      </c>
      <c r="F67" s="5">
        <v>1.1739053269440429</v>
      </c>
      <c r="G67" s="5"/>
      <c r="H67" s="6">
        <v>29</v>
      </c>
      <c r="I67" s="5">
        <v>4.5813586097946288</v>
      </c>
      <c r="J67" s="5"/>
      <c r="K67" s="6">
        <v>4</v>
      </c>
      <c r="L67" s="5">
        <v>5.1948051948051948</v>
      </c>
      <c r="M67" s="5"/>
      <c r="O67" s="100">
        <f t="shared" si="21"/>
        <v>1.2</v>
      </c>
      <c r="P67" s="100">
        <f t="shared" si="22"/>
        <v>1.2</v>
      </c>
      <c r="Q67" s="100">
        <f t="shared" si="23"/>
        <v>4.5999999999999996</v>
      </c>
      <c r="R67" s="100">
        <f t="shared" si="24"/>
        <v>5.2</v>
      </c>
      <c r="S67" s="100" t="e">
        <f>ROUND(#REF!,1)</f>
        <v>#REF!</v>
      </c>
      <c r="U67" s="37"/>
      <c r="V67" s="37"/>
      <c r="W67" s="37"/>
      <c r="X67" s="37"/>
    </row>
    <row r="68" spans="1:24" ht="14.1" customHeight="1" x14ac:dyDescent="0.25">
      <c r="A68" s="68"/>
      <c r="B68" s="6"/>
      <c r="C68" s="5"/>
      <c r="D68" s="5"/>
      <c r="E68" s="6"/>
      <c r="F68" s="5"/>
      <c r="G68" s="5"/>
      <c r="H68" s="6"/>
      <c r="I68" s="16"/>
      <c r="J68" s="16"/>
      <c r="K68" s="6"/>
      <c r="L68" s="16"/>
      <c r="M68" s="16"/>
      <c r="O68" s="100">
        <f t="shared" si="21"/>
        <v>0</v>
      </c>
      <c r="P68" s="100">
        <f t="shared" si="22"/>
        <v>0</v>
      </c>
      <c r="Q68" s="100">
        <f t="shared" si="23"/>
        <v>0</v>
      </c>
      <c r="R68" s="100">
        <f t="shared" si="24"/>
        <v>0</v>
      </c>
      <c r="S68" s="100" t="e">
        <f>ROUND(#REF!,1)</f>
        <v>#REF!</v>
      </c>
      <c r="U68" s="37"/>
      <c r="V68" s="37"/>
      <c r="W68" s="37"/>
      <c r="X68" s="37"/>
    </row>
    <row r="69" spans="1:24" ht="14.1" customHeight="1" x14ac:dyDescent="0.25">
      <c r="A69" s="63" t="s">
        <v>18</v>
      </c>
      <c r="B69" s="9">
        <v>72711</v>
      </c>
      <c r="C69" s="15">
        <v>100</v>
      </c>
      <c r="D69" s="15"/>
      <c r="E69" s="9">
        <v>71311</v>
      </c>
      <c r="F69" s="15">
        <v>100</v>
      </c>
      <c r="G69" s="15"/>
      <c r="H69" s="9">
        <v>1204</v>
      </c>
      <c r="I69" s="15">
        <v>100</v>
      </c>
      <c r="J69" s="15"/>
      <c r="K69" s="9">
        <v>196</v>
      </c>
      <c r="L69" s="15">
        <v>100</v>
      </c>
      <c r="M69" s="15"/>
      <c r="O69" s="100">
        <f>SUM(O70:O77)</f>
        <v>100.3</v>
      </c>
      <c r="P69" s="100">
        <f t="shared" ref="P69:S69" si="25">SUM(P70:P77)</f>
        <v>100.3</v>
      </c>
      <c r="Q69" s="100">
        <f t="shared" si="25"/>
        <v>101.4</v>
      </c>
      <c r="R69" s="100" t="e">
        <f t="shared" si="25"/>
        <v>#VALUE!</v>
      </c>
      <c r="S69" s="100" t="e">
        <f t="shared" si="25"/>
        <v>#REF!</v>
      </c>
      <c r="U69" s="37"/>
      <c r="V69" s="37"/>
      <c r="W69" s="37"/>
      <c r="X69" s="37"/>
    </row>
    <row r="70" spans="1:24" ht="14.1" customHeight="1" x14ac:dyDescent="0.25">
      <c r="A70" s="61" t="s">
        <v>40</v>
      </c>
      <c r="B70" s="6">
        <v>51604</v>
      </c>
      <c r="C70" s="5">
        <v>71.071379846240589</v>
      </c>
      <c r="D70" s="5"/>
      <c r="E70" s="6">
        <v>51453</v>
      </c>
      <c r="F70" s="5">
        <v>72.252963778379197</v>
      </c>
      <c r="G70" s="5"/>
      <c r="H70" s="6">
        <v>143</v>
      </c>
      <c r="I70" s="5">
        <v>11.877076411960132</v>
      </c>
      <c r="J70" s="5"/>
      <c r="K70" s="6">
        <v>8</v>
      </c>
      <c r="L70" s="5">
        <v>4.0816326530612246</v>
      </c>
      <c r="M70" s="5"/>
      <c r="O70" s="100">
        <f t="shared" ref="O70:O78" si="26">ROUND(C70,1)</f>
        <v>71.099999999999994</v>
      </c>
      <c r="P70" s="100">
        <f t="shared" ref="P70:P78" si="27">ROUND(F70,1)</f>
        <v>72.3</v>
      </c>
      <c r="Q70" s="100">
        <f t="shared" ref="Q70:Q78" si="28">ROUND(I70,1)</f>
        <v>11.9</v>
      </c>
      <c r="R70" s="100">
        <f t="shared" ref="R70:R78" si="29">ROUND(L70,1)</f>
        <v>4.0999999999999996</v>
      </c>
      <c r="S70" s="100" t="e">
        <f>ROUND(#REF!,1)</f>
        <v>#REF!</v>
      </c>
      <c r="U70" s="37"/>
      <c r="V70" s="37"/>
      <c r="W70" s="37"/>
      <c r="X70" s="37"/>
    </row>
    <row r="71" spans="1:24" ht="14.1" customHeight="1" x14ac:dyDescent="0.25">
      <c r="A71" s="61" t="s">
        <v>41</v>
      </c>
      <c r="B71" s="6">
        <v>4678</v>
      </c>
      <c r="C71" s="5">
        <v>6.4336895380341348</v>
      </c>
      <c r="D71" s="5"/>
      <c r="E71" s="6">
        <v>4309</v>
      </c>
      <c r="F71" s="5">
        <v>6.0425460307666423</v>
      </c>
      <c r="G71" s="5"/>
      <c r="H71" s="6">
        <v>277</v>
      </c>
      <c r="I71" s="5">
        <v>23.006644518272427</v>
      </c>
      <c r="J71" s="5"/>
      <c r="K71" s="6">
        <v>92</v>
      </c>
      <c r="L71" s="5">
        <v>47.038775510204083</v>
      </c>
      <c r="M71" s="5"/>
      <c r="O71" s="100">
        <f t="shared" si="26"/>
        <v>6.4</v>
      </c>
      <c r="P71" s="100">
        <f t="shared" si="27"/>
        <v>6</v>
      </c>
      <c r="Q71" s="100">
        <f t="shared" si="28"/>
        <v>23</v>
      </c>
      <c r="R71" s="100">
        <f t="shared" si="29"/>
        <v>47</v>
      </c>
      <c r="S71" s="100" t="e">
        <f>ROUND(#REF!,1)</f>
        <v>#REF!</v>
      </c>
      <c r="U71" s="37"/>
      <c r="V71" s="37"/>
      <c r="W71" s="37"/>
      <c r="X71" s="37"/>
    </row>
    <row r="72" spans="1:24" ht="14.1" customHeight="1" x14ac:dyDescent="0.25">
      <c r="A72" s="61" t="s">
        <v>42</v>
      </c>
      <c r="B72" s="6">
        <v>97</v>
      </c>
      <c r="C72" s="5">
        <v>0.13340484933503871</v>
      </c>
      <c r="D72" s="5"/>
      <c r="E72" s="6">
        <v>96</v>
      </c>
      <c r="F72" s="5">
        <v>0.13462158713241995</v>
      </c>
      <c r="G72" s="5"/>
      <c r="H72" s="3">
        <v>1</v>
      </c>
      <c r="I72" s="16">
        <v>8.3056478405315617E-2</v>
      </c>
      <c r="J72" s="5"/>
      <c r="K72" s="3" t="s">
        <v>96</v>
      </c>
      <c r="L72" s="3" t="s">
        <v>96</v>
      </c>
      <c r="M72" s="5"/>
      <c r="O72" s="100">
        <f t="shared" si="26"/>
        <v>0.1</v>
      </c>
      <c r="P72" s="100">
        <f t="shared" si="27"/>
        <v>0.1</v>
      </c>
      <c r="Q72" s="100">
        <f t="shared" si="28"/>
        <v>0.1</v>
      </c>
      <c r="R72" s="100" t="e">
        <f t="shared" si="29"/>
        <v>#VALUE!</v>
      </c>
      <c r="S72" s="100" t="e">
        <f>ROUND(#REF!,1)</f>
        <v>#REF!</v>
      </c>
      <c r="U72" s="37"/>
      <c r="V72" s="37"/>
      <c r="W72" s="37"/>
      <c r="X72" s="37"/>
    </row>
    <row r="73" spans="1:24" ht="14.1" customHeight="1" x14ac:dyDescent="0.25">
      <c r="A73" s="61" t="s">
        <v>43</v>
      </c>
      <c r="B73" s="6">
        <v>5691</v>
      </c>
      <c r="C73" s="5">
        <v>7.8268762635639728</v>
      </c>
      <c r="D73" s="5"/>
      <c r="E73" s="6">
        <v>5301</v>
      </c>
      <c r="F73" s="5">
        <v>7.4336357644683142</v>
      </c>
      <c r="G73" s="5"/>
      <c r="H73" s="6">
        <v>356</v>
      </c>
      <c r="I73" s="5">
        <v>29.468106312292356</v>
      </c>
      <c r="J73" s="5"/>
      <c r="K73" s="6">
        <v>34</v>
      </c>
      <c r="L73" s="5">
        <v>17.346938775510203</v>
      </c>
      <c r="M73" s="5"/>
      <c r="O73" s="100">
        <f t="shared" si="26"/>
        <v>7.8</v>
      </c>
      <c r="P73" s="100">
        <f t="shared" si="27"/>
        <v>7.4</v>
      </c>
      <c r="Q73" s="100">
        <f t="shared" si="28"/>
        <v>29.5</v>
      </c>
      <c r="R73" s="100">
        <f t="shared" si="29"/>
        <v>17.3</v>
      </c>
      <c r="S73" s="100" t="e">
        <f>ROUND(#REF!,1)</f>
        <v>#REF!</v>
      </c>
      <c r="U73" s="37"/>
      <c r="V73" s="37"/>
      <c r="W73" s="37"/>
      <c r="X73" s="37"/>
    </row>
    <row r="74" spans="1:24" ht="14.1" customHeight="1" x14ac:dyDescent="0.25">
      <c r="A74" s="61" t="s">
        <v>44</v>
      </c>
      <c r="B74" s="6">
        <v>6923</v>
      </c>
      <c r="C74" s="5">
        <v>9.5212553808914748</v>
      </c>
      <c r="D74" s="5"/>
      <c r="E74" s="6">
        <v>6583</v>
      </c>
      <c r="F74" s="5">
        <v>9.2313948759658402</v>
      </c>
      <c r="G74" s="5"/>
      <c r="H74" s="6">
        <v>313</v>
      </c>
      <c r="I74" s="5">
        <v>25.996677740863788</v>
      </c>
      <c r="J74" s="5"/>
      <c r="K74" s="6">
        <v>27</v>
      </c>
      <c r="L74" s="5">
        <v>13.77551020408163</v>
      </c>
      <c r="M74" s="5"/>
      <c r="O74" s="100">
        <f t="shared" si="26"/>
        <v>9.5</v>
      </c>
      <c r="P74" s="100">
        <f t="shared" si="27"/>
        <v>9.1999999999999993</v>
      </c>
      <c r="Q74" s="100">
        <f t="shared" si="28"/>
        <v>26</v>
      </c>
      <c r="R74" s="100">
        <f t="shared" si="29"/>
        <v>13.8</v>
      </c>
      <c r="S74" s="100" t="e">
        <f>ROUND(#REF!,1)</f>
        <v>#REF!</v>
      </c>
      <c r="U74" s="37"/>
      <c r="V74" s="37"/>
      <c r="W74" s="37"/>
      <c r="X74" s="37"/>
    </row>
    <row r="75" spans="1:24" x14ac:dyDescent="0.25">
      <c r="A75" s="61" t="s">
        <v>45</v>
      </c>
      <c r="B75" s="6">
        <v>2108</v>
      </c>
      <c r="C75" s="5">
        <v>2.8991486845181611</v>
      </c>
      <c r="D75" s="5"/>
      <c r="E75" s="6">
        <v>2072</v>
      </c>
      <c r="F75" s="5">
        <v>2.9055825889413978</v>
      </c>
      <c r="G75" s="5"/>
      <c r="H75" s="6">
        <v>25</v>
      </c>
      <c r="I75" s="5">
        <v>2.0764119601328903</v>
      </c>
      <c r="J75" s="5"/>
      <c r="K75" s="6">
        <v>11</v>
      </c>
      <c r="L75" s="5">
        <v>5.6122448979591839</v>
      </c>
      <c r="M75" s="5"/>
      <c r="O75" s="100">
        <f t="shared" si="26"/>
        <v>2.9</v>
      </c>
      <c r="P75" s="100">
        <f t="shared" si="27"/>
        <v>2.9</v>
      </c>
      <c r="Q75" s="100">
        <f t="shared" si="28"/>
        <v>2.1</v>
      </c>
      <c r="R75" s="100">
        <f t="shared" si="29"/>
        <v>5.6</v>
      </c>
      <c r="S75" s="100" t="e">
        <f>ROUND(#REF!,1)</f>
        <v>#REF!</v>
      </c>
      <c r="U75" s="37"/>
      <c r="V75" s="37"/>
      <c r="W75" s="37"/>
      <c r="X75" s="37"/>
    </row>
    <row r="76" spans="1:24" hidden="1" x14ac:dyDescent="0.25">
      <c r="A76" s="61" t="s">
        <v>46</v>
      </c>
      <c r="B76" s="6">
        <v>217</v>
      </c>
      <c r="C76" s="5">
        <v>0.29844177634745772</v>
      </c>
      <c r="D76" s="5"/>
      <c r="E76" s="6">
        <v>181</v>
      </c>
      <c r="F76" s="5">
        <v>0.25381778407258349</v>
      </c>
      <c r="G76" s="5"/>
      <c r="H76" s="6">
        <v>17</v>
      </c>
      <c r="I76" s="5">
        <v>1.4119601328903655</v>
      </c>
      <c r="J76" s="5"/>
      <c r="K76" s="6">
        <v>19</v>
      </c>
      <c r="L76" s="5">
        <v>9.6938775510204085</v>
      </c>
      <c r="M76" s="5"/>
      <c r="O76" s="100">
        <f t="shared" si="26"/>
        <v>0.3</v>
      </c>
      <c r="P76" s="100">
        <f t="shared" si="27"/>
        <v>0.3</v>
      </c>
      <c r="Q76" s="100">
        <f t="shared" si="28"/>
        <v>1.4</v>
      </c>
      <c r="R76" s="100">
        <f t="shared" si="29"/>
        <v>9.6999999999999993</v>
      </c>
      <c r="S76" s="100" t="e">
        <f>ROUND(#REF!,1)</f>
        <v>#REF!</v>
      </c>
      <c r="U76" s="37"/>
      <c r="V76" s="37"/>
      <c r="W76" s="37"/>
      <c r="X76" s="37"/>
    </row>
    <row r="77" spans="1:24" ht="14.1" customHeight="1" x14ac:dyDescent="0.25">
      <c r="A77" s="61" t="s">
        <v>47</v>
      </c>
      <c r="B77" s="6">
        <v>1610</v>
      </c>
      <c r="C77" s="5">
        <v>2.2142454374166221</v>
      </c>
      <c r="D77" s="5"/>
      <c r="E77" s="6">
        <v>1497</v>
      </c>
      <c r="F77" s="5">
        <v>2.0992553743461739</v>
      </c>
      <c r="G77" s="5"/>
      <c r="H77" s="6">
        <v>89</v>
      </c>
      <c r="I77" s="5">
        <v>7.3920265780730894</v>
      </c>
      <c r="J77" s="5"/>
      <c r="K77" s="6">
        <v>24</v>
      </c>
      <c r="L77" s="5">
        <v>12.244897959183675</v>
      </c>
      <c r="M77" s="5"/>
      <c r="O77" s="100">
        <f t="shared" si="26"/>
        <v>2.2000000000000002</v>
      </c>
      <c r="P77" s="100">
        <f t="shared" si="27"/>
        <v>2.1</v>
      </c>
      <c r="Q77" s="100">
        <f t="shared" si="28"/>
        <v>7.4</v>
      </c>
      <c r="R77" s="100">
        <f t="shared" si="29"/>
        <v>12.2</v>
      </c>
      <c r="S77" s="100" t="e">
        <f>ROUND(#REF!,1)</f>
        <v>#REF!</v>
      </c>
      <c r="U77" s="37"/>
      <c r="V77" s="37"/>
      <c r="W77" s="37"/>
      <c r="X77" s="37"/>
    </row>
    <row r="78" spans="1:24" ht="14.1" customHeight="1" x14ac:dyDescent="0.25">
      <c r="A78" s="68"/>
      <c r="B78" s="9"/>
      <c r="C78" s="15"/>
      <c r="D78" s="15"/>
      <c r="E78" s="9"/>
      <c r="F78" s="15"/>
      <c r="G78" s="15"/>
      <c r="H78" s="9"/>
      <c r="I78" s="15"/>
      <c r="J78" s="15"/>
      <c r="K78" s="9"/>
      <c r="L78" s="15"/>
      <c r="M78" s="15"/>
      <c r="O78" s="100">
        <f t="shared" si="26"/>
        <v>0</v>
      </c>
      <c r="P78" s="100">
        <f t="shared" si="27"/>
        <v>0</v>
      </c>
      <c r="Q78" s="100">
        <f t="shared" si="28"/>
        <v>0</v>
      </c>
      <c r="R78" s="100">
        <f t="shared" si="29"/>
        <v>0</v>
      </c>
      <c r="S78" s="100" t="e">
        <f>ROUND(#REF!,1)</f>
        <v>#REF!</v>
      </c>
      <c r="U78" s="37"/>
      <c r="V78" s="37"/>
      <c r="W78" s="37"/>
      <c r="X78" s="37"/>
    </row>
    <row r="79" spans="1:24" ht="14.1" customHeight="1" x14ac:dyDescent="0.25">
      <c r="A79" s="63" t="s">
        <v>55</v>
      </c>
      <c r="B79" s="9">
        <v>99056</v>
      </c>
      <c r="C79" s="15">
        <v>100</v>
      </c>
      <c r="D79" s="15"/>
      <c r="E79" s="9">
        <v>96558</v>
      </c>
      <c r="F79" s="15">
        <v>100</v>
      </c>
      <c r="G79" s="15"/>
      <c r="H79" s="9">
        <v>2001</v>
      </c>
      <c r="I79" s="15">
        <v>100</v>
      </c>
      <c r="J79" s="15"/>
      <c r="K79" s="9">
        <v>497</v>
      </c>
      <c r="L79" s="15">
        <v>100</v>
      </c>
      <c r="M79" s="15"/>
      <c r="O79" s="100">
        <f>SUM(O80:O87)</f>
        <v>100.1</v>
      </c>
      <c r="P79" s="100">
        <f t="shared" ref="P79:S79" si="30">SUM(P80:P87)</f>
        <v>100.1</v>
      </c>
      <c r="Q79" s="100">
        <f t="shared" si="30"/>
        <v>100.1</v>
      </c>
      <c r="R79" s="100">
        <f t="shared" si="30"/>
        <v>100.2</v>
      </c>
      <c r="S79" s="100" t="e">
        <f t="shared" si="30"/>
        <v>#REF!</v>
      </c>
      <c r="U79" s="37"/>
      <c r="V79" s="37"/>
      <c r="W79" s="37"/>
      <c r="X79" s="37"/>
    </row>
    <row r="80" spans="1:24" ht="14.1" customHeight="1" x14ac:dyDescent="0.25">
      <c r="A80" s="61" t="s">
        <v>40</v>
      </c>
      <c r="B80" s="6">
        <v>75248</v>
      </c>
      <c r="C80" s="5">
        <v>75.965110644483929</v>
      </c>
      <c r="D80" s="5"/>
      <c r="E80" s="6">
        <v>75063</v>
      </c>
      <c r="F80" s="5">
        <v>77.738768408624864</v>
      </c>
      <c r="G80" s="5"/>
      <c r="H80" s="6">
        <v>180</v>
      </c>
      <c r="I80" s="5">
        <v>8.995502248875562</v>
      </c>
      <c r="J80" s="5"/>
      <c r="K80" s="6">
        <v>5</v>
      </c>
      <c r="L80" s="5">
        <v>1.0060362173038229</v>
      </c>
      <c r="M80" s="5"/>
      <c r="O80" s="100">
        <f t="shared" ref="O80:O88" si="31">ROUND(C80,1)</f>
        <v>76</v>
      </c>
      <c r="P80" s="100">
        <f t="shared" ref="P80:P88" si="32">ROUND(F80,1)</f>
        <v>77.7</v>
      </c>
      <c r="Q80" s="100">
        <f t="shared" ref="Q80:Q88" si="33">ROUND(I80,1)</f>
        <v>9</v>
      </c>
      <c r="R80" s="100">
        <f t="shared" ref="R80:R88" si="34">ROUND(L80,1)</f>
        <v>1</v>
      </c>
      <c r="S80" s="100" t="e">
        <f>ROUND(#REF!,1)</f>
        <v>#REF!</v>
      </c>
      <c r="U80" s="37"/>
      <c r="V80" s="37"/>
      <c r="W80" s="37"/>
      <c r="X80" s="37"/>
    </row>
    <row r="81" spans="1:25" ht="14.1" customHeight="1" x14ac:dyDescent="0.25">
      <c r="A81" s="61" t="s">
        <v>41</v>
      </c>
      <c r="B81" s="6">
        <v>13486</v>
      </c>
      <c r="C81" s="5">
        <v>13.614521078985625</v>
      </c>
      <c r="D81" s="5"/>
      <c r="E81" s="6">
        <v>11763</v>
      </c>
      <c r="F81" s="5">
        <v>12.182315292363139</v>
      </c>
      <c r="G81" s="5"/>
      <c r="H81" s="6">
        <v>1302</v>
      </c>
      <c r="I81" s="5">
        <v>65.067466266866575</v>
      </c>
      <c r="J81" s="5"/>
      <c r="K81" s="6">
        <v>421</v>
      </c>
      <c r="L81" s="5">
        <v>84.808249496981887</v>
      </c>
      <c r="M81" s="5"/>
      <c r="O81" s="100">
        <f t="shared" si="31"/>
        <v>13.6</v>
      </c>
      <c r="P81" s="100">
        <f t="shared" si="32"/>
        <v>12.2</v>
      </c>
      <c r="Q81" s="100">
        <f t="shared" si="33"/>
        <v>65.099999999999994</v>
      </c>
      <c r="R81" s="100">
        <f t="shared" si="34"/>
        <v>84.8</v>
      </c>
      <c r="S81" s="100" t="e">
        <f>ROUND(#REF!,1)</f>
        <v>#REF!</v>
      </c>
      <c r="U81" s="37"/>
      <c r="V81" s="37"/>
      <c r="W81" s="37"/>
      <c r="X81" s="37"/>
    </row>
    <row r="82" spans="1:25" ht="14.1" customHeight="1" x14ac:dyDescent="0.25">
      <c r="A82" s="61" t="s">
        <v>42</v>
      </c>
      <c r="B82" s="6">
        <v>339</v>
      </c>
      <c r="C82" s="5">
        <v>0.3422306574059118</v>
      </c>
      <c r="D82" s="5"/>
      <c r="E82" s="6">
        <v>332</v>
      </c>
      <c r="F82" s="5">
        <v>0.34383479359555913</v>
      </c>
      <c r="G82" s="5"/>
      <c r="H82" s="6">
        <v>6</v>
      </c>
      <c r="I82" s="5">
        <v>0.29985007496251875</v>
      </c>
      <c r="J82" s="5"/>
      <c r="K82" s="6">
        <v>1</v>
      </c>
      <c r="L82" s="5">
        <v>0.2012072434607646</v>
      </c>
      <c r="M82" s="5"/>
      <c r="O82" s="100">
        <f t="shared" si="31"/>
        <v>0.3</v>
      </c>
      <c r="P82" s="100">
        <f t="shared" si="32"/>
        <v>0.3</v>
      </c>
      <c r="Q82" s="100">
        <f t="shared" si="33"/>
        <v>0.3</v>
      </c>
      <c r="R82" s="100">
        <f t="shared" si="34"/>
        <v>0.2</v>
      </c>
      <c r="S82" s="100" t="e">
        <f>ROUND(#REF!,1)</f>
        <v>#REF!</v>
      </c>
      <c r="U82" s="37"/>
      <c r="V82" s="37"/>
      <c r="W82" s="37"/>
      <c r="X82" s="37"/>
    </row>
    <row r="83" spans="1:25" ht="14.1" customHeight="1" x14ac:dyDescent="0.25">
      <c r="A83" s="61" t="s">
        <v>43</v>
      </c>
      <c r="B83" s="6">
        <v>1178</v>
      </c>
      <c r="C83" s="5">
        <v>1.1892262962364724</v>
      </c>
      <c r="D83" s="5"/>
      <c r="E83" s="6">
        <v>1024</v>
      </c>
      <c r="F83" s="5">
        <v>1.0605024959091944</v>
      </c>
      <c r="G83" s="5"/>
      <c r="H83" s="6">
        <v>130</v>
      </c>
      <c r="I83" s="5">
        <v>6.4967516241879064</v>
      </c>
      <c r="J83" s="5"/>
      <c r="K83" s="6">
        <v>24</v>
      </c>
      <c r="L83" s="5">
        <v>4.8289738430583498</v>
      </c>
      <c r="M83" s="5"/>
      <c r="O83" s="100">
        <f t="shared" si="31"/>
        <v>1.2</v>
      </c>
      <c r="P83" s="100">
        <f t="shared" si="32"/>
        <v>1.1000000000000001</v>
      </c>
      <c r="Q83" s="100">
        <f t="shared" si="33"/>
        <v>6.5</v>
      </c>
      <c r="R83" s="100">
        <f t="shared" si="34"/>
        <v>4.8</v>
      </c>
      <c r="S83" s="100" t="e">
        <f>ROUND(#REF!,1)</f>
        <v>#REF!</v>
      </c>
      <c r="U83" s="37"/>
      <c r="V83" s="37"/>
      <c r="W83" s="37"/>
      <c r="X83" s="37"/>
    </row>
    <row r="84" spans="1:25" ht="14.1" customHeight="1" x14ac:dyDescent="0.25">
      <c r="A84" s="61" t="s">
        <v>44</v>
      </c>
      <c r="B84" s="6">
        <v>7105</v>
      </c>
      <c r="C84" s="5">
        <v>7.1727103860442583</v>
      </c>
      <c r="D84" s="5"/>
      <c r="E84" s="6">
        <v>6747</v>
      </c>
      <c r="F84" s="5">
        <v>6.9875100975579443</v>
      </c>
      <c r="G84" s="5"/>
      <c r="H84" s="6">
        <v>333</v>
      </c>
      <c r="I84" s="5">
        <v>16.641679160419791</v>
      </c>
      <c r="J84" s="5"/>
      <c r="K84" s="6">
        <v>25</v>
      </c>
      <c r="L84" s="5">
        <v>5.0301810865191152</v>
      </c>
      <c r="M84" s="5"/>
      <c r="O84" s="100">
        <f t="shared" si="31"/>
        <v>7.2</v>
      </c>
      <c r="P84" s="100">
        <f t="shared" si="32"/>
        <v>7</v>
      </c>
      <c r="Q84" s="100">
        <f t="shared" si="33"/>
        <v>16.600000000000001</v>
      </c>
      <c r="R84" s="100">
        <f t="shared" si="34"/>
        <v>5</v>
      </c>
      <c r="S84" s="100" t="e">
        <f>ROUND(#REF!,1)</f>
        <v>#REF!</v>
      </c>
      <c r="U84" s="37"/>
      <c r="V84" s="37"/>
      <c r="W84" s="37"/>
      <c r="X84" s="37"/>
    </row>
    <row r="85" spans="1:25" ht="14.1" customHeight="1" x14ac:dyDescent="0.25">
      <c r="A85" s="61" t="s">
        <v>45</v>
      </c>
      <c r="B85" s="6">
        <v>1013</v>
      </c>
      <c r="C85" s="5">
        <v>1.0226538523663382</v>
      </c>
      <c r="D85" s="5"/>
      <c r="E85" s="6">
        <v>995</v>
      </c>
      <c r="F85" s="5">
        <v>1.0304687338180161</v>
      </c>
      <c r="G85" s="5"/>
      <c r="H85" s="6">
        <v>14</v>
      </c>
      <c r="I85" s="5">
        <v>0.69965017491254378</v>
      </c>
      <c r="J85" s="5"/>
      <c r="K85" s="6">
        <v>4</v>
      </c>
      <c r="L85" s="5">
        <v>0.8048289738430584</v>
      </c>
      <c r="M85" s="5"/>
      <c r="O85" s="100">
        <f t="shared" si="31"/>
        <v>1</v>
      </c>
      <c r="P85" s="100">
        <f t="shared" si="32"/>
        <v>1</v>
      </c>
      <c r="Q85" s="100">
        <f t="shared" si="33"/>
        <v>0.7</v>
      </c>
      <c r="R85" s="100">
        <f t="shared" si="34"/>
        <v>0.8</v>
      </c>
      <c r="S85" s="100" t="e">
        <f>ROUND(#REF!,1)</f>
        <v>#REF!</v>
      </c>
      <c r="U85" s="37"/>
      <c r="V85" s="37"/>
      <c r="W85" s="37"/>
      <c r="X85" s="37"/>
    </row>
    <row r="86" spans="1:25" hidden="1" x14ac:dyDescent="0.25">
      <c r="A86" s="61" t="s">
        <v>46</v>
      </c>
      <c r="B86" s="6">
        <v>75</v>
      </c>
      <c r="C86" s="5">
        <v>7.5714747213697309E-2</v>
      </c>
      <c r="D86" s="5"/>
      <c r="E86" s="6">
        <v>71</v>
      </c>
      <c r="F86" s="5">
        <v>7.3530934774953913E-2</v>
      </c>
      <c r="G86" s="5"/>
      <c r="H86" s="6">
        <v>3</v>
      </c>
      <c r="I86" s="5">
        <v>0.14992503748125938</v>
      </c>
      <c r="J86" s="5"/>
      <c r="K86" s="6">
        <v>1</v>
      </c>
      <c r="L86" s="5">
        <v>0.2012072434607646</v>
      </c>
      <c r="M86" s="5"/>
      <c r="O86" s="100">
        <f t="shared" si="31"/>
        <v>0.1</v>
      </c>
      <c r="P86" s="100">
        <f t="shared" si="32"/>
        <v>0.1</v>
      </c>
      <c r="Q86" s="100">
        <f t="shared" si="33"/>
        <v>0.1</v>
      </c>
      <c r="R86" s="100">
        <f t="shared" si="34"/>
        <v>0.2</v>
      </c>
      <c r="S86" s="100" t="e">
        <f>ROUND(#REF!,1)</f>
        <v>#REF!</v>
      </c>
      <c r="U86" s="37"/>
      <c r="V86" s="37"/>
      <c r="W86" s="37"/>
      <c r="X86" s="37"/>
    </row>
    <row r="87" spans="1:25" ht="14.1" customHeight="1" x14ac:dyDescent="0.25">
      <c r="A87" s="61" t="s">
        <v>47</v>
      </c>
      <c r="B87" s="6">
        <v>687</v>
      </c>
      <c r="C87" s="5">
        <v>0.69354708447746727</v>
      </c>
      <c r="D87" s="5"/>
      <c r="E87" s="6">
        <v>634</v>
      </c>
      <c r="F87" s="5">
        <v>0.65660017813127858</v>
      </c>
      <c r="G87" s="5"/>
      <c r="H87" s="6">
        <v>36</v>
      </c>
      <c r="I87" s="5">
        <v>1.7991004497751124</v>
      </c>
      <c r="J87" s="5"/>
      <c r="K87" s="6">
        <v>17</v>
      </c>
      <c r="L87" s="5">
        <v>3.4205231388329982</v>
      </c>
      <c r="M87" s="5"/>
      <c r="O87" s="100">
        <f t="shared" si="31"/>
        <v>0.7</v>
      </c>
      <c r="P87" s="100">
        <f t="shared" si="32"/>
        <v>0.7</v>
      </c>
      <c r="Q87" s="100">
        <f t="shared" si="33"/>
        <v>1.8</v>
      </c>
      <c r="R87" s="100">
        <f t="shared" si="34"/>
        <v>3.4</v>
      </c>
      <c r="S87" s="100" t="e">
        <f>ROUND(#REF!,1)</f>
        <v>#REF!</v>
      </c>
      <c r="U87" s="37"/>
      <c r="V87" s="37"/>
      <c r="W87" s="37"/>
      <c r="X87" s="37"/>
    </row>
    <row r="88" spans="1:25" ht="14.1" customHeight="1" x14ac:dyDescent="0.25">
      <c r="A88" s="68"/>
      <c r="B88" s="9"/>
      <c r="C88" s="15"/>
      <c r="D88" s="15"/>
      <c r="E88" s="9"/>
      <c r="F88" s="15"/>
      <c r="G88" s="15"/>
      <c r="H88" s="9"/>
      <c r="I88" s="15"/>
      <c r="J88" s="15"/>
      <c r="K88" s="9"/>
      <c r="L88" s="15"/>
      <c r="M88" s="15"/>
      <c r="O88" s="100">
        <f t="shared" si="31"/>
        <v>0</v>
      </c>
      <c r="P88" s="100">
        <f t="shared" si="32"/>
        <v>0</v>
      </c>
      <c r="Q88" s="100">
        <f t="shared" si="33"/>
        <v>0</v>
      </c>
      <c r="R88" s="100">
        <f t="shared" si="34"/>
        <v>0</v>
      </c>
      <c r="S88" s="100" t="e">
        <f>ROUND(#REF!,1)</f>
        <v>#REF!</v>
      </c>
      <c r="U88" s="37"/>
      <c r="V88" s="37"/>
      <c r="W88" s="37"/>
      <c r="X88" s="37"/>
    </row>
    <row r="89" spans="1:25" ht="14.1" customHeight="1" x14ac:dyDescent="0.25">
      <c r="A89" s="63" t="s">
        <v>17</v>
      </c>
      <c r="B89" s="9">
        <v>113842</v>
      </c>
      <c r="C89" s="15">
        <v>100</v>
      </c>
      <c r="D89" s="15"/>
      <c r="E89" s="9">
        <v>112340</v>
      </c>
      <c r="F89" s="15">
        <v>100</v>
      </c>
      <c r="G89" s="15"/>
      <c r="H89" s="9">
        <v>1343</v>
      </c>
      <c r="I89" s="15">
        <v>100</v>
      </c>
      <c r="J89" s="15"/>
      <c r="K89" s="9">
        <v>159</v>
      </c>
      <c r="L89" s="15">
        <v>100</v>
      </c>
      <c r="M89" s="15"/>
      <c r="O89" s="100">
        <f>SUM(O90:O98)</f>
        <v>100.09999999999998</v>
      </c>
      <c r="P89" s="100">
        <f t="shared" ref="P89:S89" si="35">SUM(P90:P98)</f>
        <v>100.09999999999998</v>
      </c>
      <c r="Q89" s="100">
        <f t="shared" si="35"/>
        <v>100.79999999999998</v>
      </c>
      <c r="R89" s="100" t="e">
        <f t="shared" si="35"/>
        <v>#VALUE!</v>
      </c>
      <c r="S89" s="100" t="e">
        <f t="shared" si="35"/>
        <v>#REF!</v>
      </c>
      <c r="U89" s="37"/>
      <c r="V89" s="37"/>
      <c r="W89" s="37"/>
      <c r="X89" s="120"/>
      <c r="Y89" s="119"/>
    </row>
    <row r="90" spans="1:25" ht="14.1" customHeight="1" x14ac:dyDescent="0.25">
      <c r="A90" s="61" t="s">
        <v>40</v>
      </c>
      <c r="B90" s="6">
        <v>90694</v>
      </c>
      <c r="C90" s="5">
        <v>79.566555401345738</v>
      </c>
      <c r="D90" s="5"/>
      <c r="E90" s="6">
        <v>90463</v>
      </c>
      <c r="F90" s="5">
        <v>80.52608153818764</v>
      </c>
      <c r="G90" s="5"/>
      <c r="H90" s="6">
        <v>223</v>
      </c>
      <c r="I90" s="5">
        <v>16.604616530156367</v>
      </c>
      <c r="J90" s="5"/>
      <c r="K90" s="6">
        <v>8</v>
      </c>
      <c r="L90" s="5">
        <v>5.0314465408805038</v>
      </c>
      <c r="M90" s="5"/>
      <c r="O90" s="100">
        <f t="shared" ref="O90:O98" si="36">ROUND(C90,1)</f>
        <v>79.599999999999994</v>
      </c>
      <c r="P90" s="100">
        <f t="shared" ref="P90:P98" si="37">ROUND(F90,1)</f>
        <v>80.5</v>
      </c>
      <c r="Q90" s="100">
        <f t="shared" ref="Q90:Q98" si="38">ROUND(I90,1)</f>
        <v>16.600000000000001</v>
      </c>
      <c r="R90" s="100">
        <f t="shared" ref="R90:R98" si="39">ROUND(L90,1)</f>
        <v>5</v>
      </c>
      <c r="S90" s="100" t="e">
        <f>ROUND(#REF!,1)</f>
        <v>#REF!</v>
      </c>
      <c r="U90" s="37"/>
      <c r="V90" s="37"/>
      <c r="W90" s="37"/>
      <c r="X90" s="37"/>
    </row>
    <row r="91" spans="1:25" ht="14.1" customHeight="1" x14ac:dyDescent="0.25">
      <c r="A91" s="61" t="s">
        <v>41</v>
      </c>
      <c r="B91" s="6">
        <v>6449</v>
      </c>
      <c r="C91" s="5">
        <v>5.6648688533230267</v>
      </c>
      <c r="D91" s="5"/>
      <c r="E91" s="6">
        <v>5994</v>
      </c>
      <c r="F91" s="5">
        <v>5.3355883923802745</v>
      </c>
      <c r="G91" s="5"/>
      <c r="H91" s="6">
        <v>389</v>
      </c>
      <c r="I91" s="5">
        <v>28.965003723008191</v>
      </c>
      <c r="J91" s="5"/>
      <c r="K91" s="6">
        <v>66</v>
      </c>
      <c r="L91" s="5">
        <v>41.609433962264156</v>
      </c>
      <c r="M91" s="5"/>
      <c r="O91" s="100">
        <f t="shared" si="36"/>
        <v>5.7</v>
      </c>
      <c r="P91" s="100">
        <f t="shared" si="37"/>
        <v>5.3</v>
      </c>
      <c r="Q91" s="100">
        <f t="shared" si="38"/>
        <v>29</v>
      </c>
      <c r="R91" s="100">
        <f t="shared" si="39"/>
        <v>41.6</v>
      </c>
      <c r="S91" s="100" t="e">
        <f>ROUND(#REF!,1)</f>
        <v>#REF!</v>
      </c>
      <c r="U91" s="37"/>
      <c r="V91" s="37"/>
      <c r="W91" s="37"/>
      <c r="X91" s="37"/>
    </row>
    <row r="92" spans="1:25" ht="14.1" customHeight="1" x14ac:dyDescent="0.25">
      <c r="A92" s="61" t="s">
        <v>42</v>
      </c>
      <c r="B92" s="6">
        <v>128</v>
      </c>
      <c r="C92" s="5">
        <v>0.11243653484654169</v>
      </c>
      <c r="D92" s="5"/>
      <c r="E92" s="6">
        <v>123</v>
      </c>
      <c r="F92" s="5">
        <v>0.10948905109489052</v>
      </c>
      <c r="G92" s="5"/>
      <c r="H92" s="6">
        <v>5</v>
      </c>
      <c r="I92" s="5">
        <v>0.37230081906180196</v>
      </c>
      <c r="J92" s="5"/>
      <c r="K92" s="89" t="s">
        <v>96</v>
      </c>
      <c r="L92" s="89" t="s">
        <v>96</v>
      </c>
      <c r="M92" s="5"/>
      <c r="O92" s="100">
        <f t="shared" si="36"/>
        <v>0.1</v>
      </c>
      <c r="P92" s="100">
        <f t="shared" si="37"/>
        <v>0.1</v>
      </c>
      <c r="Q92" s="100">
        <f t="shared" si="38"/>
        <v>0.4</v>
      </c>
      <c r="R92" s="100" t="e">
        <f t="shared" si="39"/>
        <v>#VALUE!</v>
      </c>
      <c r="S92" s="100" t="e">
        <f>ROUND(#REF!,1)</f>
        <v>#REF!</v>
      </c>
      <c r="U92" s="37"/>
      <c r="V92" s="37"/>
      <c r="W92" s="37"/>
      <c r="X92" s="120"/>
    </row>
    <row r="93" spans="1:25" ht="14.1" customHeight="1" x14ac:dyDescent="0.25">
      <c r="A93" s="61" t="s">
        <v>43</v>
      </c>
      <c r="B93" s="6">
        <v>3935</v>
      </c>
      <c r="C93" s="5">
        <v>3.4565450361026686</v>
      </c>
      <c r="D93" s="5"/>
      <c r="E93" s="6">
        <v>3664</v>
      </c>
      <c r="F93" s="5">
        <v>3.2615275057860069</v>
      </c>
      <c r="G93" s="5"/>
      <c r="H93" s="6">
        <v>243</v>
      </c>
      <c r="I93" s="5">
        <v>18.093819806403573</v>
      </c>
      <c r="J93" s="5"/>
      <c r="K93" s="6">
        <v>28</v>
      </c>
      <c r="L93" s="5">
        <v>17.610062893081761</v>
      </c>
      <c r="M93" s="5"/>
      <c r="O93" s="100">
        <f t="shared" si="36"/>
        <v>3.5</v>
      </c>
      <c r="P93" s="100">
        <f t="shared" si="37"/>
        <v>3.3</v>
      </c>
      <c r="Q93" s="100">
        <f t="shared" si="38"/>
        <v>18.100000000000001</v>
      </c>
      <c r="R93" s="100">
        <f t="shared" si="39"/>
        <v>17.600000000000001</v>
      </c>
      <c r="S93" s="100" t="e">
        <f>ROUND(#REF!,1)</f>
        <v>#REF!</v>
      </c>
      <c r="U93" s="37"/>
      <c r="V93" s="37"/>
      <c r="W93" s="37"/>
      <c r="X93" s="37"/>
    </row>
    <row r="94" spans="1:25" ht="14.1" customHeight="1" x14ac:dyDescent="0.25">
      <c r="A94" s="61" t="s">
        <v>44</v>
      </c>
      <c r="B94" s="6">
        <v>9404</v>
      </c>
      <c r="C94" s="5">
        <v>8.1605716695068615</v>
      </c>
      <c r="D94" s="5"/>
      <c r="E94" s="6">
        <v>8937</v>
      </c>
      <c r="F94" s="5">
        <v>7.9553142246750932</v>
      </c>
      <c r="G94" s="5"/>
      <c r="H94" s="6">
        <v>425</v>
      </c>
      <c r="I94" s="5">
        <v>31.645569620253166</v>
      </c>
      <c r="J94" s="5"/>
      <c r="K94" s="6">
        <v>42</v>
      </c>
      <c r="L94" s="5">
        <v>26.415094339622641</v>
      </c>
      <c r="M94" s="5"/>
      <c r="O94" s="100">
        <f t="shared" si="36"/>
        <v>8.1999999999999993</v>
      </c>
      <c r="P94" s="100">
        <f t="shared" si="37"/>
        <v>8</v>
      </c>
      <c r="Q94" s="100">
        <f t="shared" si="38"/>
        <v>31.6</v>
      </c>
      <c r="R94" s="100">
        <f t="shared" si="39"/>
        <v>26.4</v>
      </c>
      <c r="S94" s="100" t="e">
        <f>ROUND(#REF!,1)</f>
        <v>#REF!</v>
      </c>
      <c r="U94" s="37"/>
      <c r="V94" s="37"/>
      <c r="W94" s="37"/>
      <c r="X94" s="37"/>
    </row>
    <row r="95" spans="1:25" ht="14.1" customHeight="1" x14ac:dyDescent="0.25">
      <c r="A95" s="61" t="s">
        <v>45</v>
      </c>
      <c r="B95" s="6">
        <v>2372</v>
      </c>
      <c r="C95" s="5">
        <v>2.0835895363749759</v>
      </c>
      <c r="D95" s="5"/>
      <c r="E95" s="6">
        <v>2350</v>
      </c>
      <c r="F95" s="5">
        <v>2.091863984333274</v>
      </c>
      <c r="G95" s="5"/>
      <c r="H95" s="6">
        <v>18</v>
      </c>
      <c r="I95" s="5">
        <v>1.340282948622487</v>
      </c>
      <c r="J95" s="5"/>
      <c r="K95" s="6">
        <v>4</v>
      </c>
      <c r="L95" s="5">
        <v>2.5157232704402519</v>
      </c>
      <c r="M95" s="5"/>
      <c r="O95" s="100">
        <f t="shared" si="36"/>
        <v>2.1</v>
      </c>
      <c r="P95" s="100">
        <f t="shared" si="37"/>
        <v>2.1</v>
      </c>
      <c r="Q95" s="100">
        <f t="shared" si="38"/>
        <v>1.3</v>
      </c>
      <c r="R95" s="100">
        <f t="shared" si="39"/>
        <v>2.5</v>
      </c>
      <c r="S95" s="100" t="e">
        <f>ROUND(#REF!,1)</f>
        <v>#REF!</v>
      </c>
      <c r="U95" s="37"/>
      <c r="V95" s="37"/>
      <c r="W95" s="37"/>
      <c r="X95" s="37"/>
    </row>
    <row r="96" spans="1:25" hidden="1" x14ac:dyDescent="0.25">
      <c r="A96" s="61" t="s">
        <v>46</v>
      </c>
      <c r="B96" s="6">
        <v>146</v>
      </c>
      <c r="C96" s="5">
        <v>0.12824792255933662</v>
      </c>
      <c r="D96" s="5"/>
      <c r="E96" s="6">
        <v>129</v>
      </c>
      <c r="F96" s="5">
        <v>0.11482998041659248</v>
      </c>
      <c r="G96" s="5"/>
      <c r="H96" s="6">
        <v>11</v>
      </c>
      <c r="I96" s="5">
        <v>0.81906180193596423</v>
      </c>
      <c r="J96" s="5"/>
      <c r="K96" s="6">
        <v>6</v>
      </c>
      <c r="L96" s="5">
        <v>3.7735849056603774</v>
      </c>
      <c r="M96" s="5"/>
      <c r="O96" s="100">
        <f t="shared" si="36"/>
        <v>0.1</v>
      </c>
      <c r="P96" s="100">
        <f t="shared" si="37"/>
        <v>0.1</v>
      </c>
      <c r="Q96" s="100">
        <f t="shared" si="38"/>
        <v>0.8</v>
      </c>
      <c r="R96" s="100">
        <f t="shared" si="39"/>
        <v>3.8</v>
      </c>
      <c r="S96" s="100" t="e">
        <f>ROUND(#REF!,1)</f>
        <v>#REF!</v>
      </c>
      <c r="U96" s="37"/>
      <c r="V96" s="37"/>
      <c r="W96" s="37"/>
      <c r="X96" s="37"/>
    </row>
    <row r="97" spans="1:24" ht="14.1" customHeight="1" x14ac:dyDescent="0.25">
      <c r="A97" s="61" t="s">
        <v>47</v>
      </c>
      <c r="B97" s="6">
        <v>860</v>
      </c>
      <c r="C97" s="5">
        <v>0.75543296850020203</v>
      </c>
      <c r="D97" s="5"/>
      <c r="E97" s="6">
        <v>809</v>
      </c>
      <c r="F97" s="5">
        <v>0.72013530354281641</v>
      </c>
      <c r="G97" s="5"/>
      <c r="H97" s="6">
        <v>40</v>
      </c>
      <c r="I97" s="5">
        <v>2.9784065524944157</v>
      </c>
      <c r="J97" s="5"/>
      <c r="K97" s="6">
        <v>11</v>
      </c>
      <c r="L97" s="5">
        <v>6.9182389937106921</v>
      </c>
      <c r="M97" s="5"/>
      <c r="O97" s="100">
        <f t="shared" si="36"/>
        <v>0.8</v>
      </c>
      <c r="P97" s="100">
        <f t="shared" si="37"/>
        <v>0.7</v>
      </c>
      <c r="Q97" s="100">
        <f t="shared" si="38"/>
        <v>3</v>
      </c>
      <c r="R97" s="100">
        <f t="shared" si="39"/>
        <v>6.9</v>
      </c>
      <c r="S97" s="100" t="e">
        <f>ROUND(#REF!,1)</f>
        <v>#REF!</v>
      </c>
      <c r="U97" s="37"/>
      <c r="V97" s="37"/>
      <c r="W97" s="37"/>
      <c r="X97" s="37"/>
    </row>
    <row r="98" spans="1:24" ht="14.1" customHeight="1" x14ac:dyDescent="0.25">
      <c r="A98" s="68"/>
      <c r="B98" s="9"/>
      <c r="C98" s="15"/>
      <c r="D98" s="15"/>
      <c r="E98" s="9"/>
      <c r="F98" s="15"/>
      <c r="G98" s="15"/>
      <c r="H98" s="9"/>
      <c r="I98" s="15"/>
      <c r="J98" s="15"/>
      <c r="K98" s="9"/>
      <c r="L98" s="15"/>
      <c r="M98" s="15"/>
      <c r="O98" s="100">
        <f t="shared" si="36"/>
        <v>0</v>
      </c>
      <c r="P98" s="100">
        <f t="shared" si="37"/>
        <v>0</v>
      </c>
      <c r="Q98" s="100">
        <f t="shared" si="38"/>
        <v>0</v>
      </c>
      <c r="R98" s="100">
        <f t="shared" si="39"/>
        <v>0</v>
      </c>
      <c r="S98" s="100" t="e">
        <f>ROUND(#REF!,1)</f>
        <v>#REF!</v>
      </c>
      <c r="U98" s="37"/>
      <c r="V98" s="37"/>
      <c r="W98" s="37"/>
      <c r="X98" s="37"/>
    </row>
    <row r="99" spans="1:24" ht="14.1" customHeight="1" x14ac:dyDescent="0.25">
      <c r="A99" s="63" t="s">
        <v>16</v>
      </c>
      <c r="B99" s="9">
        <v>15502</v>
      </c>
      <c r="C99" s="15">
        <v>100</v>
      </c>
      <c r="D99" s="15"/>
      <c r="E99" s="9">
        <v>15360</v>
      </c>
      <c r="F99" s="15">
        <v>100</v>
      </c>
      <c r="G99" s="15"/>
      <c r="H99" s="95">
        <v>134</v>
      </c>
      <c r="I99" s="95">
        <v>100</v>
      </c>
      <c r="J99" s="96"/>
      <c r="K99" s="9">
        <v>8</v>
      </c>
      <c r="L99" s="15">
        <v>100</v>
      </c>
      <c r="M99" s="15"/>
      <c r="O99" s="100">
        <f>SUM(O100:O107)</f>
        <v>100.09999999999998</v>
      </c>
      <c r="P99" s="100">
        <f t="shared" ref="P99:S99" si="40">SUM(P100:P107)</f>
        <v>100.1</v>
      </c>
      <c r="Q99" s="100">
        <f t="shared" si="40"/>
        <v>99.800000000000011</v>
      </c>
      <c r="R99" s="100" t="e">
        <f t="shared" si="40"/>
        <v>#VALUE!</v>
      </c>
      <c r="S99" s="100" t="e">
        <f t="shared" si="40"/>
        <v>#REF!</v>
      </c>
      <c r="U99" s="37"/>
      <c r="V99" s="37"/>
      <c r="W99" s="37"/>
      <c r="X99" s="37"/>
    </row>
    <row r="100" spans="1:24" ht="14.1" customHeight="1" x14ac:dyDescent="0.25">
      <c r="A100" s="61" t="s">
        <v>40</v>
      </c>
      <c r="B100" s="6">
        <v>11788</v>
      </c>
      <c r="C100" s="5">
        <v>76.141801057927992</v>
      </c>
      <c r="D100" s="5"/>
      <c r="E100" s="6">
        <v>11761</v>
      </c>
      <c r="F100" s="5">
        <v>76.469010416666677</v>
      </c>
      <c r="G100" s="5"/>
      <c r="H100" s="95">
        <v>27</v>
      </c>
      <c r="I100" s="96">
        <v>20.149253731343283</v>
      </c>
      <c r="J100" s="5"/>
      <c r="K100" s="3" t="s">
        <v>96</v>
      </c>
      <c r="L100" s="3" t="s">
        <v>96</v>
      </c>
      <c r="M100" s="5"/>
      <c r="O100" s="100">
        <f t="shared" ref="O100:O108" si="41">ROUND(C100,1)</f>
        <v>76.099999999999994</v>
      </c>
      <c r="P100" s="100">
        <f t="shared" ref="P100:P108" si="42">ROUND(F100,1)</f>
        <v>76.5</v>
      </c>
      <c r="Q100" s="100">
        <f t="shared" ref="Q100:Q108" si="43">ROUND(I100,1)</f>
        <v>20.100000000000001</v>
      </c>
      <c r="R100" s="100" t="e">
        <f t="shared" ref="R100:R108" si="44">ROUND(L100,1)</f>
        <v>#VALUE!</v>
      </c>
      <c r="S100" s="100" t="e">
        <f>ROUND(#REF!,1)</f>
        <v>#REF!</v>
      </c>
      <c r="U100" s="37"/>
      <c r="V100" s="37"/>
      <c r="W100" s="37"/>
      <c r="X100" s="37"/>
    </row>
    <row r="101" spans="1:24" ht="14.1" customHeight="1" x14ac:dyDescent="0.25">
      <c r="A101" s="61" t="s">
        <v>41</v>
      </c>
      <c r="B101" s="6">
        <v>1286</v>
      </c>
      <c r="C101" s="5">
        <v>8.2957037801573978</v>
      </c>
      <c r="D101" s="5"/>
      <c r="E101" s="6">
        <v>1240</v>
      </c>
      <c r="F101" s="5">
        <v>8.0729166666666679</v>
      </c>
      <c r="G101" s="5"/>
      <c r="H101" s="95">
        <v>42</v>
      </c>
      <c r="I101" s="96">
        <v>31.343283582089555</v>
      </c>
      <c r="J101" s="5"/>
      <c r="K101" s="3">
        <v>4</v>
      </c>
      <c r="L101" s="16">
        <v>50</v>
      </c>
      <c r="M101" s="5"/>
      <c r="O101" s="100">
        <f t="shared" si="41"/>
        <v>8.3000000000000007</v>
      </c>
      <c r="P101" s="100">
        <f t="shared" si="42"/>
        <v>8.1</v>
      </c>
      <c r="Q101" s="100">
        <f t="shared" si="43"/>
        <v>31.3</v>
      </c>
      <c r="R101" s="100">
        <f t="shared" si="44"/>
        <v>50</v>
      </c>
      <c r="S101" s="100" t="e">
        <f>ROUND(#REF!,1)</f>
        <v>#REF!</v>
      </c>
      <c r="U101" s="37"/>
      <c r="V101" s="37"/>
      <c r="W101" s="37"/>
      <c r="X101" s="37"/>
    </row>
    <row r="102" spans="1:24" ht="14.1" customHeight="1" x14ac:dyDescent="0.25">
      <c r="A102" s="61" t="s">
        <v>42</v>
      </c>
      <c r="B102" s="6">
        <v>15</v>
      </c>
      <c r="C102" s="5">
        <v>9.6761708166688179E-2</v>
      </c>
      <c r="D102" s="5"/>
      <c r="E102" s="6">
        <v>14</v>
      </c>
      <c r="F102" s="5">
        <v>9.1145833333333329E-2</v>
      </c>
      <c r="G102" s="5"/>
      <c r="H102" s="95">
        <v>1</v>
      </c>
      <c r="I102" s="96">
        <v>0.74626865671641784</v>
      </c>
      <c r="J102" s="5"/>
      <c r="K102" s="3" t="s">
        <v>96</v>
      </c>
      <c r="L102" s="3" t="s">
        <v>96</v>
      </c>
      <c r="M102" s="5"/>
      <c r="O102" s="100">
        <f t="shared" si="41"/>
        <v>0.1</v>
      </c>
      <c r="P102" s="100">
        <f t="shared" si="42"/>
        <v>0.1</v>
      </c>
      <c r="Q102" s="100">
        <f t="shared" si="43"/>
        <v>0.7</v>
      </c>
      <c r="R102" s="100" t="e">
        <f t="shared" si="44"/>
        <v>#VALUE!</v>
      </c>
      <c r="S102" s="100" t="e">
        <f>ROUND(#REF!,1)</f>
        <v>#REF!</v>
      </c>
      <c r="U102" s="37"/>
      <c r="V102" s="37"/>
      <c r="W102" s="37"/>
      <c r="X102" s="37"/>
    </row>
    <row r="103" spans="1:24" ht="14.1" customHeight="1" x14ac:dyDescent="0.25">
      <c r="A103" s="61" t="s">
        <v>43</v>
      </c>
      <c r="B103" s="6">
        <v>205</v>
      </c>
      <c r="C103" s="5">
        <v>1.322410011611405</v>
      </c>
      <c r="D103" s="5"/>
      <c r="E103" s="6">
        <v>184</v>
      </c>
      <c r="F103" s="5">
        <v>1.1979166666666667</v>
      </c>
      <c r="G103" s="5"/>
      <c r="H103" s="95">
        <v>18</v>
      </c>
      <c r="I103" s="96">
        <v>13.432835820895523</v>
      </c>
      <c r="J103" s="5"/>
      <c r="K103" s="3">
        <v>3</v>
      </c>
      <c r="L103" s="16">
        <v>37.5</v>
      </c>
      <c r="M103" s="5"/>
      <c r="O103" s="100">
        <f t="shared" si="41"/>
        <v>1.3</v>
      </c>
      <c r="P103" s="100">
        <f t="shared" si="42"/>
        <v>1.2</v>
      </c>
      <c r="Q103" s="100">
        <f t="shared" si="43"/>
        <v>13.4</v>
      </c>
      <c r="R103" s="100">
        <f t="shared" si="44"/>
        <v>37.5</v>
      </c>
      <c r="S103" s="100" t="e">
        <f>ROUND(#REF!,1)</f>
        <v>#REF!</v>
      </c>
      <c r="U103" s="37"/>
      <c r="V103" s="37"/>
      <c r="W103" s="37"/>
      <c r="X103" s="37"/>
    </row>
    <row r="104" spans="1:24" ht="14.1" customHeight="1" x14ac:dyDescent="0.25">
      <c r="A104" s="61" t="s">
        <v>44</v>
      </c>
      <c r="B104" s="6">
        <v>759</v>
      </c>
      <c r="C104" s="5">
        <v>4.896142433234421</v>
      </c>
      <c r="D104" s="5"/>
      <c r="E104" s="6">
        <v>718</v>
      </c>
      <c r="F104" s="5">
        <v>4.674479166666667</v>
      </c>
      <c r="G104" s="5"/>
      <c r="H104" s="95">
        <v>40</v>
      </c>
      <c r="I104" s="96">
        <v>29.850746268656714</v>
      </c>
      <c r="J104" s="5"/>
      <c r="K104" s="3">
        <v>1</v>
      </c>
      <c r="L104" s="16">
        <v>12.5</v>
      </c>
      <c r="M104" s="5"/>
      <c r="O104" s="100">
        <f t="shared" si="41"/>
        <v>4.9000000000000004</v>
      </c>
      <c r="P104" s="100">
        <f t="shared" si="42"/>
        <v>4.7</v>
      </c>
      <c r="Q104" s="100">
        <f t="shared" si="43"/>
        <v>29.9</v>
      </c>
      <c r="R104" s="100">
        <f t="shared" si="44"/>
        <v>12.5</v>
      </c>
      <c r="S104" s="100" t="e">
        <f>ROUND(#REF!,1)</f>
        <v>#REF!</v>
      </c>
      <c r="U104" s="37"/>
      <c r="V104" s="37"/>
      <c r="W104" s="37"/>
      <c r="X104" s="37"/>
    </row>
    <row r="105" spans="1:24" x14ac:dyDescent="0.25">
      <c r="A105" s="61" t="s">
        <v>45</v>
      </c>
      <c r="B105" s="6">
        <v>1103</v>
      </c>
      <c r="C105" s="5">
        <v>7.1152109405238031</v>
      </c>
      <c r="D105" s="5"/>
      <c r="E105" s="6">
        <v>1100</v>
      </c>
      <c r="F105" s="5">
        <v>7.161458333333333</v>
      </c>
      <c r="G105" s="5"/>
      <c r="H105" s="95">
        <v>3</v>
      </c>
      <c r="I105" s="96">
        <v>2.2388059701492535</v>
      </c>
      <c r="J105" s="5"/>
      <c r="K105" s="3" t="s">
        <v>96</v>
      </c>
      <c r="L105" s="3" t="s">
        <v>96</v>
      </c>
      <c r="M105" s="5"/>
      <c r="O105" s="100">
        <f t="shared" si="41"/>
        <v>7.1</v>
      </c>
      <c r="P105" s="100">
        <f t="shared" si="42"/>
        <v>7.2</v>
      </c>
      <c r="Q105" s="100">
        <f t="shared" si="43"/>
        <v>2.2000000000000002</v>
      </c>
      <c r="R105" s="100" t="e">
        <f t="shared" si="44"/>
        <v>#VALUE!</v>
      </c>
      <c r="S105" s="100" t="e">
        <f>ROUND(#REF!,1)</f>
        <v>#REF!</v>
      </c>
      <c r="U105" s="37"/>
      <c r="V105" s="37"/>
      <c r="W105" s="37"/>
      <c r="X105" s="37"/>
    </row>
    <row r="106" spans="1:24" hidden="1" x14ac:dyDescent="0.25">
      <c r="A106" s="61" t="s">
        <v>46</v>
      </c>
      <c r="B106" s="6">
        <v>14</v>
      </c>
      <c r="C106" s="5">
        <v>9.0310927622242285E-2</v>
      </c>
      <c r="D106" s="5"/>
      <c r="E106" s="6">
        <v>14</v>
      </c>
      <c r="F106" s="5">
        <v>9.1145833333333329E-2</v>
      </c>
      <c r="G106" s="5"/>
      <c r="H106" s="95">
        <v>0</v>
      </c>
      <c r="I106" s="96">
        <v>0</v>
      </c>
      <c r="J106" s="5"/>
      <c r="K106" s="3" t="s">
        <v>96</v>
      </c>
      <c r="L106" s="3" t="s">
        <v>96</v>
      </c>
      <c r="M106" s="5"/>
      <c r="O106" s="100">
        <f t="shared" si="41"/>
        <v>0.1</v>
      </c>
      <c r="P106" s="100">
        <f t="shared" si="42"/>
        <v>0.1</v>
      </c>
      <c r="Q106" s="100">
        <f t="shared" si="43"/>
        <v>0</v>
      </c>
      <c r="R106" s="100" t="e">
        <f t="shared" si="44"/>
        <v>#VALUE!</v>
      </c>
      <c r="S106" s="100" t="e">
        <f>ROUND(#REF!,1)</f>
        <v>#REF!</v>
      </c>
      <c r="U106" s="37"/>
      <c r="V106" s="37"/>
      <c r="W106" s="37"/>
      <c r="X106" s="37"/>
    </row>
    <row r="107" spans="1:24" ht="14.1" customHeight="1" x14ac:dyDescent="0.25">
      <c r="A107" s="61" t="s">
        <v>47</v>
      </c>
      <c r="B107" s="6">
        <v>346</v>
      </c>
      <c r="C107" s="5">
        <v>2.2319700683782737</v>
      </c>
      <c r="D107" s="5"/>
      <c r="E107" s="6">
        <v>343</v>
      </c>
      <c r="F107" s="5">
        <v>2.233072916666667</v>
      </c>
      <c r="G107" s="5"/>
      <c r="H107" s="95">
        <v>3</v>
      </c>
      <c r="I107" s="96">
        <v>2.2388059701492535</v>
      </c>
      <c r="J107" s="5"/>
      <c r="K107" s="3" t="s">
        <v>96</v>
      </c>
      <c r="L107" s="3" t="s">
        <v>96</v>
      </c>
      <c r="M107" s="5"/>
      <c r="O107" s="100">
        <f t="shared" si="41"/>
        <v>2.2000000000000002</v>
      </c>
      <c r="P107" s="100">
        <f t="shared" si="42"/>
        <v>2.2000000000000002</v>
      </c>
      <c r="Q107" s="100">
        <f t="shared" si="43"/>
        <v>2.2000000000000002</v>
      </c>
      <c r="R107" s="100" t="e">
        <f t="shared" si="44"/>
        <v>#VALUE!</v>
      </c>
      <c r="S107" s="100" t="e">
        <f>ROUND(#REF!,1)</f>
        <v>#REF!</v>
      </c>
      <c r="U107" s="37"/>
      <c r="V107" s="37"/>
      <c r="W107" s="37"/>
      <c r="X107" s="37"/>
    </row>
    <row r="108" spans="1:24" ht="14.1" customHeight="1" x14ac:dyDescent="0.25">
      <c r="A108" s="61"/>
      <c r="B108" s="6"/>
      <c r="C108" s="5"/>
      <c r="D108" s="5"/>
      <c r="E108" s="6"/>
      <c r="F108" s="5"/>
      <c r="G108" s="5"/>
      <c r="H108" s="6"/>
      <c r="I108" s="5"/>
      <c r="J108" s="5"/>
      <c r="K108" s="6"/>
      <c r="L108" s="5"/>
      <c r="M108" s="5"/>
      <c r="O108" s="100">
        <f t="shared" si="41"/>
        <v>0</v>
      </c>
      <c r="P108" s="100">
        <f t="shared" si="42"/>
        <v>0</v>
      </c>
      <c r="Q108" s="100">
        <f t="shared" si="43"/>
        <v>0</v>
      </c>
      <c r="R108" s="100">
        <f t="shared" si="44"/>
        <v>0</v>
      </c>
      <c r="S108" s="100" t="e">
        <f>ROUND(#REF!,1)</f>
        <v>#REF!</v>
      </c>
      <c r="U108" s="37"/>
      <c r="V108" s="37"/>
      <c r="W108" s="37"/>
      <c r="X108" s="37"/>
    </row>
    <row r="109" spans="1:24" ht="14.1" customHeight="1" x14ac:dyDescent="0.25">
      <c r="A109" s="63" t="s">
        <v>15</v>
      </c>
      <c r="B109" s="9">
        <v>47651</v>
      </c>
      <c r="C109" s="15">
        <v>100</v>
      </c>
      <c r="D109" s="15"/>
      <c r="E109" s="9">
        <v>46841</v>
      </c>
      <c r="F109" s="15">
        <v>100</v>
      </c>
      <c r="G109" s="15"/>
      <c r="H109" s="9">
        <v>736</v>
      </c>
      <c r="I109" s="15">
        <v>100</v>
      </c>
      <c r="J109" s="15"/>
      <c r="K109" s="9">
        <v>74</v>
      </c>
      <c r="L109" s="15">
        <v>100</v>
      </c>
      <c r="M109" s="15"/>
      <c r="O109" s="100">
        <f>SUM(O110:O117)</f>
        <v>100.10000000000001</v>
      </c>
      <c r="P109" s="100">
        <f t="shared" ref="P109:S109" si="45">SUM(P110:P117)</f>
        <v>100.09999999999998</v>
      </c>
      <c r="Q109" s="100">
        <f t="shared" si="45"/>
        <v>100.7</v>
      </c>
      <c r="R109" s="100">
        <f t="shared" si="45"/>
        <v>102.70000000000002</v>
      </c>
      <c r="S109" s="100" t="e">
        <f t="shared" si="45"/>
        <v>#REF!</v>
      </c>
      <c r="U109" s="37"/>
      <c r="V109" s="37"/>
      <c r="W109" s="37"/>
      <c r="X109" s="37"/>
    </row>
    <row r="110" spans="1:24" ht="14.1" customHeight="1" x14ac:dyDescent="0.25">
      <c r="A110" s="61" t="s">
        <v>40</v>
      </c>
      <c r="B110" s="6">
        <v>36519</v>
      </c>
      <c r="C110" s="5">
        <v>76.738475582883879</v>
      </c>
      <c r="D110" s="5"/>
      <c r="E110" s="6">
        <v>36378</v>
      </c>
      <c r="F110" s="5">
        <v>77.662731367818793</v>
      </c>
      <c r="G110" s="5"/>
      <c r="H110" s="6">
        <v>140</v>
      </c>
      <c r="I110" s="5">
        <v>19.021739130434785</v>
      </c>
      <c r="J110" s="5"/>
      <c r="K110" s="6">
        <v>1</v>
      </c>
      <c r="L110" s="5">
        <v>1.3513513513513513</v>
      </c>
      <c r="M110" s="5"/>
      <c r="O110" s="100">
        <f t="shared" ref="O110:O118" si="46">ROUND(C110,1)</f>
        <v>76.7</v>
      </c>
      <c r="P110" s="100">
        <f t="shared" ref="P110:P118" si="47">ROUND(F110,1)</f>
        <v>77.7</v>
      </c>
      <c r="Q110" s="100">
        <f t="shared" ref="Q110:Q118" si="48">ROUND(I110,1)</f>
        <v>19</v>
      </c>
      <c r="R110" s="100">
        <f t="shared" ref="R110:R118" si="49">ROUND(L110,1)</f>
        <v>1.4</v>
      </c>
      <c r="S110" s="100" t="e">
        <f>ROUND(#REF!,1)</f>
        <v>#REF!</v>
      </c>
      <c r="U110" s="37"/>
      <c r="V110" s="37"/>
      <c r="W110" s="37"/>
      <c r="X110" s="37"/>
    </row>
    <row r="111" spans="1:24" ht="14.1" customHeight="1" x14ac:dyDescent="0.25">
      <c r="A111" s="61" t="s">
        <v>41</v>
      </c>
      <c r="B111" s="6">
        <v>2417</v>
      </c>
      <c r="C111" s="5">
        <v>5.0722964890558435</v>
      </c>
      <c r="D111" s="5"/>
      <c r="E111" s="6">
        <v>2234</v>
      </c>
      <c r="F111" s="5">
        <v>4.7693260178049144</v>
      </c>
      <c r="G111" s="5"/>
      <c r="H111" s="6">
        <v>160</v>
      </c>
      <c r="I111" s="5">
        <v>21.739130434782609</v>
      </c>
      <c r="J111" s="5"/>
      <c r="K111" s="6">
        <v>23</v>
      </c>
      <c r="L111" s="5">
        <v>30.981081081081079</v>
      </c>
      <c r="M111" s="5"/>
      <c r="O111" s="100">
        <f t="shared" si="46"/>
        <v>5.0999999999999996</v>
      </c>
      <c r="P111" s="100">
        <f t="shared" si="47"/>
        <v>4.8</v>
      </c>
      <c r="Q111" s="100">
        <f t="shared" si="48"/>
        <v>21.7</v>
      </c>
      <c r="R111" s="100">
        <f t="shared" si="49"/>
        <v>31</v>
      </c>
      <c r="S111" s="100" t="e">
        <f>ROUND(#REF!,1)</f>
        <v>#REF!</v>
      </c>
      <c r="U111" s="37"/>
      <c r="V111" s="37"/>
      <c r="W111" s="37"/>
      <c r="X111" s="37"/>
    </row>
    <row r="112" spans="1:24" ht="14.1" customHeight="1" x14ac:dyDescent="0.25">
      <c r="A112" s="61" t="s">
        <v>42</v>
      </c>
      <c r="B112" s="6">
        <v>75</v>
      </c>
      <c r="C112" s="5">
        <v>0.15739438836540681</v>
      </c>
      <c r="D112" s="5"/>
      <c r="E112" s="6">
        <v>70</v>
      </c>
      <c r="F112" s="5">
        <v>0.14944172840033304</v>
      </c>
      <c r="G112" s="5"/>
      <c r="H112" s="6">
        <v>2</v>
      </c>
      <c r="I112" s="5">
        <v>0.27173913043478259</v>
      </c>
      <c r="J112" s="5"/>
      <c r="K112" s="6">
        <v>3</v>
      </c>
      <c r="L112" s="5">
        <v>4.0540540540540544</v>
      </c>
      <c r="M112" s="5"/>
      <c r="O112" s="100">
        <f t="shared" si="46"/>
        <v>0.2</v>
      </c>
      <c r="P112" s="100">
        <f t="shared" si="47"/>
        <v>0.1</v>
      </c>
      <c r="Q112" s="100">
        <f t="shared" si="48"/>
        <v>0.3</v>
      </c>
      <c r="R112" s="100">
        <f t="shared" si="49"/>
        <v>4.0999999999999996</v>
      </c>
      <c r="S112" s="100" t="e">
        <f>ROUND(#REF!,1)</f>
        <v>#REF!</v>
      </c>
      <c r="U112" s="37"/>
      <c r="V112" s="37"/>
      <c r="W112" s="37"/>
      <c r="X112" s="37"/>
    </row>
    <row r="113" spans="1:24" ht="14.1" customHeight="1" x14ac:dyDescent="0.25">
      <c r="A113" s="61" t="s">
        <v>43</v>
      </c>
      <c r="B113" s="6">
        <v>1862</v>
      </c>
      <c r="C113" s="5">
        <v>3.9075780151518331</v>
      </c>
      <c r="D113" s="5"/>
      <c r="E113" s="6">
        <v>1717</v>
      </c>
      <c r="F113" s="5">
        <v>3.6655921094767403</v>
      </c>
      <c r="G113" s="5"/>
      <c r="H113" s="6">
        <v>127</v>
      </c>
      <c r="I113" s="5">
        <v>17.255434782608695</v>
      </c>
      <c r="J113" s="5"/>
      <c r="K113" s="6">
        <v>18</v>
      </c>
      <c r="L113" s="5">
        <v>24.224324324324325</v>
      </c>
      <c r="M113" s="5"/>
      <c r="O113" s="100">
        <f t="shared" si="46"/>
        <v>3.9</v>
      </c>
      <c r="P113" s="100">
        <f t="shared" si="47"/>
        <v>3.7</v>
      </c>
      <c r="Q113" s="100">
        <f t="shared" si="48"/>
        <v>17.3</v>
      </c>
      <c r="R113" s="100">
        <f t="shared" si="49"/>
        <v>24.2</v>
      </c>
      <c r="S113" s="100" t="e">
        <f>ROUND(#REF!,1)</f>
        <v>#REF!</v>
      </c>
      <c r="U113" s="37"/>
      <c r="V113" s="37"/>
      <c r="W113" s="37"/>
      <c r="X113" s="37"/>
    </row>
    <row r="114" spans="1:24" ht="14.1" customHeight="1" x14ac:dyDescent="0.25">
      <c r="A114" s="61" t="s">
        <v>44</v>
      </c>
      <c r="B114" s="6">
        <v>4259</v>
      </c>
      <c r="C114" s="5">
        <v>8.9379026673102349</v>
      </c>
      <c r="D114" s="5"/>
      <c r="E114" s="6">
        <v>4000</v>
      </c>
      <c r="F114" s="5">
        <v>8.5395273371618874</v>
      </c>
      <c r="G114" s="5"/>
      <c r="H114" s="6">
        <v>240</v>
      </c>
      <c r="I114" s="5">
        <v>32.608695652173914</v>
      </c>
      <c r="J114" s="5"/>
      <c r="K114" s="6">
        <v>19</v>
      </c>
      <c r="L114" s="5">
        <v>25.675675675675674</v>
      </c>
      <c r="M114" s="5"/>
      <c r="O114" s="100">
        <f t="shared" si="46"/>
        <v>8.9</v>
      </c>
      <c r="P114" s="100">
        <f t="shared" si="47"/>
        <v>8.5</v>
      </c>
      <c r="Q114" s="100">
        <f t="shared" si="48"/>
        <v>32.6</v>
      </c>
      <c r="R114" s="100">
        <f t="shared" si="49"/>
        <v>25.7</v>
      </c>
      <c r="S114" s="100" t="e">
        <f>ROUND(#REF!,1)</f>
        <v>#REF!</v>
      </c>
      <c r="U114" s="37"/>
      <c r="V114" s="37"/>
      <c r="W114" s="37"/>
      <c r="X114" s="37"/>
    </row>
    <row r="115" spans="1:24" ht="14.1" customHeight="1" x14ac:dyDescent="0.25">
      <c r="A115" s="61" t="s">
        <v>45</v>
      </c>
      <c r="B115" s="6">
        <v>1210</v>
      </c>
      <c r="C115" s="5">
        <v>2.5392961322952301</v>
      </c>
      <c r="D115" s="5"/>
      <c r="E115" s="6">
        <v>1205</v>
      </c>
      <c r="F115" s="5">
        <v>2.5725326103200188</v>
      </c>
      <c r="G115" s="5"/>
      <c r="H115" s="6">
        <v>4</v>
      </c>
      <c r="I115" s="5">
        <v>0.54347826086956519</v>
      </c>
      <c r="J115" s="5"/>
      <c r="K115" s="6">
        <v>1</v>
      </c>
      <c r="L115" s="5">
        <v>1.3513513513513513</v>
      </c>
      <c r="M115" s="5"/>
      <c r="O115" s="100">
        <f t="shared" si="46"/>
        <v>2.5</v>
      </c>
      <c r="P115" s="100">
        <f t="shared" si="47"/>
        <v>2.6</v>
      </c>
      <c r="Q115" s="100">
        <f t="shared" si="48"/>
        <v>0.5</v>
      </c>
      <c r="R115" s="100">
        <f t="shared" si="49"/>
        <v>1.4</v>
      </c>
      <c r="S115" s="100" t="e">
        <f>ROUND(#REF!,1)</f>
        <v>#REF!</v>
      </c>
      <c r="U115" s="37"/>
      <c r="V115" s="37"/>
      <c r="W115" s="37"/>
      <c r="X115" s="37"/>
    </row>
    <row r="116" spans="1:24" hidden="1" x14ac:dyDescent="0.25">
      <c r="A116" s="61" t="s">
        <v>46</v>
      </c>
      <c r="B116" s="6">
        <v>64</v>
      </c>
      <c r="C116" s="5">
        <v>0.13430987807181383</v>
      </c>
      <c r="D116" s="5"/>
      <c r="E116" s="6">
        <v>57</v>
      </c>
      <c r="F116" s="5">
        <v>0.12168826455455692</v>
      </c>
      <c r="G116" s="5"/>
      <c r="H116" s="6">
        <v>5</v>
      </c>
      <c r="I116" s="5">
        <v>0.67934782608695654</v>
      </c>
      <c r="J116" s="5"/>
      <c r="K116" s="6">
        <v>2</v>
      </c>
      <c r="L116" s="5">
        <v>2.7027027027027026</v>
      </c>
      <c r="M116" s="5"/>
      <c r="O116" s="100">
        <f t="shared" si="46"/>
        <v>0.1</v>
      </c>
      <c r="P116" s="100">
        <f t="shared" si="47"/>
        <v>0.1</v>
      </c>
      <c r="Q116" s="100">
        <f t="shared" si="48"/>
        <v>0.7</v>
      </c>
      <c r="R116" s="100">
        <f t="shared" si="49"/>
        <v>2.7</v>
      </c>
      <c r="S116" s="100" t="e">
        <f>ROUND(#REF!,1)</f>
        <v>#REF!</v>
      </c>
      <c r="U116" s="37"/>
      <c r="V116" s="37"/>
      <c r="W116" s="37"/>
      <c r="X116" s="37"/>
    </row>
    <row r="117" spans="1:24" ht="14.1" customHeight="1" x14ac:dyDescent="0.25">
      <c r="A117" s="61" t="s">
        <v>47</v>
      </c>
      <c r="B117" s="6">
        <v>1309</v>
      </c>
      <c r="C117" s="5">
        <v>2.747056724937567</v>
      </c>
      <c r="D117" s="5"/>
      <c r="E117" s="6">
        <v>1237</v>
      </c>
      <c r="F117" s="5">
        <v>2.6408488290173135</v>
      </c>
      <c r="G117" s="5"/>
      <c r="H117" s="6">
        <v>63</v>
      </c>
      <c r="I117" s="5">
        <v>8.5597826086956523</v>
      </c>
      <c r="J117" s="5"/>
      <c r="K117" s="6">
        <v>9</v>
      </c>
      <c r="L117" s="5">
        <v>12.162162162162161</v>
      </c>
      <c r="M117" s="5"/>
      <c r="O117" s="100">
        <f t="shared" si="46"/>
        <v>2.7</v>
      </c>
      <c r="P117" s="100">
        <f t="shared" si="47"/>
        <v>2.6</v>
      </c>
      <c r="Q117" s="100">
        <f t="shared" si="48"/>
        <v>8.6</v>
      </c>
      <c r="R117" s="100">
        <f t="shared" si="49"/>
        <v>12.2</v>
      </c>
      <c r="S117" s="100" t="e">
        <f>ROUND(#REF!,1)</f>
        <v>#REF!</v>
      </c>
      <c r="U117" s="37"/>
      <c r="V117" s="37"/>
      <c r="W117" s="37"/>
      <c r="X117" s="37"/>
    </row>
    <row r="118" spans="1:24" ht="14.1" customHeight="1" x14ac:dyDescent="0.25">
      <c r="A118" s="68"/>
      <c r="B118" s="9"/>
      <c r="C118" s="15"/>
      <c r="D118" s="15"/>
      <c r="E118" s="9"/>
      <c r="F118" s="15"/>
      <c r="G118" s="15"/>
      <c r="H118" s="9"/>
      <c r="I118" s="15"/>
      <c r="J118" s="15"/>
      <c r="K118" s="9"/>
      <c r="L118" s="15"/>
      <c r="M118" s="15"/>
      <c r="O118" s="100">
        <f t="shared" si="46"/>
        <v>0</v>
      </c>
      <c r="P118" s="100">
        <f t="shared" si="47"/>
        <v>0</v>
      </c>
      <c r="Q118" s="100">
        <f t="shared" si="48"/>
        <v>0</v>
      </c>
      <c r="R118" s="100">
        <f t="shared" si="49"/>
        <v>0</v>
      </c>
      <c r="S118" s="100" t="e">
        <f>ROUND(#REF!,1)</f>
        <v>#REF!</v>
      </c>
      <c r="U118" s="37"/>
      <c r="V118" s="37"/>
      <c r="W118" s="37"/>
      <c r="X118" s="37"/>
    </row>
    <row r="119" spans="1:24" ht="14.1" customHeight="1" x14ac:dyDescent="0.25">
      <c r="A119" s="63" t="s">
        <v>14</v>
      </c>
      <c r="B119" s="9">
        <v>75127</v>
      </c>
      <c r="C119" s="15">
        <v>100</v>
      </c>
      <c r="D119" s="15"/>
      <c r="E119" s="9">
        <v>73473</v>
      </c>
      <c r="F119" s="15">
        <v>100</v>
      </c>
      <c r="G119" s="15"/>
      <c r="H119" s="9">
        <v>20000</v>
      </c>
      <c r="I119" s="15">
        <v>100</v>
      </c>
      <c r="J119" s="15"/>
      <c r="K119" s="9">
        <v>220</v>
      </c>
      <c r="L119" s="15">
        <v>100</v>
      </c>
      <c r="M119" s="15"/>
      <c r="O119" s="100">
        <f>SUM(O120:O127)</f>
        <v>100.1</v>
      </c>
      <c r="P119" s="100">
        <f t="shared" ref="P119:S119" si="50">SUM(P120:P127)</f>
        <v>100.09999999999998</v>
      </c>
      <c r="Q119" s="100">
        <f t="shared" si="50"/>
        <v>100.30000000000001</v>
      </c>
      <c r="R119" s="100" t="e">
        <f t="shared" si="50"/>
        <v>#VALUE!</v>
      </c>
      <c r="S119" s="100" t="e">
        <f t="shared" si="50"/>
        <v>#REF!</v>
      </c>
      <c r="U119" s="37"/>
      <c r="V119" s="37"/>
      <c r="W119" s="37"/>
      <c r="X119" s="37"/>
    </row>
    <row r="120" spans="1:24" ht="14.1" customHeight="1" x14ac:dyDescent="0.25">
      <c r="A120" s="61" t="s">
        <v>40</v>
      </c>
      <c r="B120" s="6">
        <v>59414</v>
      </c>
      <c r="C120" s="5">
        <v>79.084749823631981</v>
      </c>
      <c r="D120" s="5"/>
      <c r="E120" s="6">
        <v>59142</v>
      </c>
      <c r="F120" s="5">
        <v>80.594875668612957</v>
      </c>
      <c r="G120" s="5"/>
      <c r="H120" s="6">
        <v>267</v>
      </c>
      <c r="I120" s="5">
        <v>18.619246861924683</v>
      </c>
      <c r="J120" s="5"/>
      <c r="K120" s="6">
        <v>5</v>
      </c>
      <c r="L120" s="5">
        <v>2.2727272727272729</v>
      </c>
      <c r="M120" s="5"/>
      <c r="O120" s="100">
        <f t="shared" ref="O120:O128" si="51">ROUND(C120,1)</f>
        <v>79.099999999999994</v>
      </c>
      <c r="P120" s="100">
        <f t="shared" ref="P120:P128" si="52">ROUND(F120,1)</f>
        <v>80.599999999999994</v>
      </c>
      <c r="Q120" s="100">
        <f t="shared" ref="Q120:Q128" si="53">ROUND(I120,1)</f>
        <v>18.600000000000001</v>
      </c>
      <c r="R120" s="100">
        <f t="shared" ref="R120:R128" si="54">ROUND(L120,1)</f>
        <v>2.2999999999999998</v>
      </c>
      <c r="S120" s="100" t="e">
        <f>ROUND(#REF!,1)</f>
        <v>#REF!</v>
      </c>
      <c r="U120" s="37"/>
      <c r="V120" s="37"/>
      <c r="W120" s="37"/>
      <c r="X120" s="37"/>
    </row>
    <row r="121" spans="1:24" ht="14.1" customHeight="1" x14ac:dyDescent="0.25">
      <c r="A121" s="61" t="s">
        <v>41</v>
      </c>
      <c r="B121" s="6">
        <v>6043</v>
      </c>
      <c r="C121" s="5">
        <v>8.0437126465851154</v>
      </c>
      <c r="D121" s="5"/>
      <c r="E121" s="6">
        <v>5388</v>
      </c>
      <c r="F121" s="5">
        <v>7.3333061124494714</v>
      </c>
      <c r="G121" s="5"/>
      <c r="H121" s="6">
        <v>507</v>
      </c>
      <c r="I121" s="5">
        <v>35.555648535564856</v>
      </c>
      <c r="J121" s="5"/>
      <c r="K121" s="6">
        <v>148</v>
      </c>
      <c r="L121" s="5">
        <v>67.172727272727272</v>
      </c>
      <c r="M121" s="5"/>
      <c r="O121" s="100">
        <f t="shared" si="51"/>
        <v>8</v>
      </c>
      <c r="P121" s="100">
        <f t="shared" si="52"/>
        <v>7.3</v>
      </c>
      <c r="Q121" s="100">
        <f t="shared" si="53"/>
        <v>35.6</v>
      </c>
      <c r="R121" s="100">
        <f t="shared" si="54"/>
        <v>67.2</v>
      </c>
      <c r="S121" s="100" t="e">
        <f>ROUND(#REF!,1)</f>
        <v>#REF!</v>
      </c>
      <c r="U121" s="37"/>
      <c r="V121" s="37"/>
      <c r="W121" s="37"/>
      <c r="X121" s="37"/>
    </row>
    <row r="122" spans="1:24" ht="14.1" customHeight="1" x14ac:dyDescent="0.25">
      <c r="A122" s="61" t="s">
        <v>42</v>
      </c>
      <c r="B122" s="6">
        <v>144</v>
      </c>
      <c r="C122" s="5">
        <v>0.19167542960586739</v>
      </c>
      <c r="D122" s="5"/>
      <c r="E122" s="6">
        <v>139</v>
      </c>
      <c r="F122" s="5">
        <v>0.18918514284158805</v>
      </c>
      <c r="G122" s="5"/>
      <c r="H122" s="6">
        <v>5</v>
      </c>
      <c r="I122" s="5">
        <v>2.5000000000000001E-4</v>
      </c>
      <c r="J122" s="5"/>
      <c r="K122" s="3" t="s">
        <v>96</v>
      </c>
      <c r="L122" s="3" t="s">
        <v>96</v>
      </c>
      <c r="M122" s="5"/>
      <c r="O122" s="100">
        <f t="shared" si="51"/>
        <v>0.2</v>
      </c>
      <c r="P122" s="100">
        <f t="shared" si="52"/>
        <v>0.2</v>
      </c>
      <c r="Q122" s="100">
        <f t="shared" si="53"/>
        <v>0</v>
      </c>
      <c r="R122" s="100" t="e">
        <f t="shared" si="54"/>
        <v>#VALUE!</v>
      </c>
      <c r="S122" s="100" t="e">
        <f>ROUND(#REF!,1)</f>
        <v>#REF!</v>
      </c>
      <c r="U122" s="37"/>
      <c r="V122" s="37"/>
      <c r="W122" s="37"/>
      <c r="X122" s="37"/>
    </row>
    <row r="123" spans="1:24" ht="14.1" customHeight="1" x14ac:dyDescent="0.25">
      <c r="A123" s="61" t="s">
        <v>43</v>
      </c>
      <c r="B123" s="6">
        <v>1432</v>
      </c>
      <c r="C123" s="5">
        <v>1.90610566108057</v>
      </c>
      <c r="D123" s="5"/>
      <c r="E123" s="6">
        <v>1281</v>
      </c>
      <c r="F123" s="5">
        <v>1.7434976113674412</v>
      </c>
      <c r="G123" s="5"/>
      <c r="H123" s="6">
        <v>135</v>
      </c>
      <c r="I123" s="5">
        <v>9.4142259414225933</v>
      </c>
      <c r="J123" s="5"/>
      <c r="K123" s="6">
        <v>16</v>
      </c>
      <c r="L123" s="5">
        <v>7.2727272727272725</v>
      </c>
      <c r="M123" s="5"/>
      <c r="O123" s="100">
        <f t="shared" si="51"/>
        <v>1.9</v>
      </c>
      <c r="P123" s="100">
        <f t="shared" si="52"/>
        <v>1.7</v>
      </c>
      <c r="Q123" s="100">
        <f t="shared" si="53"/>
        <v>9.4</v>
      </c>
      <c r="R123" s="100">
        <f t="shared" si="54"/>
        <v>7.3</v>
      </c>
      <c r="S123" s="100" t="e">
        <f>ROUND(#REF!,1)</f>
        <v>#REF!</v>
      </c>
      <c r="U123" s="37"/>
      <c r="V123" s="37"/>
      <c r="W123" s="37"/>
      <c r="X123" s="37"/>
    </row>
    <row r="124" spans="1:24" ht="14.1" customHeight="1" x14ac:dyDescent="0.25">
      <c r="A124" s="61" t="s">
        <v>44</v>
      </c>
      <c r="B124" s="6">
        <v>6655</v>
      </c>
      <c r="C124" s="5">
        <v>8.8583332224100513</v>
      </c>
      <c r="D124" s="5"/>
      <c r="E124" s="6">
        <v>6132</v>
      </c>
      <c r="F124" s="5">
        <v>8.3459229921195544</v>
      </c>
      <c r="G124" s="5"/>
      <c r="H124" s="6">
        <v>475</v>
      </c>
      <c r="I124" s="5">
        <v>33.22412831241283</v>
      </c>
      <c r="J124" s="5"/>
      <c r="K124" s="6">
        <v>48</v>
      </c>
      <c r="L124" s="5">
        <v>21.818181818181817</v>
      </c>
      <c r="M124" s="5"/>
      <c r="O124" s="100">
        <f t="shared" si="51"/>
        <v>8.9</v>
      </c>
      <c r="P124" s="100">
        <f t="shared" si="52"/>
        <v>8.3000000000000007</v>
      </c>
      <c r="Q124" s="100">
        <f t="shared" si="53"/>
        <v>33.200000000000003</v>
      </c>
      <c r="R124" s="100">
        <f t="shared" si="54"/>
        <v>21.8</v>
      </c>
      <c r="S124" s="100" t="e">
        <f>ROUND(#REF!,1)</f>
        <v>#REF!</v>
      </c>
      <c r="U124" s="37"/>
      <c r="V124" s="37"/>
      <c r="W124" s="37"/>
      <c r="X124" s="37"/>
    </row>
    <row r="125" spans="1:24" ht="14.1" customHeight="1" x14ac:dyDescent="0.25">
      <c r="A125" s="61" t="s">
        <v>45</v>
      </c>
      <c r="B125" s="6">
        <v>822</v>
      </c>
      <c r="C125" s="5">
        <v>1.0941472440001596</v>
      </c>
      <c r="D125" s="5"/>
      <c r="E125" s="6">
        <v>801</v>
      </c>
      <c r="F125" s="5">
        <v>1.0901963986770651</v>
      </c>
      <c r="G125" s="5"/>
      <c r="H125" s="6">
        <v>21</v>
      </c>
      <c r="I125" s="5">
        <v>1.4644351464435146</v>
      </c>
      <c r="J125" s="5"/>
      <c r="K125" s="89" t="s">
        <v>96</v>
      </c>
      <c r="L125" s="89" t="s">
        <v>96</v>
      </c>
      <c r="M125" s="5"/>
      <c r="O125" s="100">
        <f t="shared" si="51"/>
        <v>1.1000000000000001</v>
      </c>
      <c r="P125" s="100">
        <f t="shared" si="52"/>
        <v>1.1000000000000001</v>
      </c>
      <c r="Q125" s="100">
        <f t="shared" si="53"/>
        <v>1.5</v>
      </c>
      <c r="R125" s="100" t="e">
        <f t="shared" si="54"/>
        <v>#VALUE!</v>
      </c>
      <c r="S125" s="100" t="e">
        <f>ROUND(#REF!,1)</f>
        <v>#REF!</v>
      </c>
      <c r="U125" s="37"/>
      <c r="V125" s="37"/>
      <c r="W125" s="37"/>
      <c r="X125" s="37"/>
    </row>
    <row r="126" spans="1:24" hidden="1" x14ac:dyDescent="0.25">
      <c r="A126" s="61" t="s">
        <v>46</v>
      </c>
      <c r="B126" s="6">
        <v>88</v>
      </c>
      <c r="C126" s="5">
        <v>0.11713498475914119</v>
      </c>
      <c r="D126" s="5"/>
      <c r="E126" s="6">
        <v>83</v>
      </c>
      <c r="F126" s="5">
        <v>0.11296666802771085</v>
      </c>
      <c r="G126" s="5"/>
      <c r="H126" s="6">
        <v>4</v>
      </c>
      <c r="I126" s="5">
        <v>0.2789400278940028</v>
      </c>
      <c r="J126" s="5"/>
      <c r="K126" s="6">
        <v>1</v>
      </c>
      <c r="L126" s="5">
        <v>0.45454545454545453</v>
      </c>
      <c r="M126" s="5"/>
      <c r="O126" s="100">
        <f t="shared" si="51"/>
        <v>0.1</v>
      </c>
      <c r="P126" s="100">
        <f t="shared" si="52"/>
        <v>0.1</v>
      </c>
      <c r="Q126" s="100">
        <f t="shared" si="53"/>
        <v>0.3</v>
      </c>
      <c r="R126" s="100">
        <f t="shared" si="54"/>
        <v>0.5</v>
      </c>
      <c r="S126" s="100" t="e">
        <f>ROUND(#REF!,1)</f>
        <v>#REF!</v>
      </c>
      <c r="U126" s="37"/>
      <c r="V126" s="37"/>
      <c r="W126" s="37"/>
      <c r="X126" s="37"/>
    </row>
    <row r="127" spans="1:24" ht="14.1" customHeight="1" x14ac:dyDescent="0.25">
      <c r="A127" s="61" t="s">
        <v>47</v>
      </c>
      <c r="B127" s="6">
        <v>617</v>
      </c>
      <c r="C127" s="5">
        <v>0.8212759726862513</v>
      </c>
      <c r="D127" s="5"/>
      <c r="E127" s="6">
        <v>590</v>
      </c>
      <c r="F127" s="5">
        <v>0.80301607393192054</v>
      </c>
      <c r="G127" s="5"/>
      <c r="H127" s="6">
        <v>24</v>
      </c>
      <c r="I127" s="5">
        <v>1.6736401673640169</v>
      </c>
      <c r="J127" s="5"/>
      <c r="K127" s="6">
        <v>3</v>
      </c>
      <c r="L127" s="5">
        <v>1.3636363636363635</v>
      </c>
      <c r="M127" s="5"/>
      <c r="O127" s="100">
        <f t="shared" si="51"/>
        <v>0.8</v>
      </c>
      <c r="P127" s="100">
        <f t="shared" si="52"/>
        <v>0.8</v>
      </c>
      <c r="Q127" s="100">
        <f t="shared" si="53"/>
        <v>1.7</v>
      </c>
      <c r="R127" s="100">
        <f t="shared" si="54"/>
        <v>1.4</v>
      </c>
      <c r="S127" s="100" t="e">
        <f>ROUND(#REF!,1)</f>
        <v>#REF!</v>
      </c>
      <c r="U127" s="37"/>
      <c r="V127" s="37"/>
      <c r="W127" s="37"/>
      <c r="X127" s="37"/>
    </row>
    <row r="128" spans="1:24" ht="14.1" customHeight="1" x14ac:dyDescent="0.25">
      <c r="A128" s="68"/>
      <c r="B128" s="9"/>
      <c r="C128" s="15"/>
      <c r="D128" s="15"/>
      <c r="E128" s="9"/>
      <c r="F128" s="15"/>
      <c r="G128" s="15"/>
      <c r="H128" s="9"/>
      <c r="I128" s="15"/>
      <c r="J128" s="15"/>
      <c r="K128" s="9"/>
      <c r="L128" s="15"/>
      <c r="M128" s="15"/>
      <c r="O128" s="100">
        <f t="shared" si="51"/>
        <v>0</v>
      </c>
      <c r="P128" s="100">
        <f t="shared" si="52"/>
        <v>0</v>
      </c>
      <c r="Q128" s="100">
        <f t="shared" si="53"/>
        <v>0</v>
      </c>
      <c r="R128" s="100">
        <f t="shared" si="54"/>
        <v>0</v>
      </c>
      <c r="S128" s="100" t="e">
        <f>ROUND(#REF!,1)</f>
        <v>#REF!</v>
      </c>
      <c r="U128" s="37"/>
      <c r="V128" s="37"/>
      <c r="W128" s="37"/>
      <c r="X128" s="37"/>
    </row>
    <row r="129" spans="1:24" ht="14.1" customHeight="1" x14ac:dyDescent="0.25">
      <c r="A129" s="63" t="s">
        <v>13</v>
      </c>
      <c r="B129" s="9">
        <v>109358</v>
      </c>
      <c r="C129" s="15">
        <v>100</v>
      </c>
      <c r="D129" s="15"/>
      <c r="E129" s="9">
        <v>107818</v>
      </c>
      <c r="F129" s="15">
        <v>100</v>
      </c>
      <c r="G129" s="15"/>
      <c r="H129" s="9">
        <v>1345</v>
      </c>
      <c r="I129" s="15">
        <v>100</v>
      </c>
      <c r="J129" s="15"/>
      <c r="K129" s="9">
        <v>195</v>
      </c>
      <c r="L129" s="15">
        <v>100</v>
      </c>
      <c r="M129" s="15"/>
      <c r="O129" s="100">
        <f>SUM(O130:O137)</f>
        <v>100.30000000000001</v>
      </c>
      <c r="P129" s="100">
        <f t="shared" ref="P129:S129" si="55">SUM(P130:P137)</f>
        <v>100.2</v>
      </c>
      <c r="Q129" s="100">
        <f t="shared" si="55"/>
        <v>102.3</v>
      </c>
      <c r="R129" s="100" t="e">
        <f t="shared" si="55"/>
        <v>#VALUE!</v>
      </c>
      <c r="S129" s="100" t="e">
        <f t="shared" si="55"/>
        <v>#REF!</v>
      </c>
      <c r="U129" s="37"/>
      <c r="V129" s="37"/>
      <c r="W129" s="37"/>
      <c r="X129" s="37"/>
    </row>
    <row r="130" spans="1:24" ht="14.1" customHeight="1" x14ac:dyDescent="0.25">
      <c r="A130" s="61" t="s">
        <v>40</v>
      </c>
      <c r="B130" s="6">
        <v>85858</v>
      </c>
      <c r="C130" s="5">
        <v>78.510945701274721</v>
      </c>
      <c r="D130" s="5"/>
      <c r="E130" s="6">
        <v>85613</v>
      </c>
      <c r="F130" s="5">
        <v>79.505108608952114</v>
      </c>
      <c r="G130" s="5"/>
      <c r="H130" s="6">
        <v>238</v>
      </c>
      <c r="I130" s="5">
        <v>17.695167286245354</v>
      </c>
      <c r="J130" s="5"/>
      <c r="K130" s="6">
        <v>7</v>
      </c>
      <c r="L130" s="5">
        <v>3.5897435897435894</v>
      </c>
      <c r="M130" s="5"/>
      <c r="O130" s="100">
        <f t="shared" ref="O130:O138" si="56">ROUND(C130,1)</f>
        <v>78.5</v>
      </c>
      <c r="P130" s="100">
        <f t="shared" ref="P130:P138" si="57">ROUND(F130,1)</f>
        <v>79.5</v>
      </c>
      <c r="Q130" s="100">
        <f t="shared" ref="Q130:Q138" si="58">ROUND(I130,1)</f>
        <v>17.7</v>
      </c>
      <c r="R130" s="100">
        <f t="shared" ref="R130:R138" si="59">ROUND(L130,1)</f>
        <v>3.6</v>
      </c>
      <c r="S130" s="100" t="e">
        <f>ROUND(#REF!,1)</f>
        <v>#REF!</v>
      </c>
      <c r="U130" s="37"/>
      <c r="V130" s="37"/>
      <c r="W130" s="37"/>
      <c r="X130" s="37"/>
    </row>
    <row r="131" spans="1:24" ht="14.1" customHeight="1" x14ac:dyDescent="0.25">
      <c r="A131" s="61" t="s">
        <v>41</v>
      </c>
      <c r="B131" s="6">
        <v>9508</v>
      </c>
      <c r="C131" s="5">
        <v>8.6943799264800017</v>
      </c>
      <c r="D131" s="5"/>
      <c r="E131" s="6">
        <v>8961</v>
      </c>
      <c r="F131" s="5">
        <v>8.3112281808232389</v>
      </c>
      <c r="G131" s="5"/>
      <c r="H131" s="6">
        <v>453</v>
      </c>
      <c r="I131" s="5">
        <v>33.780297397769516</v>
      </c>
      <c r="J131" s="5"/>
      <c r="K131" s="6">
        <v>94</v>
      </c>
      <c r="L131" s="5">
        <v>48.205128205128204</v>
      </c>
      <c r="M131" s="5"/>
      <c r="O131" s="100">
        <f t="shared" si="56"/>
        <v>8.6999999999999993</v>
      </c>
      <c r="P131" s="100">
        <f t="shared" si="57"/>
        <v>8.3000000000000007</v>
      </c>
      <c r="Q131" s="100">
        <f t="shared" si="58"/>
        <v>33.799999999999997</v>
      </c>
      <c r="R131" s="100">
        <f t="shared" si="59"/>
        <v>48.2</v>
      </c>
      <c r="S131" s="100" t="e">
        <f>ROUND(#REF!,1)</f>
        <v>#REF!</v>
      </c>
      <c r="U131" s="37"/>
      <c r="V131" s="37"/>
      <c r="W131" s="37"/>
      <c r="X131" s="37"/>
    </row>
    <row r="132" spans="1:24" ht="14.1" customHeight="1" x14ac:dyDescent="0.25">
      <c r="A132" s="61" t="s">
        <v>42</v>
      </c>
      <c r="B132" s="6">
        <v>173</v>
      </c>
      <c r="C132" s="5">
        <v>0.15819601675231806</v>
      </c>
      <c r="D132" s="5"/>
      <c r="E132" s="6">
        <v>170</v>
      </c>
      <c r="F132" s="5">
        <v>0.15767311580626611</v>
      </c>
      <c r="G132" s="5"/>
      <c r="H132" s="6">
        <v>3</v>
      </c>
      <c r="I132" s="5">
        <v>0.22304832713754646</v>
      </c>
      <c r="J132" s="5"/>
      <c r="K132" s="3" t="s">
        <v>96</v>
      </c>
      <c r="L132" s="3" t="s">
        <v>96</v>
      </c>
      <c r="M132" s="5"/>
      <c r="O132" s="100">
        <f t="shared" si="56"/>
        <v>0.2</v>
      </c>
      <c r="P132" s="100">
        <f t="shared" si="57"/>
        <v>0.2</v>
      </c>
      <c r="Q132" s="100">
        <f t="shared" si="58"/>
        <v>0.2</v>
      </c>
      <c r="R132" s="100" t="e">
        <f t="shared" si="59"/>
        <v>#VALUE!</v>
      </c>
      <c r="S132" s="100" t="e">
        <f>ROUND(#REF!,1)</f>
        <v>#REF!</v>
      </c>
      <c r="U132" s="37"/>
      <c r="V132" s="37"/>
      <c r="W132" s="37"/>
      <c r="X132" s="37"/>
    </row>
    <row r="133" spans="1:24" ht="14.1" customHeight="1" x14ac:dyDescent="0.25">
      <c r="A133" s="61" t="s">
        <v>43</v>
      </c>
      <c r="B133" s="6">
        <v>2728</v>
      </c>
      <c r="C133" s="5">
        <v>2.4945591543371313</v>
      </c>
      <c r="D133" s="5"/>
      <c r="E133" s="6">
        <v>2523</v>
      </c>
      <c r="F133" s="5">
        <v>2.3400545363482905</v>
      </c>
      <c r="G133" s="5"/>
      <c r="H133" s="6">
        <v>183</v>
      </c>
      <c r="I133" s="5">
        <v>13.605947955390334</v>
      </c>
      <c r="J133" s="5"/>
      <c r="K133" s="6">
        <v>22</v>
      </c>
      <c r="L133" s="5">
        <v>11.282051282051283</v>
      </c>
      <c r="M133" s="5"/>
      <c r="O133" s="100">
        <f t="shared" si="56"/>
        <v>2.5</v>
      </c>
      <c r="P133" s="100">
        <f t="shared" si="57"/>
        <v>2.2999999999999998</v>
      </c>
      <c r="Q133" s="100">
        <f t="shared" si="58"/>
        <v>13.6</v>
      </c>
      <c r="R133" s="100">
        <f t="shared" si="59"/>
        <v>11.3</v>
      </c>
      <c r="S133" s="100" t="e">
        <f>ROUND(#REF!,1)</f>
        <v>#REF!</v>
      </c>
      <c r="U133" s="37"/>
      <c r="V133" s="37"/>
      <c r="W133" s="37"/>
      <c r="X133" s="37"/>
    </row>
    <row r="134" spans="1:24" ht="14.1" customHeight="1" x14ac:dyDescent="0.25">
      <c r="A134" s="61" t="s">
        <v>44</v>
      </c>
      <c r="B134" s="6">
        <v>7555</v>
      </c>
      <c r="C134" s="5">
        <v>6.908502350079555</v>
      </c>
      <c r="D134" s="5"/>
      <c r="E134" s="6">
        <v>7169</v>
      </c>
      <c r="F134" s="5">
        <v>6.6491680424418931</v>
      </c>
      <c r="G134" s="5"/>
      <c r="H134" s="6">
        <v>353</v>
      </c>
      <c r="I134" s="5">
        <v>26.245353159851305</v>
      </c>
      <c r="J134" s="5"/>
      <c r="K134" s="6">
        <v>33</v>
      </c>
      <c r="L134" s="5">
        <v>16.923076923076923</v>
      </c>
      <c r="M134" s="5"/>
      <c r="O134" s="100">
        <f t="shared" si="56"/>
        <v>6.9</v>
      </c>
      <c r="P134" s="100">
        <f t="shared" si="57"/>
        <v>6.6</v>
      </c>
      <c r="Q134" s="100">
        <f t="shared" si="58"/>
        <v>26.2</v>
      </c>
      <c r="R134" s="100">
        <f t="shared" si="59"/>
        <v>16.899999999999999</v>
      </c>
      <c r="S134" s="100" t="e">
        <f>ROUND(#REF!,1)</f>
        <v>#REF!</v>
      </c>
      <c r="U134" s="37"/>
      <c r="V134" s="37"/>
      <c r="W134" s="37"/>
      <c r="X134" s="37"/>
    </row>
    <row r="135" spans="1:24" ht="14.1" customHeight="1" x14ac:dyDescent="0.25">
      <c r="A135" s="61" t="s">
        <v>45</v>
      </c>
      <c r="B135" s="6">
        <v>1900</v>
      </c>
      <c r="C135" s="5">
        <v>1.7374129007480019</v>
      </c>
      <c r="D135" s="5"/>
      <c r="E135" s="6">
        <v>1858</v>
      </c>
      <c r="F135" s="5">
        <v>1.7232744068708381</v>
      </c>
      <c r="G135" s="5"/>
      <c r="H135" s="6">
        <v>27</v>
      </c>
      <c r="I135" s="5">
        <v>2.0074349442379185</v>
      </c>
      <c r="J135" s="5"/>
      <c r="K135" s="6">
        <v>15</v>
      </c>
      <c r="L135" s="5">
        <v>7.6923076923076925</v>
      </c>
      <c r="M135" s="5"/>
      <c r="O135" s="100">
        <f t="shared" si="56"/>
        <v>1.7</v>
      </c>
      <c r="P135" s="100">
        <f t="shared" si="57"/>
        <v>1.7</v>
      </c>
      <c r="Q135" s="100">
        <f t="shared" si="58"/>
        <v>2</v>
      </c>
      <c r="R135" s="100">
        <f t="shared" si="59"/>
        <v>7.7</v>
      </c>
      <c r="S135" s="100" t="e">
        <f>ROUND(#REF!,1)</f>
        <v>#REF!</v>
      </c>
      <c r="U135" s="37"/>
      <c r="V135" s="37"/>
      <c r="W135" s="37"/>
      <c r="X135" s="37"/>
    </row>
    <row r="136" spans="1:24" hidden="1" x14ac:dyDescent="0.25">
      <c r="A136" s="61" t="s">
        <v>46</v>
      </c>
      <c r="B136" s="6">
        <v>295</v>
      </c>
      <c r="C136" s="5">
        <v>0.26975621353718976</v>
      </c>
      <c r="D136" s="5"/>
      <c r="E136" s="6">
        <v>250</v>
      </c>
      <c r="F136" s="5">
        <v>0.23187222912686195</v>
      </c>
      <c r="G136" s="5"/>
      <c r="H136" s="6">
        <v>31</v>
      </c>
      <c r="I136" s="5">
        <v>2.3048327137546467</v>
      </c>
      <c r="J136" s="5"/>
      <c r="K136" s="6">
        <v>14</v>
      </c>
      <c r="L136" s="5">
        <v>7.1794871794871788</v>
      </c>
      <c r="M136" s="5"/>
      <c r="O136" s="100">
        <f t="shared" si="56"/>
        <v>0.3</v>
      </c>
      <c r="P136" s="100">
        <f t="shared" si="57"/>
        <v>0.2</v>
      </c>
      <c r="Q136" s="100">
        <f t="shared" si="58"/>
        <v>2.2999999999999998</v>
      </c>
      <c r="R136" s="100">
        <f t="shared" si="59"/>
        <v>7.2</v>
      </c>
      <c r="S136" s="100" t="e">
        <f>ROUND(#REF!,1)</f>
        <v>#REF!</v>
      </c>
      <c r="U136" s="37"/>
      <c r="V136" s="37"/>
      <c r="W136" s="37"/>
      <c r="X136" s="37"/>
    </row>
    <row r="137" spans="1:24" ht="14.1" customHeight="1" x14ac:dyDescent="0.25">
      <c r="A137" s="61" t="s">
        <v>47</v>
      </c>
      <c r="B137" s="6">
        <v>1636</v>
      </c>
      <c r="C137" s="5">
        <v>1.4960039503282796</v>
      </c>
      <c r="D137" s="5"/>
      <c r="E137" s="6">
        <v>1524</v>
      </c>
      <c r="F137" s="5">
        <v>1.4134931087573506</v>
      </c>
      <c r="G137" s="5"/>
      <c r="H137" s="6">
        <v>88</v>
      </c>
      <c r="I137" s="5">
        <v>6.5427509293680295</v>
      </c>
      <c r="J137" s="5"/>
      <c r="K137" s="6">
        <v>24</v>
      </c>
      <c r="L137" s="5">
        <v>12.307692307692307</v>
      </c>
      <c r="M137" s="5"/>
      <c r="O137" s="100">
        <f t="shared" si="56"/>
        <v>1.5</v>
      </c>
      <c r="P137" s="100">
        <f t="shared" si="57"/>
        <v>1.4</v>
      </c>
      <c r="Q137" s="100">
        <f t="shared" si="58"/>
        <v>6.5</v>
      </c>
      <c r="R137" s="100">
        <f t="shared" si="59"/>
        <v>12.3</v>
      </c>
      <c r="S137" s="100" t="e">
        <f>ROUND(#REF!,1)</f>
        <v>#REF!</v>
      </c>
      <c r="U137" s="37"/>
      <c r="V137" s="37"/>
      <c r="W137" s="37"/>
      <c r="X137" s="37"/>
    </row>
    <row r="138" spans="1:24" ht="14.1" customHeight="1" x14ac:dyDescent="0.25">
      <c r="A138" s="68"/>
      <c r="B138" s="9"/>
      <c r="C138" s="15"/>
      <c r="D138" s="15"/>
      <c r="E138" s="9"/>
      <c r="F138" s="15"/>
      <c r="G138" s="15"/>
      <c r="H138" s="9"/>
      <c r="I138" s="15"/>
      <c r="J138" s="15"/>
      <c r="K138" s="9"/>
      <c r="L138" s="15"/>
      <c r="M138" s="15"/>
      <c r="O138" s="100">
        <f t="shared" si="56"/>
        <v>0</v>
      </c>
      <c r="P138" s="100">
        <f t="shared" si="57"/>
        <v>0</v>
      </c>
      <c r="Q138" s="100">
        <f t="shared" si="58"/>
        <v>0</v>
      </c>
      <c r="R138" s="100">
        <f t="shared" si="59"/>
        <v>0</v>
      </c>
      <c r="S138" s="100" t="e">
        <f>ROUND(#REF!,1)</f>
        <v>#REF!</v>
      </c>
      <c r="U138" s="37"/>
      <c r="V138" s="37"/>
      <c r="W138" s="37"/>
      <c r="X138" s="37"/>
    </row>
    <row r="139" spans="1:24" ht="14.1" customHeight="1" x14ac:dyDescent="0.25">
      <c r="A139" s="63" t="s">
        <v>12</v>
      </c>
      <c r="B139" s="9">
        <v>160655</v>
      </c>
      <c r="C139" s="15">
        <v>100</v>
      </c>
      <c r="D139" s="15"/>
      <c r="E139" s="9">
        <v>156871</v>
      </c>
      <c r="F139" s="15">
        <v>100</v>
      </c>
      <c r="G139" s="15"/>
      <c r="H139" s="9">
        <v>3311</v>
      </c>
      <c r="I139" s="15">
        <v>100</v>
      </c>
      <c r="J139" s="15"/>
      <c r="K139" s="9">
        <v>473</v>
      </c>
      <c r="L139" s="15">
        <v>100</v>
      </c>
      <c r="M139" s="15"/>
      <c r="O139" s="100">
        <f>SUM(O140:O147)</f>
        <v>100.09999999999998</v>
      </c>
      <c r="P139" s="100">
        <f t="shared" ref="P139:S139" si="60">SUM(P140:P147)</f>
        <v>100.09999999999998</v>
      </c>
      <c r="Q139" s="100">
        <f t="shared" si="60"/>
        <v>100.2</v>
      </c>
      <c r="R139" s="100" t="e">
        <f t="shared" si="60"/>
        <v>#VALUE!</v>
      </c>
      <c r="S139" s="100" t="e">
        <f t="shared" si="60"/>
        <v>#REF!</v>
      </c>
      <c r="U139" s="37"/>
      <c r="V139" s="37"/>
      <c r="W139" s="37"/>
      <c r="X139" s="37"/>
    </row>
    <row r="140" spans="1:24" ht="14.1" customHeight="1" x14ac:dyDescent="0.25">
      <c r="A140" s="61" t="s">
        <v>40</v>
      </c>
      <c r="B140" s="6">
        <v>123104</v>
      </c>
      <c r="C140" s="5">
        <v>76.626311039183349</v>
      </c>
      <c r="D140" s="5"/>
      <c r="E140" s="6">
        <v>122492</v>
      </c>
      <c r="F140" s="5">
        <v>77.984540801040353</v>
      </c>
      <c r="G140" s="5"/>
      <c r="H140" s="6">
        <v>586</v>
      </c>
      <c r="I140" s="5">
        <v>17.698580489278164</v>
      </c>
      <c r="J140" s="5"/>
      <c r="K140" s="6">
        <v>26</v>
      </c>
      <c r="L140" s="5">
        <v>5.4968287526427062</v>
      </c>
      <c r="M140" s="5"/>
      <c r="O140" s="100">
        <f t="shared" ref="O140:O148" si="61">ROUND(C140,1)</f>
        <v>76.599999999999994</v>
      </c>
      <c r="P140" s="100">
        <f t="shared" ref="P140:P148" si="62">ROUND(F140,1)</f>
        <v>78</v>
      </c>
      <c r="Q140" s="100">
        <f t="shared" ref="Q140:Q148" si="63">ROUND(I140,1)</f>
        <v>17.7</v>
      </c>
      <c r="R140" s="100">
        <f t="shared" ref="R140:R148" si="64">ROUND(L140,1)</f>
        <v>5.5</v>
      </c>
      <c r="S140" s="100" t="e">
        <f>ROUND(#REF!,1)</f>
        <v>#REF!</v>
      </c>
      <c r="U140" s="37"/>
      <c r="V140" s="37"/>
      <c r="W140" s="37"/>
      <c r="X140" s="37"/>
    </row>
    <row r="141" spans="1:24" ht="14.1" customHeight="1" x14ac:dyDescent="0.25">
      <c r="A141" s="61" t="s">
        <v>41</v>
      </c>
      <c r="B141" s="6">
        <v>19411</v>
      </c>
      <c r="C141" s="5">
        <v>12.08241262332327</v>
      </c>
      <c r="D141" s="5"/>
      <c r="E141" s="6">
        <v>17380</v>
      </c>
      <c r="F141" s="5">
        <v>11.079166958838792</v>
      </c>
      <c r="G141" s="5"/>
      <c r="H141" s="6">
        <v>1708</v>
      </c>
      <c r="I141" s="5">
        <v>51.585623678646932</v>
      </c>
      <c r="J141" s="5"/>
      <c r="K141" s="6">
        <v>323</v>
      </c>
      <c r="L141" s="5">
        <v>68.187526427061314</v>
      </c>
      <c r="M141" s="5"/>
      <c r="O141" s="100">
        <f t="shared" si="61"/>
        <v>12.1</v>
      </c>
      <c r="P141" s="100">
        <f t="shared" si="62"/>
        <v>11.1</v>
      </c>
      <c r="Q141" s="100">
        <f t="shared" si="63"/>
        <v>51.6</v>
      </c>
      <c r="R141" s="100">
        <f t="shared" si="64"/>
        <v>68.2</v>
      </c>
      <c r="S141" s="100" t="e">
        <f>ROUND(#REF!,1)</f>
        <v>#REF!</v>
      </c>
      <c r="U141" s="37"/>
      <c r="V141" s="37"/>
      <c r="W141" s="37"/>
      <c r="X141" s="37"/>
    </row>
    <row r="142" spans="1:24" ht="14.1" customHeight="1" x14ac:dyDescent="0.25">
      <c r="A142" s="61" t="s">
        <v>42</v>
      </c>
      <c r="B142" s="6">
        <v>311</v>
      </c>
      <c r="C142" s="5">
        <v>0.19358252155239489</v>
      </c>
      <c r="D142" s="5"/>
      <c r="E142" s="6">
        <v>301</v>
      </c>
      <c r="F142" s="5">
        <v>0.19187740245169596</v>
      </c>
      <c r="G142" s="5"/>
      <c r="H142" s="6">
        <v>10</v>
      </c>
      <c r="I142" s="5">
        <v>0.30202355783751134</v>
      </c>
      <c r="J142" s="5"/>
      <c r="K142" s="3" t="s">
        <v>96</v>
      </c>
      <c r="L142" s="3" t="s">
        <v>96</v>
      </c>
      <c r="M142" s="5"/>
      <c r="O142" s="100">
        <f t="shared" si="61"/>
        <v>0.2</v>
      </c>
      <c r="P142" s="100">
        <f t="shared" si="62"/>
        <v>0.2</v>
      </c>
      <c r="Q142" s="100">
        <f t="shared" si="63"/>
        <v>0.3</v>
      </c>
      <c r="R142" s="100" t="e">
        <f t="shared" si="64"/>
        <v>#VALUE!</v>
      </c>
      <c r="S142" s="100" t="e">
        <f>ROUND(#REF!,1)</f>
        <v>#REF!</v>
      </c>
      <c r="U142" s="37"/>
      <c r="V142" s="37"/>
      <c r="W142" s="37"/>
      <c r="X142" s="37"/>
    </row>
    <row r="143" spans="1:24" ht="14.1" customHeight="1" x14ac:dyDescent="0.25">
      <c r="A143" s="61" t="s">
        <v>43</v>
      </c>
      <c r="B143" s="6">
        <v>2588</v>
      </c>
      <c r="C143" s="5">
        <v>1.6109053561980642</v>
      </c>
      <c r="D143" s="5"/>
      <c r="E143" s="6">
        <v>2300</v>
      </c>
      <c r="F143" s="5">
        <v>1.4661728426541554</v>
      </c>
      <c r="G143" s="5"/>
      <c r="H143" s="6">
        <v>246</v>
      </c>
      <c r="I143" s="5">
        <v>7.4297795228027788</v>
      </c>
      <c r="J143" s="5"/>
      <c r="K143" s="6">
        <v>42</v>
      </c>
      <c r="L143" s="5">
        <v>8.8794926004228341</v>
      </c>
      <c r="M143" s="5"/>
      <c r="O143" s="100">
        <f t="shared" si="61"/>
        <v>1.6</v>
      </c>
      <c r="P143" s="100">
        <f t="shared" si="62"/>
        <v>1.5</v>
      </c>
      <c r="Q143" s="100">
        <f t="shared" si="63"/>
        <v>7.4</v>
      </c>
      <c r="R143" s="100">
        <f t="shared" si="64"/>
        <v>8.9</v>
      </c>
      <c r="S143" s="100" t="e">
        <f>ROUND(#REF!,1)</f>
        <v>#REF!</v>
      </c>
      <c r="U143" s="37"/>
      <c r="V143" s="37"/>
      <c r="W143" s="37"/>
      <c r="X143" s="37"/>
    </row>
    <row r="144" spans="1:24" ht="14.1" customHeight="1" x14ac:dyDescent="0.25">
      <c r="A144" s="61" t="s">
        <v>44</v>
      </c>
      <c r="B144" s="6">
        <v>11848</v>
      </c>
      <c r="C144" s="5">
        <v>7.374809374124677</v>
      </c>
      <c r="D144" s="5"/>
      <c r="E144" s="6">
        <v>11153</v>
      </c>
      <c r="F144" s="5">
        <v>7.1096633539659972</v>
      </c>
      <c r="G144" s="5"/>
      <c r="H144" s="6">
        <v>638</v>
      </c>
      <c r="I144" s="5">
        <v>19.269102990033225</v>
      </c>
      <c r="J144" s="5"/>
      <c r="K144" s="6">
        <v>57</v>
      </c>
      <c r="L144" s="5">
        <v>12.050739957716702</v>
      </c>
      <c r="M144" s="5"/>
      <c r="O144" s="100">
        <f t="shared" si="61"/>
        <v>7.4</v>
      </c>
      <c r="P144" s="100">
        <f t="shared" si="62"/>
        <v>7.1</v>
      </c>
      <c r="Q144" s="100">
        <f t="shared" si="63"/>
        <v>19.3</v>
      </c>
      <c r="R144" s="100">
        <f t="shared" si="64"/>
        <v>12.1</v>
      </c>
      <c r="S144" s="100" t="e">
        <f>ROUND(#REF!,1)</f>
        <v>#REF!</v>
      </c>
      <c r="U144" s="37"/>
      <c r="V144" s="37"/>
      <c r="W144" s="37"/>
      <c r="X144" s="37"/>
    </row>
    <row r="145" spans="1:24" ht="14.1" customHeight="1" x14ac:dyDescent="0.25">
      <c r="A145" s="61" t="s">
        <v>45</v>
      </c>
      <c r="B145" s="6">
        <v>1736</v>
      </c>
      <c r="C145" s="5">
        <v>1.0805763904017927</v>
      </c>
      <c r="D145" s="5"/>
      <c r="E145" s="6">
        <v>1700</v>
      </c>
      <c r="F145" s="5">
        <v>1.0836929706574192</v>
      </c>
      <c r="G145" s="5"/>
      <c r="H145" s="6">
        <v>29</v>
      </c>
      <c r="I145" s="5">
        <v>0.87586831772878282</v>
      </c>
      <c r="J145" s="5"/>
      <c r="K145" s="6">
        <v>7</v>
      </c>
      <c r="L145" s="5">
        <v>1.4799154334038054</v>
      </c>
      <c r="M145" s="5"/>
      <c r="O145" s="100">
        <f t="shared" si="61"/>
        <v>1.1000000000000001</v>
      </c>
      <c r="P145" s="100">
        <f t="shared" si="62"/>
        <v>1.1000000000000001</v>
      </c>
      <c r="Q145" s="100">
        <f t="shared" si="63"/>
        <v>0.9</v>
      </c>
      <c r="R145" s="100">
        <f t="shared" si="64"/>
        <v>1.5</v>
      </c>
      <c r="S145" s="100" t="e">
        <f>ROUND(#REF!,1)</f>
        <v>#REF!</v>
      </c>
      <c r="U145" s="37"/>
      <c r="V145" s="37"/>
      <c r="W145" s="37"/>
      <c r="X145" s="37"/>
    </row>
    <row r="146" spans="1:24" hidden="1" x14ac:dyDescent="0.25">
      <c r="A146" s="61" t="s">
        <v>46</v>
      </c>
      <c r="B146" s="6">
        <v>122</v>
      </c>
      <c r="C146" s="5">
        <v>7.5939124210264233E-2</v>
      </c>
      <c r="D146" s="5"/>
      <c r="E146" s="6">
        <v>111</v>
      </c>
      <c r="F146" s="5">
        <v>7.0758776319396186E-2</v>
      </c>
      <c r="G146" s="5"/>
      <c r="H146" s="6">
        <v>7</v>
      </c>
      <c r="I146" s="5">
        <v>0.21141649048625794</v>
      </c>
      <c r="J146" s="5"/>
      <c r="K146" s="6">
        <v>4</v>
      </c>
      <c r="L146" s="5">
        <v>0.84566596194503174</v>
      </c>
      <c r="M146" s="5"/>
      <c r="O146" s="100">
        <f t="shared" si="61"/>
        <v>0.1</v>
      </c>
      <c r="P146" s="100">
        <f t="shared" si="62"/>
        <v>0.1</v>
      </c>
      <c r="Q146" s="100">
        <f t="shared" si="63"/>
        <v>0.2</v>
      </c>
      <c r="R146" s="100">
        <f t="shared" si="64"/>
        <v>0.8</v>
      </c>
      <c r="S146" s="100" t="e">
        <f>ROUND(#REF!,1)</f>
        <v>#REF!</v>
      </c>
      <c r="U146" s="37"/>
      <c r="V146" s="37"/>
      <c r="W146" s="37"/>
      <c r="X146" s="37"/>
    </row>
    <row r="147" spans="1:24" ht="14.1" customHeight="1" x14ac:dyDescent="0.25">
      <c r="A147" s="61" t="s">
        <v>47</v>
      </c>
      <c r="B147" s="6">
        <v>1657</v>
      </c>
      <c r="C147" s="5">
        <v>1.0314026952164577</v>
      </c>
      <c r="D147" s="5"/>
      <c r="E147" s="6">
        <v>1545</v>
      </c>
      <c r="F147" s="5">
        <v>0.98488567039159558</v>
      </c>
      <c r="G147" s="5"/>
      <c r="H147" s="6">
        <v>94</v>
      </c>
      <c r="I147" s="5">
        <v>2.8390214436726069</v>
      </c>
      <c r="J147" s="5"/>
      <c r="K147" s="6">
        <v>18</v>
      </c>
      <c r="L147" s="5">
        <v>3.8054968287526423</v>
      </c>
      <c r="M147" s="5"/>
      <c r="O147" s="100">
        <f t="shared" si="61"/>
        <v>1</v>
      </c>
      <c r="P147" s="100">
        <f t="shared" si="62"/>
        <v>1</v>
      </c>
      <c r="Q147" s="100">
        <f t="shared" si="63"/>
        <v>2.8</v>
      </c>
      <c r="R147" s="100">
        <f t="shared" si="64"/>
        <v>3.8</v>
      </c>
      <c r="S147" s="100" t="e">
        <f>ROUND(#REF!,1)</f>
        <v>#REF!</v>
      </c>
      <c r="U147" s="37"/>
      <c r="V147" s="37"/>
      <c r="W147" s="37"/>
      <c r="X147" s="37"/>
    </row>
    <row r="148" spans="1:24" ht="14.1" customHeight="1" x14ac:dyDescent="0.25">
      <c r="A148" s="68"/>
      <c r="B148" s="9"/>
      <c r="C148" s="15"/>
      <c r="D148" s="15"/>
      <c r="E148" s="9"/>
      <c r="F148" s="15"/>
      <c r="G148" s="15"/>
      <c r="H148" s="9"/>
      <c r="I148" s="15"/>
      <c r="J148" s="15"/>
      <c r="K148" s="9"/>
      <c r="L148" s="15"/>
      <c r="M148" s="15"/>
      <c r="O148" s="100">
        <f t="shared" si="61"/>
        <v>0</v>
      </c>
      <c r="P148" s="100">
        <f t="shared" si="62"/>
        <v>0</v>
      </c>
      <c r="Q148" s="100">
        <f t="shared" si="63"/>
        <v>0</v>
      </c>
      <c r="R148" s="100">
        <f t="shared" si="64"/>
        <v>0</v>
      </c>
      <c r="S148" s="100" t="e">
        <f>ROUND(#REF!,1)</f>
        <v>#REF!</v>
      </c>
      <c r="U148" s="37"/>
      <c r="V148" s="37"/>
      <c r="W148" s="37"/>
      <c r="X148" s="37"/>
    </row>
    <row r="149" spans="1:24" ht="14.1" customHeight="1" x14ac:dyDescent="0.25">
      <c r="A149" s="63" t="s">
        <v>11</v>
      </c>
      <c r="B149" s="9">
        <v>104541</v>
      </c>
      <c r="C149" s="15">
        <v>100</v>
      </c>
      <c r="D149" s="15"/>
      <c r="E149" s="9">
        <v>102725</v>
      </c>
      <c r="F149" s="15">
        <v>100</v>
      </c>
      <c r="G149" s="15"/>
      <c r="H149" s="9">
        <v>1572</v>
      </c>
      <c r="I149" s="15">
        <v>100</v>
      </c>
      <c r="J149" s="15"/>
      <c r="K149" s="9">
        <v>244</v>
      </c>
      <c r="L149" s="15">
        <v>100</v>
      </c>
      <c r="M149" s="15"/>
      <c r="O149" s="100">
        <f>SUM(O150:O157)</f>
        <v>100.10000000000001</v>
      </c>
      <c r="P149" s="100">
        <f t="shared" ref="P149:S149" si="65">SUM(P150:P157)</f>
        <v>100.10000000000001</v>
      </c>
      <c r="Q149" s="100">
        <f t="shared" si="65"/>
        <v>100.1</v>
      </c>
      <c r="R149" s="100" t="e">
        <f t="shared" si="65"/>
        <v>#VALUE!</v>
      </c>
      <c r="S149" s="100" t="e">
        <f t="shared" si="65"/>
        <v>#REF!</v>
      </c>
      <c r="U149" s="37"/>
      <c r="V149" s="37"/>
      <c r="W149" s="37"/>
      <c r="X149" s="37"/>
    </row>
    <row r="150" spans="1:24" ht="14.1" customHeight="1" x14ac:dyDescent="0.25">
      <c r="A150" s="61" t="s">
        <v>40</v>
      </c>
      <c r="B150" s="6">
        <v>84663</v>
      </c>
      <c r="C150" s="5">
        <v>80.985450684420471</v>
      </c>
      <c r="D150" s="5"/>
      <c r="E150" s="6">
        <v>84444</v>
      </c>
      <c r="F150" s="5">
        <v>82.203942565101002</v>
      </c>
      <c r="G150" s="5"/>
      <c r="H150" s="6">
        <v>208</v>
      </c>
      <c r="I150" s="5">
        <v>13.231552162849871</v>
      </c>
      <c r="J150" s="5"/>
      <c r="K150" s="6">
        <v>11</v>
      </c>
      <c r="L150" s="5">
        <v>4.5081967213114753</v>
      </c>
      <c r="M150" s="5"/>
      <c r="O150" s="100">
        <f t="shared" ref="O150:O158" si="66">ROUND(C150,1)</f>
        <v>81</v>
      </c>
      <c r="P150" s="100">
        <f t="shared" ref="P150:P158" si="67">ROUND(F150,1)</f>
        <v>82.2</v>
      </c>
      <c r="Q150" s="100">
        <f t="shared" ref="Q150:Q158" si="68">ROUND(I150,1)</f>
        <v>13.2</v>
      </c>
      <c r="R150" s="100">
        <f t="shared" ref="R150:R158" si="69">ROUND(L150,1)</f>
        <v>4.5</v>
      </c>
      <c r="S150" s="100" t="e">
        <f>ROUND(#REF!,1)</f>
        <v>#REF!</v>
      </c>
      <c r="U150" s="37"/>
      <c r="V150" s="37"/>
      <c r="W150" s="37"/>
      <c r="X150" s="37"/>
    </row>
    <row r="151" spans="1:24" ht="14.1" customHeight="1" x14ac:dyDescent="0.25">
      <c r="A151" s="61" t="s">
        <v>41</v>
      </c>
      <c r="B151" s="6">
        <v>7831</v>
      </c>
      <c r="C151" s="5">
        <v>7.4908409140911223</v>
      </c>
      <c r="D151" s="5"/>
      <c r="E151" s="6">
        <v>7040</v>
      </c>
      <c r="F151" s="5">
        <v>6.853248965685081</v>
      </c>
      <c r="G151" s="5"/>
      <c r="H151" s="6">
        <v>640</v>
      </c>
      <c r="I151" s="5">
        <v>40.712468193384218</v>
      </c>
      <c r="J151" s="5"/>
      <c r="K151" s="6">
        <v>151</v>
      </c>
      <c r="L151" s="5">
        <v>61.885245901639344</v>
      </c>
      <c r="M151" s="5"/>
      <c r="O151" s="100">
        <f t="shared" si="66"/>
        <v>7.5</v>
      </c>
      <c r="P151" s="100">
        <f t="shared" si="67"/>
        <v>6.9</v>
      </c>
      <c r="Q151" s="100">
        <f t="shared" si="68"/>
        <v>40.700000000000003</v>
      </c>
      <c r="R151" s="100">
        <f t="shared" si="69"/>
        <v>61.9</v>
      </c>
      <c r="S151" s="100" t="e">
        <f>ROUND(#REF!,1)</f>
        <v>#REF!</v>
      </c>
      <c r="U151" s="37"/>
      <c r="V151" s="37"/>
      <c r="W151" s="37"/>
      <c r="X151" s="37"/>
    </row>
    <row r="152" spans="1:24" ht="14.1" customHeight="1" x14ac:dyDescent="0.25">
      <c r="A152" s="61" t="s">
        <v>42</v>
      </c>
      <c r="B152" s="6">
        <v>165</v>
      </c>
      <c r="C152" s="5">
        <v>0.15783281200677246</v>
      </c>
      <c r="D152" s="5"/>
      <c r="E152" s="6">
        <v>163</v>
      </c>
      <c r="F152" s="5">
        <v>0.15867607690435631</v>
      </c>
      <c r="G152" s="5"/>
      <c r="H152" s="6">
        <v>2</v>
      </c>
      <c r="I152" s="5">
        <v>0.1272264631043257</v>
      </c>
      <c r="J152" s="5"/>
      <c r="K152" s="3" t="s">
        <v>96</v>
      </c>
      <c r="L152" s="3" t="s">
        <v>96</v>
      </c>
      <c r="M152" s="5"/>
      <c r="O152" s="100">
        <f t="shared" si="66"/>
        <v>0.2</v>
      </c>
      <c r="P152" s="100">
        <f t="shared" si="67"/>
        <v>0.2</v>
      </c>
      <c r="Q152" s="100">
        <f t="shared" si="68"/>
        <v>0.1</v>
      </c>
      <c r="R152" s="100" t="e">
        <f t="shared" si="69"/>
        <v>#VALUE!</v>
      </c>
      <c r="S152" s="100" t="e">
        <f>ROUND(#REF!,1)</f>
        <v>#REF!</v>
      </c>
      <c r="U152" s="37"/>
      <c r="V152" s="37"/>
      <c r="W152" s="37"/>
      <c r="X152" s="37"/>
    </row>
    <row r="153" spans="1:24" ht="14.1" customHeight="1" x14ac:dyDescent="0.25">
      <c r="A153" s="61" t="s">
        <v>43</v>
      </c>
      <c r="B153" s="6">
        <v>2117</v>
      </c>
      <c r="C153" s="5">
        <v>2.0250428061717414</v>
      </c>
      <c r="D153" s="5"/>
      <c r="E153" s="6">
        <v>1884</v>
      </c>
      <c r="F153" s="5">
        <v>1.8340228766123143</v>
      </c>
      <c r="G153" s="5"/>
      <c r="H153" s="6">
        <v>207</v>
      </c>
      <c r="I153" s="5">
        <v>13.16793893129771</v>
      </c>
      <c r="J153" s="5"/>
      <c r="K153" s="6">
        <v>26</v>
      </c>
      <c r="L153" s="5">
        <v>10.655737704918032</v>
      </c>
      <c r="M153" s="5"/>
      <c r="O153" s="100">
        <f t="shared" si="66"/>
        <v>2</v>
      </c>
      <c r="P153" s="100">
        <f t="shared" si="67"/>
        <v>1.8</v>
      </c>
      <c r="Q153" s="100">
        <f t="shared" si="68"/>
        <v>13.2</v>
      </c>
      <c r="R153" s="100">
        <f t="shared" si="69"/>
        <v>10.7</v>
      </c>
      <c r="S153" s="100" t="e">
        <f>ROUND(#REF!,1)</f>
        <v>#REF!</v>
      </c>
      <c r="U153" s="37"/>
      <c r="V153" s="37"/>
      <c r="W153" s="37"/>
      <c r="X153" s="37"/>
    </row>
    <row r="154" spans="1:24" ht="14.1" customHeight="1" x14ac:dyDescent="0.25">
      <c r="A154" s="61" t="s">
        <v>44</v>
      </c>
      <c r="B154" s="6">
        <v>7182</v>
      </c>
      <c r="C154" s="5">
        <v>6.8700318535311498</v>
      </c>
      <c r="D154" s="5"/>
      <c r="E154" s="6">
        <v>6689</v>
      </c>
      <c r="F154" s="5">
        <v>6.5115599902652717</v>
      </c>
      <c r="G154" s="5"/>
      <c r="H154" s="6">
        <v>445</v>
      </c>
      <c r="I154" s="5">
        <v>28.30788804071247</v>
      </c>
      <c r="J154" s="5"/>
      <c r="K154" s="6">
        <v>48</v>
      </c>
      <c r="L154" s="5">
        <v>19.672131147540984</v>
      </c>
      <c r="M154" s="5"/>
      <c r="O154" s="100">
        <f t="shared" si="66"/>
        <v>6.9</v>
      </c>
      <c r="P154" s="100">
        <f t="shared" si="67"/>
        <v>6.5</v>
      </c>
      <c r="Q154" s="100">
        <f t="shared" si="68"/>
        <v>28.3</v>
      </c>
      <c r="R154" s="100">
        <f t="shared" si="69"/>
        <v>19.7</v>
      </c>
      <c r="S154" s="100" t="e">
        <f>ROUND(#REF!,1)</f>
        <v>#REF!</v>
      </c>
      <c r="U154" s="37"/>
      <c r="V154" s="37"/>
      <c r="W154" s="37"/>
      <c r="X154" s="37"/>
    </row>
    <row r="155" spans="1:24" ht="14.1" customHeight="1" x14ac:dyDescent="0.25">
      <c r="A155" s="61" t="s">
        <v>45</v>
      </c>
      <c r="B155" s="6">
        <v>1279</v>
      </c>
      <c r="C155" s="5">
        <v>1.2234434336767392</v>
      </c>
      <c r="D155" s="5"/>
      <c r="E155" s="6">
        <v>1262</v>
      </c>
      <c r="F155" s="5">
        <v>1.2285227549282063</v>
      </c>
      <c r="G155" s="5"/>
      <c r="H155" s="6">
        <v>14</v>
      </c>
      <c r="I155" s="5">
        <v>0.89058524173027986</v>
      </c>
      <c r="J155" s="5"/>
      <c r="K155" s="6">
        <v>3</v>
      </c>
      <c r="L155" s="5">
        <v>1.2295081967213115</v>
      </c>
      <c r="M155" s="5"/>
      <c r="O155" s="100">
        <f t="shared" si="66"/>
        <v>1.2</v>
      </c>
      <c r="P155" s="100">
        <f t="shared" si="67"/>
        <v>1.2</v>
      </c>
      <c r="Q155" s="100">
        <f t="shared" si="68"/>
        <v>0.9</v>
      </c>
      <c r="R155" s="100">
        <f t="shared" si="69"/>
        <v>1.2</v>
      </c>
      <c r="S155" s="100" t="e">
        <f>ROUND(#REF!,1)</f>
        <v>#REF!</v>
      </c>
      <c r="U155" s="37"/>
      <c r="V155" s="37"/>
      <c r="W155" s="37"/>
      <c r="X155" s="37"/>
    </row>
    <row r="156" spans="1:24" hidden="1" x14ac:dyDescent="0.25">
      <c r="A156" s="61" t="s">
        <v>46</v>
      </c>
      <c r="B156" s="6">
        <v>85</v>
      </c>
      <c r="C156" s="5">
        <v>8.1307812245913089E-2</v>
      </c>
      <c r="D156" s="5"/>
      <c r="E156" s="6">
        <v>83</v>
      </c>
      <c r="F156" s="5">
        <v>8.0798247748844004E-2</v>
      </c>
      <c r="G156" s="5"/>
      <c r="H156" s="6">
        <v>2</v>
      </c>
      <c r="I156" s="5">
        <v>0.1272264631043257</v>
      </c>
      <c r="J156" s="5"/>
      <c r="K156" s="3" t="s">
        <v>96</v>
      </c>
      <c r="L156" s="3" t="s">
        <v>96</v>
      </c>
      <c r="M156" s="5"/>
      <c r="O156" s="100">
        <f t="shared" si="66"/>
        <v>0.1</v>
      </c>
      <c r="P156" s="100">
        <f t="shared" si="67"/>
        <v>0.1</v>
      </c>
      <c r="Q156" s="100">
        <f t="shared" si="68"/>
        <v>0.1</v>
      </c>
      <c r="R156" s="100" t="e">
        <f t="shared" si="69"/>
        <v>#VALUE!</v>
      </c>
      <c r="S156" s="100" t="e">
        <f>ROUND(#REF!,1)</f>
        <v>#REF!</v>
      </c>
      <c r="U156" s="37"/>
      <c r="V156" s="37"/>
      <c r="W156" s="37"/>
      <c r="X156" s="37"/>
    </row>
    <row r="157" spans="1:24" ht="14.1" customHeight="1" x14ac:dyDescent="0.25">
      <c r="A157" s="61" t="s">
        <v>47</v>
      </c>
      <c r="B157" s="6">
        <v>1304</v>
      </c>
      <c r="C157" s="5">
        <v>1.2473574961020077</v>
      </c>
      <c r="D157" s="5"/>
      <c r="E157" s="6">
        <v>1243</v>
      </c>
      <c r="F157" s="5">
        <v>1.2100267705037722</v>
      </c>
      <c r="G157" s="5"/>
      <c r="H157" s="6">
        <v>56</v>
      </c>
      <c r="I157" s="5">
        <v>3.5623409669211199</v>
      </c>
      <c r="J157" s="5"/>
      <c r="K157" s="6">
        <v>5</v>
      </c>
      <c r="L157" s="5">
        <v>2.0491803278688523</v>
      </c>
      <c r="M157" s="5"/>
      <c r="O157" s="100">
        <f t="shared" si="66"/>
        <v>1.2</v>
      </c>
      <c r="P157" s="100">
        <f t="shared" si="67"/>
        <v>1.2</v>
      </c>
      <c r="Q157" s="100">
        <f t="shared" si="68"/>
        <v>3.6</v>
      </c>
      <c r="R157" s="100">
        <f t="shared" si="69"/>
        <v>2</v>
      </c>
      <c r="S157" s="100" t="e">
        <f>ROUND(#REF!,1)</f>
        <v>#REF!</v>
      </c>
      <c r="U157" s="37"/>
      <c r="V157" s="37"/>
      <c r="W157" s="37"/>
      <c r="X157" s="37"/>
    </row>
    <row r="158" spans="1:24" ht="14.1" customHeight="1" x14ac:dyDescent="0.25">
      <c r="A158" s="61"/>
      <c r="B158" s="9"/>
      <c r="C158" s="15"/>
      <c r="D158" s="15"/>
      <c r="E158" s="9"/>
      <c r="F158" s="15"/>
      <c r="G158" s="15"/>
      <c r="H158" s="9"/>
      <c r="I158" s="15"/>
      <c r="J158" s="15"/>
      <c r="K158" s="9"/>
      <c r="L158" s="15"/>
      <c r="M158" s="15"/>
      <c r="O158" s="100">
        <f t="shared" si="66"/>
        <v>0</v>
      </c>
      <c r="P158" s="100">
        <f t="shared" si="67"/>
        <v>0</v>
      </c>
      <c r="Q158" s="100">
        <f t="shared" si="68"/>
        <v>0</v>
      </c>
      <c r="R158" s="100">
        <f t="shared" si="69"/>
        <v>0</v>
      </c>
      <c r="S158" s="100" t="e">
        <f>ROUND(#REF!,1)</f>
        <v>#REF!</v>
      </c>
      <c r="U158" s="37"/>
      <c r="V158" s="37"/>
      <c r="W158" s="37"/>
      <c r="X158" s="37"/>
    </row>
    <row r="159" spans="1:24" ht="14.1" customHeight="1" x14ac:dyDescent="0.25">
      <c r="A159" s="63" t="s">
        <v>71</v>
      </c>
      <c r="B159" s="95">
        <v>1338873</v>
      </c>
      <c r="C159" s="96">
        <v>99.966697886954165</v>
      </c>
      <c r="D159" s="96"/>
      <c r="E159" s="95">
        <v>1290157</v>
      </c>
      <c r="F159" s="96">
        <v>99.963403136207447</v>
      </c>
      <c r="G159" s="96"/>
      <c r="H159" s="95">
        <v>39222</v>
      </c>
      <c r="I159" s="96">
        <v>100.00767783386875</v>
      </c>
      <c r="J159" s="96"/>
      <c r="K159" s="95">
        <v>9494</v>
      </c>
      <c r="L159" s="96">
        <v>100</v>
      </c>
      <c r="M159" s="96"/>
      <c r="O159" s="100">
        <f>SUM(O160:O167)</f>
        <v>99.999999999999986</v>
      </c>
      <c r="P159" s="100">
        <f t="shared" ref="P159:S159" si="70">SUM(P160:P167)</f>
        <v>99.899999999999991</v>
      </c>
      <c r="Q159" s="100">
        <f t="shared" si="70"/>
        <v>99.9</v>
      </c>
      <c r="R159" s="100">
        <f t="shared" si="70"/>
        <v>100.19999999999999</v>
      </c>
      <c r="S159" s="100" t="e">
        <f t="shared" si="70"/>
        <v>#REF!</v>
      </c>
      <c r="T159" s="125"/>
      <c r="U159" s="37"/>
      <c r="V159" s="37"/>
      <c r="W159" s="37"/>
      <c r="X159" s="37"/>
    </row>
    <row r="160" spans="1:24" ht="14.1" customHeight="1" x14ac:dyDescent="0.25">
      <c r="A160" s="61" t="s">
        <v>40</v>
      </c>
      <c r="B160" s="97">
        <v>925728</v>
      </c>
      <c r="C160" s="98">
        <v>69.142330900690354</v>
      </c>
      <c r="D160" s="98"/>
      <c r="E160" s="97">
        <v>922840</v>
      </c>
      <c r="F160" s="98">
        <v>71.429278994726999</v>
      </c>
      <c r="G160" s="98"/>
      <c r="H160" s="97">
        <v>2789</v>
      </c>
      <c r="I160" s="98">
        <v>7.1108051603691811</v>
      </c>
      <c r="J160" s="98"/>
      <c r="K160" s="97">
        <v>99</v>
      </c>
      <c r="L160" s="98">
        <v>1.0427638508531705</v>
      </c>
      <c r="M160" s="98"/>
      <c r="O160" s="100">
        <f t="shared" ref="O160:O168" si="71">ROUND(C160,1)</f>
        <v>69.099999999999994</v>
      </c>
      <c r="P160" s="100">
        <f t="shared" ref="P160:P168" si="72">ROUND(F160,1)</f>
        <v>71.400000000000006</v>
      </c>
      <c r="Q160" s="100">
        <f t="shared" ref="Q160:Q168" si="73">ROUND(I160,1)</f>
        <v>7.1</v>
      </c>
      <c r="R160" s="100">
        <f t="shared" ref="R160:R168" si="74">ROUND(L160,1)</f>
        <v>1</v>
      </c>
      <c r="S160" s="100" t="e">
        <f>ROUND(#REF!,1)</f>
        <v>#REF!</v>
      </c>
      <c r="T160" s="125"/>
      <c r="U160" s="37"/>
      <c r="V160" s="37"/>
      <c r="W160" s="37"/>
      <c r="X160" s="37"/>
    </row>
    <row r="161" spans="1:24" ht="14.1" customHeight="1" x14ac:dyDescent="0.25">
      <c r="A161" s="61" t="s">
        <v>41</v>
      </c>
      <c r="B161" s="97">
        <v>244149</v>
      </c>
      <c r="C161" s="98">
        <v>18.135411424384536</v>
      </c>
      <c r="D161" s="98"/>
      <c r="E161" s="97">
        <v>210736</v>
      </c>
      <c r="F161" s="98">
        <v>16.334136078012211</v>
      </c>
      <c r="G161" s="98"/>
      <c r="H161" s="97">
        <v>25865</v>
      </c>
      <c r="I161" s="98">
        <v>65.945132833613783</v>
      </c>
      <c r="J161" s="98"/>
      <c r="K161" s="97">
        <v>7548</v>
      </c>
      <c r="L161" s="98">
        <v>79.50284390141141</v>
      </c>
      <c r="M161" s="98"/>
      <c r="O161" s="100">
        <f t="shared" si="71"/>
        <v>18.100000000000001</v>
      </c>
      <c r="P161" s="100">
        <f t="shared" si="72"/>
        <v>16.3</v>
      </c>
      <c r="Q161" s="100">
        <f t="shared" si="73"/>
        <v>65.900000000000006</v>
      </c>
      <c r="R161" s="100">
        <f t="shared" si="74"/>
        <v>79.5</v>
      </c>
      <c r="S161" s="100" t="e">
        <f>ROUND(#REF!,1)</f>
        <v>#REF!</v>
      </c>
      <c r="T161" s="125"/>
      <c r="U161" s="37"/>
      <c r="V161" s="37"/>
      <c r="W161" s="37"/>
      <c r="X161" s="37"/>
    </row>
    <row r="162" spans="1:24" ht="14.1" customHeight="1" x14ac:dyDescent="0.25">
      <c r="A162" s="61" t="s">
        <v>42</v>
      </c>
      <c r="B162" s="97">
        <v>6676</v>
      </c>
      <c r="C162" s="98">
        <v>0.49862832397098156</v>
      </c>
      <c r="D162" s="98"/>
      <c r="E162" s="97">
        <v>6244</v>
      </c>
      <c r="F162" s="98">
        <v>0.48397210572046656</v>
      </c>
      <c r="G162" s="98"/>
      <c r="H162" s="97">
        <v>341</v>
      </c>
      <c r="I162" s="98">
        <v>0.8694100249859773</v>
      </c>
      <c r="J162" s="98"/>
      <c r="K162" s="97">
        <v>91</v>
      </c>
      <c r="L162" s="98">
        <v>0.95850010532968188</v>
      </c>
      <c r="M162" s="98"/>
      <c r="O162" s="100">
        <f t="shared" si="71"/>
        <v>0.5</v>
      </c>
      <c r="P162" s="100">
        <f t="shared" si="72"/>
        <v>0.5</v>
      </c>
      <c r="Q162" s="100">
        <f t="shared" si="73"/>
        <v>0.9</v>
      </c>
      <c r="R162" s="100">
        <f t="shared" si="74"/>
        <v>1</v>
      </c>
      <c r="S162" s="100" t="e">
        <f>ROUND(#REF!,1)</f>
        <v>#REF!</v>
      </c>
      <c r="T162" s="125"/>
      <c r="U162" s="37"/>
      <c r="V162" s="37"/>
      <c r="W162" s="37"/>
      <c r="X162" s="37"/>
    </row>
    <row r="163" spans="1:24" ht="14.1" customHeight="1" x14ac:dyDescent="0.25">
      <c r="A163" s="61" t="s">
        <v>43</v>
      </c>
      <c r="B163" s="97">
        <v>20268</v>
      </c>
      <c r="C163" s="98">
        <v>1.5138104958423988</v>
      </c>
      <c r="D163" s="98"/>
      <c r="E163" s="97">
        <v>17233</v>
      </c>
      <c r="F163" s="98">
        <v>1.3357289074120438</v>
      </c>
      <c r="G163" s="98"/>
      <c r="H163" s="97">
        <v>2455</v>
      </c>
      <c r="I163" s="98">
        <v>6.229242261995819</v>
      </c>
      <c r="J163" s="98"/>
      <c r="K163" s="97">
        <v>580</v>
      </c>
      <c r="L163" s="98">
        <v>6.0091215504529183</v>
      </c>
      <c r="M163" s="98"/>
      <c r="O163" s="100">
        <f t="shared" si="71"/>
        <v>1.5</v>
      </c>
      <c r="P163" s="100">
        <f t="shared" si="72"/>
        <v>1.3</v>
      </c>
      <c r="Q163" s="100">
        <f t="shared" si="73"/>
        <v>6.2</v>
      </c>
      <c r="R163" s="100">
        <f t="shared" si="74"/>
        <v>6</v>
      </c>
      <c r="S163" s="100" t="e">
        <f>ROUND(#REF!,1)</f>
        <v>#REF!</v>
      </c>
      <c r="T163" s="125"/>
      <c r="U163" s="37"/>
      <c r="V163" s="37"/>
      <c r="W163" s="37"/>
      <c r="X163" s="37"/>
    </row>
    <row r="164" spans="1:24" ht="14.1" customHeight="1" x14ac:dyDescent="0.25">
      <c r="A164" s="61" t="s">
        <v>44</v>
      </c>
      <c r="B164" s="97">
        <v>108026</v>
      </c>
      <c r="C164" s="98">
        <v>8.0684277000133697</v>
      </c>
      <c r="D164" s="98"/>
      <c r="E164" s="97">
        <v>101139</v>
      </c>
      <c r="F164" s="98">
        <v>7.8392784754103566</v>
      </c>
      <c r="G164" s="98"/>
      <c r="H164" s="97">
        <v>6360</v>
      </c>
      <c r="I164" s="98">
        <v>16.215389322319108</v>
      </c>
      <c r="J164" s="98"/>
      <c r="K164" s="97">
        <v>527</v>
      </c>
      <c r="L164" s="98">
        <v>5.5508742363598058</v>
      </c>
      <c r="M164" s="98"/>
      <c r="O164" s="100">
        <f t="shared" si="71"/>
        <v>8.1</v>
      </c>
      <c r="P164" s="100">
        <f t="shared" si="72"/>
        <v>7.8</v>
      </c>
      <c r="Q164" s="100">
        <f t="shared" si="73"/>
        <v>16.2</v>
      </c>
      <c r="R164" s="100">
        <f t="shared" si="74"/>
        <v>5.6</v>
      </c>
      <c r="S164" s="100" t="e">
        <f>ROUND(#REF!,1)</f>
        <v>#REF!</v>
      </c>
      <c r="T164" s="125"/>
      <c r="U164" s="37"/>
      <c r="V164" s="37"/>
      <c r="W164" s="37"/>
      <c r="X164" s="37"/>
    </row>
    <row r="165" spans="1:24" ht="14.1" customHeight="1" x14ac:dyDescent="0.25">
      <c r="A165" s="61" t="s">
        <v>45</v>
      </c>
      <c r="B165" s="97">
        <v>18232</v>
      </c>
      <c r="C165" s="98">
        <v>1.3617423011741965</v>
      </c>
      <c r="D165" s="98"/>
      <c r="E165" s="97">
        <v>17736</v>
      </c>
      <c r="F165" s="98">
        <v>1.3747164104833751</v>
      </c>
      <c r="G165" s="98"/>
      <c r="H165" s="97">
        <v>376</v>
      </c>
      <c r="I165" s="98">
        <v>0.85864565804905413</v>
      </c>
      <c r="J165" s="98"/>
      <c r="K165" s="97">
        <v>120</v>
      </c>
      <c r="L165" s="98">
        <v>1.2639561828523278</v>
      </c>
      <c r="M165" s="98"/>
      <c r="O165" s="100">
        <f t="shared" si="71"/>
        <v>1.4</v>
      </c>
      <c r="P165" s="100">
        <f t="shared" si="72"/>
        <v>1.4</v>
      </c>
      <c r="Q165" s="100">
        <f t="shared" si="73"/>
        <v>0.9</v>
      </c>
      <c r="R165" s="100">
        <f t="shared" si="74"/>
        <v>1.3</v>
      </c>
      <c r="S165" s="100" t="e">
        <f>ROUND(#REF!,1)</f>
        <v>#REF!</v>
      </c>
      <c r="T165" s="125"/>
      <c r="U165" s="37"/>
      <c r="V165" s="37"/>
      <c r="W165" s="37"/>
      <c r="X165" s="37"/>
    </row>
    <row r="166" spans="1:24" ht="16.5" hidden="1" customHeight="1" x14ac:dyDescent="0.25">
      <c r="A166" s="61" t="s">
        <v>46</v>
      </c>
      <c r="B166" s="97">
        <v>893</v>
      </c>
      <c r="C166" s="98">
        <v>6.6697886954177124E-2</v>
      </c>
      <c r="D166" s="98"/>
      <c r="E166" s="97">
        <v>818</v>
      </c>
      <c r="F166" s="98">
        <v>6.3403136207453817E-2</v>
      </c>
      <c r="G166" s="98"/>
      <c r="H166" s="97">
        <v>54</v>
      </c>
      <c r="I166" s="98">
        <v>0.13767783386874713</v>
      </c>
      <c r="J166" s="98"/>
      <c r="K166" s="97">
        <v>21</v>
      </c>
      <c r="L166" s="98">
        <v>0.22119233199915739</v>
      </c>
      <c r="M166" s="98"/>
      <c r="O166" s="100">
        <f t="shared" si="71"/>
        <v>0.1</v>
      </c>
      <c r="P166" s="100">
        <f t="shared" si="72"/>
        <v>0.1</v>
      </c>
      <c r="Q166" s="100">
        <f t="shared" si="73"/>
        <v>0.1</v>
      </c>
      <c r="R166" s="100">
        <f t="shared" si="74"/>
        <v>0.2</v>
      </c>
      <c r="S166" s="100" t="e">
        <f>ROUND(#REF!,1)</f>
        <v>#REF!</v>
      </c>
      <c r="T166" s="125"/>
      <c r="U166" s="37"/>
      <c r="V166" s="37"/>
      <c r="W166" s="37"/>
      <c r="X166" s="37"/>
    </row>
    <row r="167" spans="1:24" ht="14.1" customHeight="1" x14ac:dyDescent="0.25">
      <c r="A167" s="61" t="s">
        <v>47</v>
      </c>
      <c r="B167" s="97">
        <v>15794</v>
      </c>
      <c r="C167" s="98">
        <v>1.1796488539241585</v>
      </c>
      <c r="D167" s="98"/>
      <c r="E167" s="97">
        <v>14229</v>
      </c>
      <c r="F167" s="98">
        <v>1.1028890282345483</v>
      </c>
      <c r="G167" s="98"/>
      <c r="H167" s="97">
        <v>1036</v>
      </c>
      <c r="I167" s="98">
        <v>2.6413747386670745</v>
      </c>
      <c r="J167" s="98"/>
      <c r="K167" s="97">
        <v>529</v>
      </c>
      <c r="L167" s="98">
        <v>5.5719401727406783</v>
      </c>
      <c r="M167" s="98"/>
      <c r="O167" s="100">
        <f t="shared" si="71"/>
        <v>1.2</v>
      </c>
      <c r="P167" s="100">
        <f t="shared" si="72"/>
        <v>1.1000000000000001</v>
      </c>
      <c r="Q167" s="100">
        <f t="shared" si="73"/>
        <v>2.6</v>
      </c>
      <c r="R167" s="100">
        <f t="shared" si="74"/>
        <v>5.6</v>
      </c>
      <c r="S167" s="100" t="e">
        <f>ROUND(#REF!,1)</f>
        <v>#REF!</v>
      </c>
      <c r="T167" s="125"/>
      <c r="U167" s="37"/>
      <c r="V167" s="37"/>
      <c r="W167" s="37"/>
      <c r="X167" s="37"/>
    </row>
    <row r="168" spans="1:24" ht="14.1" customHeight="1" x14ac:dyDescent="0.25">
      <c r="A168" s="61"/>
      <c r="B168" s="9"/>
      <c r="C168" s="15"/>
      <c r="D168" s="15"/>
      <c r="E168" s="9"/>
      <c r="F168" s="15"/>
      <c r="G168" s="15"/>
      <c r="H168" s="9"/>
      <c r="I168" s="15"/>
      <c r="J168" s="15"/>
      <c r="K168" s="9"/>
      <c r="L168" s="15"/>
      <c r="M168" s="15"/>
      <c r="O168" s="100">
        <f t="shared" si="71"/>
        <v>0</v>
      </c>
      <c r="P168" s="100">
        <f t="shared" si="72"/>
        <v>0</v>
      </c>
      <c r="Q168" s="100">
        <f t="shared" si="73"/>
        <v>0</v>
      </c>
      <c r="R168" s="100">
        <f t="shared" si="74"/>
        <v>0</v>
      </c>
      <c r="S168" s="100" t="e">
        <f>ROUND(#REF!,1)</f>
        <v>#REF!</v>
      </c>
      <c r="U168" s="37"/>
      <c r="V168" s="37"/>
      <c r="W168" s="37"/>
      <c r="X168" s="37"/>
    </row>
    <row r="169" spans="1:24" ht="14.1" customHeight="1" x14ac:dyDescent="0.25">
      <c r="A169" s="63" t="s">
        <v>10</v>
      </c>
      <c r="B169" s="9">
        <v>56948</v>
      </c>
      <c r="C169" s="15">
        <v>100</v>
      </c>
      <c r="D169" s="15"/>
      <c r="E169" s="9">
        <v>55641</v>
      </c>
      <c r="F169" s="15">
        <v>100</v>
      </c>
      <c r="G169" s="15"/>
      <c r="H169" s="9">
        <v>1129</v>
      </c>
      <c r="I169" s="15">
        <v>100</v>
      </c>
      <c r="J169" s="15"/>
      <c r="K169" s="9">
        <v>178</v>
      </c>
      <c r="L169" s="15">
        <v>100</v>
      </c>
      <c r="M169" s="15"/>
      <c r="O169" s="100">
        <f>SUM(O170:O178)</f>
        <v>100.09999999999997</v>
      </c>
      <c r="P169" s="100">
        <f t="shared" ref="P169:S169" si="75">SUM(P170:P178)</f>
        <v>100.09999999999998</v>
      </c>
      <c r="Q169" s="100">
        <f t="shared" si="75"/>
        <v>100.30000000000001</v>
      </c>
      <c r="R169" s="100" t="e">
        <f t="shared" si="75"/>
        <v>#VALUE!</v>
      </c>
      <c r="S169" s="100" t="e">
        <f t="shared" si="75"/>
        <v>#REF!</v>
      </c>
      <c r="U169" s="37"/>
      <c r="V169" s="37"/>
      <c r="W169" s="37"/>
      <c r="X169" s="37"/>
    </row>
    <row r="170" spans="1:24" ht="14.1" customHeight="1" x14ac:dyDescent="0.25">
      <c r="A170" s="61" t="s">
        <v>40</v>
      </c>
      <c r="B170" s="6">
        <v>44398</v>
      </c>
      <c r="C170" s="5">
        <v>78.062351619020859</v>
      </c>
      <c r="D170" s="5"/>
      <c r="E170" s="6">
        <v>44223</v>
      </c>
      <c r="F170" s="5">
        <v>79.47916105030464</v>
      </c>
      <c r="G170" s="5"/>
      <c r="H170" s="6">
        <v>170</v>
      </c>
      <c r="I170" s="5">
        <v>15.057573073516387</v>
      </c>
      <c r="J170" s="5"/>
      <c r="K170" s="6">
        <v>5</v>
      </c>
      <c r="L170" s="5">
        <v>2.8089887640449436</v>
      </c>
      <c r="M170" s="5"/>
      <c r="O170" s="100">
        <f t="shared" ref="O170:O178" si="76">ROUND(C170,1)</f>
        <v>78.099999999999994</v>
      </c>
      <c r="P170" s="100">
        <f t="shared" ref="P170:P178" si="77">ROUND(F170,1)</f>
        <v>79.5</v>
      </c>
      <c r="Q170" s="100">
        <f t="shared" ref="Q170:Q178" si="78">ROUND(I170,1)</f>
        <v>15.1</v>
      </c>
      <c r="R170" s="100">
        <f t="shared" ref="R170:R178" si="79">ROUND(L170,1)</f>
        <v>2.8</v>
      </c>
      <c r="S170" s="100" t="e">
        <f>ROUND(#REF!,1)</f>
        <v>#REF!</v>
      </c>
      <c r="T170" s="125"/>
      <c r="U170" s="37"/>
      <c r="V170" s="37"/>
      <c r="W170" s="37"/>
      <c r="X170" s="37"/>
    </row>
    <row r="171" spans="1:24" ht="14.1" customHeight="1" x14ac:dyDescent="0.25">
      <c r="A171" s="61" t="s">
        <v>41</v>
      </c>
      <c r="B171" s="6">
        <v>2621</v>
      </c>
      <c r="C171" s="5">
        <v>4.602444335182974</v>
      </c>
      <c r="D171" s="5"/>
      <c r="E171" s="6">
        <v>2227</v>
      </c>
      <c r="F171" s="5">
        <v>4.0024442407577148</v>
      </c>
      <c r="G171" s="5"/>
      <c r="H171" s="6">
        <v>304</v>
      </c>
      <c r="I171" s="5">
        <v>26.926483613817538</v>
      </c>
      <c r="J171" s="5"/>
      <c r="K171" s="6">
        <v>90</v>
      </c>
      <c r="L171" s="5">
        <v>50.561797752808992</v>
      </c>
      <c r="M171" s="5"/>
      <c r="O171" s="100">
        <f t="shared" si="76"/>
        <v>4.5999999999999996</v>
      </c>
      <c r="P171" s="100">
        <f t="shared" si="77"/>
        <v>4</v>
      </c>
      <c r="Q171" s="100">
        <f t="shared" si="78"/>
        <v>26.9</v>
      </c>
      <c r="R171" s="100">
        <f t="shared" si="79"/>
        <v>50.6</v>
      </c>
      <c r="S171" s="100" t="e">
        <f>ROUND(#REF!,1)</f>
        <v>#REF!</v>
      </c>
      <c r="T171" s="125"/>
      <c r="U171" s="37"/>
      <c r="V171" s="37"/>
      <c r="W171" s="37"/>
      <c r="X171" s="37"/>
    </row>
    <row r="172" spans="1:24" ht="14.1" customHeight="1" x14ac:dyDescent="0.25">
      <c r="A172" s="61" t="s">
        <v>42</v>
      </c>
      <c r="B172" s="6">
        <v>83</v>
      </c>
      <c r="C172" s="5">
        <v>0.14574699726065884</v>
      </c>
      <c r="D172" s="5"/>
      <c r="E172" s="6">
        <v>78</v>
      </c>
      <c r="F172" s="5">
        <v>0.14018439639833935</v>
      </c>
      <c r="G172" s="5"/>
      <c r="H172" s="6">
        <v>5</v>
      </c>
      <c r="I172" s="5">
        <v>0.44286979627989376</v>
      </c>
      <c r="J172" s="5"/>
      <c r="K172" s="3" t="s">
        <v>96</v>
      </c>
      <c r="L172" s="3" t="s">
        <v>96</v>
      </c>
      <c r="M172" s="5"/>
      <c r="O172" s="100">
        <f t="shared" si="76"/>
        <v>0.1</v>
      </c>
      <c r="P172" s="100">
        <f t="shared" si="77"/>
        <v>0.1</v>
      </c>
      <c r="Q172" s="100">
        <f t="shared" si="78"/>
        <v>0.4</v>
      </c>
      <c r="R172" s="100" t="e">
        <f t="shared" si="79"/>
        <v>#VALUE!</v>
      </c>
      <c r="S172" s="100" t="e">
        <f>ROUND(#REF!,1)</f>
        <v>#REF!</v>
      </c>
      <c r="T172" s="125"/>
      <c r="U172" s="37"/>
      <c r="V172" s="37"/>
      <c r="W172" s="37"/>
      <c r="X172" s="37"/>
    </row>
    <row r="173" spans="1:24" ht="14.1" customHeight="1" x14ac:dyDescent="0.25">
      <c r="A173" s="61" t="s">
        <v>43</v>
      </c>
      <c r="B173" s="6">
        <v>1308</v>
      </c>
      <c r="C173" s="5">
        <v>2.2968321977944792</v>
      </c>
      <c r="D173" s="5"/>
      <c r="E173" s="6">
        <v>1133</v>
      </c>
      <c r="F173" s="5">
        <v>2.0362682194784423</v>
      </c>
      <c r="G173" s="5"/>
      <c r="H173" s="6">
        <v>154</v>
      </c>
      <c r="I173" s="5">
        <v>13.640389725420727</v>
      </c>
      <c r="J173" s="5"/>
      <c r="K173" s="6">
        <v>21</v>
      </c>
      <c r="L173" s="5">
        <v>11.797752808988763</v>
      </c>
      <c r="M173" s="5"/>
      <c r="O173" s="100">
        <f t="shared" si="76"/>
        <v>2.2999999999999998</v>
      </c>
      <c r="P173" s="100">
        <f t="shared" si="77"/>
        <v>2</v>
      </c>
      <c r="Q173" s="100">
        <f t="shared" si="78"/>
        <v>13.6</v>
      </c>
      <c r="R173" s="100">
        <f t="shared" si="79"/>
        <v>11.8</v>
      </c>
      <c r="S173" s="100" t="e">
        <f>ROUND(#REF!,1)</f>
        <v>#REF!</v>
      </c>
      <c r="T173" s="125"/>
      <c r="U173" s="37"/>
      <c r="V173" s="37"/>
      <c r="W173" s="37"/>
      <c r="X173" s="37"/>
    </row>
    <row r="174" spans="1:24" ht="14.1" customHeight="1" x14ac:dyDescent="0.25">
      <c r="A174" s="61" t="s">
        <v>44</v>
      </c>
      <c r="B174" s="6">
        <v>5760</v>
      </c>
      <c r="C174" s="5">
        <v>10.114490412305964</v>
      </c>
      <c r="D174" s="5"/>
      <c r="E174" s="6">
        <v>5284</v>
      </c>
      <c r="F174" s="5">
        <v>9.49659423806186</v>
      </c>
      <c r="G174" s="5"/>
      <c r="H174" s="6">
        <v>431</v>
      </c>
      <c r="I174" s="5">
        <v>38.175376439326833</v>
      </c>
      <c r="J174" s="5"/>
      <c r="K174" s="6">
        <v>45</v>
      </c>
      <c r="L174" s="5">
        <v>25.280898876404496</v>
      </c>
      <c r="M174" s="5"/>
      <c r="O174" s="100">
        <f t="shared" si="76"/>
        <v>10.1</v>
      </c>
      <c r="P174" s="100">
        <f t="shared" si="77"/>
        <v>9.5</v>
      </c>
      <c r="Q174" s="100">
        <f t="shared" si="78"/>
        <v>38.200000000000003</v>
      </c>
      <c r="R174" s="100">
        <f t="shared" si="79"/>
        <v>25.3</v>
      </c>
      <c r="S174" s="100" t="e">
        <f>ROUND(#REF!,1)</f>
        <v>#REF!</v>
      </c>
      <c r="T174" s="125"/>
      <c r="U174" s="37"/>
      <c r="V174" s="37"/>
      <c r="W174" s="37"/>
      <c r="X174" s="37"/>
    </row>
    <row r="175" spans="1:24" ht="14.1" customHeight="1" x14ac:dyDescent="0.25">
      <c r="A175" s="61" t="s">
        <v>45</v>
      </c>
      <c r="B175" s="6">
        <v>987</v>
      </c>
      <c r="C175" s="5">
        <v>1.7331600758586778</v>
      </c>
      <c r="D175" s="5"/>
      <c r="E175" s="6">
        <v>981</v>
      </c>
      <c r="F175" s="5">
        <v>1.7630883700868065</v>
      </c>
      <c r="G175" s="5"/>
      <c r="H175" s="6">
        <v>4</v>
      </c>
      <c r="I175" s="5">
        <v>0.35429583702391498</v>
      </c>
      <c r="J175" s="5"/>
      <c r="K175" s="6">
        <v>2</v>
      </c>
      <c r="L175" s="5">
        <v>1.1235955056179776</v>
      </c>
      <c r="M175" s="5"/>
      <c r="O175" s="100">
        <f t="shared" si="76"/>
        <v>1.7</v>
      </c>
      <c r="P175" s="100">
        <f t="shared" si="77"/>
        <v>1.8</v>
      </c>
      <c r="Q175" s="100">
        <f t="shared" si="78"/>
        <v>0.4</v>
      </c>
      <c r="R175" s="100">
        <f t="shared" si="79"/>
        <v>1.1000000000000001</v>
      </c>
      <c r="S175" s="100" t="e">
        <f>ROUND(#REF!,1)</f>
        <v>#REF!</v>
      </c>
      <c r="T175" s="125"/>
      <c r="U175" s="37"/>
      <c r="V175" s="37"/>
      <c r="W175" s="37"/>
      <c r="X175" s="37"/>
    </row>
    <row r="176" spans="1:24" hidden="1" x14ac:dyDescent="0.25">
      <c r="A176" s="61" t="s">
        <v>46</v>
      </c>
      <c r="B176" s="6">
        <v>47</v>
      </c>
      <c r="C176" s="5">
        <v>8.2531432183746575E-2</v>
      </c>
      <c r="D176" s="5"/>
      <c r="E176" s="6">
        <v>43</v>
      </c>
      <c r="F176" s="5">
        <v>7.7281141604212719E-2</v>
      </c>
      <c r="G176" s="5"/>
      <c r="H176" s="6">
        <v>3</v>
      </c>
      <c r="I176" s="5">
        <v>0.26572187776793621</v>
      </c>
      <c r="J176" s="5"/>
      <c r="K176" s="6">
        <v>1</v>
      </c>
      <c r="L176" s="5">
        <v>0.5617977528089888</v>
      </c>
      <c r="M176" s="5"/>
      <c r="O176" s="100">
        <f t="shared" si="76"/>
        <v>0.1</v>
      </c>
      <c r="P176" s="100">
        <f t="shared" si="77"/>
        <v>0.1</v>
      </c>
      <c r="Q176" s="100">
        <f t="shared" si="78"/>
        <v>0.3</v>
      </c>
      <c r="R176" s="100">
        <f t="shared" si="79"/>
        <v>0.6</v>
      </c>
      <c r="S176" s="100" t="e">
        <f>ROUND(#REF!,1)</f>
        <v>#REF!</v>
      </c>
      <c r="T176" s="125"/>
      <c r="U176" s="37"/>
      <c r="V176" s="37"/>
      <c r="W176" s="37"/>
      <c r="X176" s="37"/>
    </row>
    <row r="177" spans="1:24" ht="14.1" customHeight="1" x14ac:dyDescent="0.25">
      <c r="A177" s="61" t="s">
        <v>47</v>
      </c>
      <c r="B177" s="6">
        <v>1791</v>
      </c>
      <c r="C177" s="5">
        <v>3.1449743625763853</v>
      </c>
      <c r="D177" s="5"/>
      <c r="E177" s="6">
        <v>1715</v>
      </c>
      <c r="F177" s="5">
        <v>3.0822594849122047</v>
      </c>
      <c r="G177" s="5"/>
      <c r="H177" s="6">
        <v>61</v>
      </c>
      <c r="I177" s="5">
        <v>5.4030115146147022</v>
      </c>
      <c r="J177" s="5"/>
      <c r="K177" s="6">
        <v>15</v>
      </c>
      <c r="L177" s="5">
        <v>8.4269662921348321</v>
      </c>
      <c r="M177" s="5"/>
      <c r="O177" s="100">
        <f t="shared" si="76"/>
        <v>3.1</v>
      </c>
      <c r="P177" s="100">
        <f t="shared" si="77"/>
        <v>3.1</v>
      </c>
      <c r="Q177" s="100">
        <f t="shared" si="78"/>
        <v>5.4</v>
      </c>
      <c r="R177" s="100">
        <f t="shared" si="79"/>
        <v>8.4</v>
      </c>
      <c r="S177" s="100" t="e">
        <f>ROUND(#REF!,1)</f>
        <v>#REF!</v>
      </c>
      <c r="T177" s="125"/>
      <c r="U177" s="37"/>
      <c r="V177" s="37"/>
      <c r="W177" s="37"/>
      <c r="X177" s="37"/>
    </row>
    <row r="178" spans="1:24" ht="14.1" customHeight="1" x14ac:dyDescent="0.25">
      <c r="A178" s="68"/>
      <c r="B178" s="9"/>
      <c r="C178" s="15"/>
      <c r="D178" s="15"/>
      <c r="E178" s="9"/>
      <c r="F178" s="15"/>
      <c r="G178" s="15"/>
      <c r="H178" s="9"/>
      <c r="I178" s="15"/>
      <c r="J178" s="15"/>
      <c r="K178" s="9"/>
      <c r="L178" s="15"/>
      <c r="M178" s="15"/>
      <c r="O178" s="100">
        <f t="shared" si="76"/>
        <v>0</v>
      </c>
      <c r="P178" s="100">
        <f t="shared" si="77"/>
        <v>0</v>
      </c>
      <c r="Q178" s="100">
        <f t="shared" si="78"/>
        <v>0</v>
      </c>
      <c r="R178" s="100">
        <f t="shared" si="79"/>
        <v>0</v>
      </c>
      <c r="S178" s="100" t="e">
        <f>ROUND(#REF!,1)</f>
        <v>#REF!</v>
      </c>
      <c r="T178" s="125"/>
      <c r="U178" s="37"/>
      <c r="V178" s="37"/>
      <c r="W178" s="37"/>
      <c r="X178" s="37"/>
    </row>
    <row r="179" spans="1:24" ht="14.1" customHeight="1" x14ac:dyDescent="0.25">
      <c r="A179" s="94" t="s">
        <v>9</v>
      </c>
      <c r="B179" s="95">
        <v>22881</v>
      </c>
      <c r="C179" s="95">
        <v>100</v>
      </c>
      <c r="D179" s="96"/>
      <c r="E179" s="95">
        <v>22291</v>
      </c>
      <c r="F179" s="95">
        <v>100</v>
      </c>
      <c r="G179" s="96"/>
      <c r="H179" s="95">
        <v>517</v>
      </c>
      <c r="I179" s="95">
        <v>100</v>
      </c>
      <c r="J179" s="95"/>
      <c r="K179" s="95">
        <v>73</v>
      </c>
      <c r="L179" s="95">
        <v>100</v>
      </c>
      <c r="M179" s="96"/>
      <c r="N179" s="119"/>
      <c r="O179" s="116">
        <f>SUM(O180:O187)</f>
        <v>99.999999999999986</v>
      </c>
      <c r="P179" s="116">
        <f t="shared" ref="P179:S179" si="80">SUM(P180:P187)</f>
        <v>100.09999999999998</v>
      </c>
      <c r="Q179" s="116">
        <f t="shared" si="80"/>
        <v>100.5</v>
      </c>
      <c r="R179" s="116" t="e">
        <f t="shared" si="80"/>
        <v>#VALUE!</v>
      </c>
      <c r="S179" s="116" t="e">
        <f t="shared" si="80"/>
        <v>#REF!</v>
      </c>
      <c r="T179" s="125"/>
      <c r="U179" s="120"/>
      <c r="V179" s="120"/>
      <c r="W179" s="120"/>
      <c r="X179" s="120"/>
    </row>
    <row r="180" spans="1:24" ht="14.1" customHeight="1" x14ac:dyDescent="0.25">
      <c r="A180" s="61" t="s">
        <v>40</v>
      </c>
      <c r="B180" s="97">
        <v>19001</v>
      </c>
      <c r="C180" s="98">
        <v>83.042699182728029</v>
      </c>
      <c r="D180" s="98"/>
      <c r="E180" s="97">
        <v>18851</v>
      </c>
      <c r="F180" s="98">
        <v>84.567762774213804</v>
      </c>
      <c r="G180" s="98"/>
      <c r="H180" s="97">
        <v>137</v>
      </c>
      <c r="I180" s="97">
        <v>26.499032882011601</v>
      </c>
      <c r="J180" s="5"/>
      <c r="K180" s="6">
        <v>13</v>
      </c>
      <c r="L180" s="5">
        <v>17.80821917808219</v>
      </c>
      <c r="M180" s="5"/>
      <c r="O180" s="100">
        <f t="shared" ref="O180:O188" si="81">ROUND(C180,1)</f>
        <v>83</v>
      </c>
      <c r="P180" s="100">
        <f t="shared" ref="P180:P188" si="82">ROUND(F180,1)</f>
        <v>84.6</v>
      </c>
      <c r="Q180" s="100">
        <f t="shared" ref="Q180:Q188" si="83">ROUND(I180,1)</f>
        <v>26.5</v>
      </c>
      <c r="R180" s="100">
        <f t="shared" ref="R180:R188" si="84">ROUND(L180,1)</f>
        <v>17.8</v>
      </c>
      <c r="S180" s="100" t="e">
        <f>ROUND(#REF!,1)</f>
        <v>#REF!</v>
      </c>
      <c r="T180" s="125"/>
      <c r="U180" s="37"/>
      <c r="V180" s="37"/>
      <c r="W180" s="37"/>
      <c r="X180" s="37"/>
    </row>
    <row r="181" spans="1:24" ht="14.1" customHeight="1" x14ac:dyDescent="0.25">
      <c r="A181" s="61" t="s">
        <v>41</v>
      </c>
      <c r="B181" s="97">
        <v>1104</v>
      </c>
      <c r="C181" s="98">
        <v>4.8249639438835716</v>
      </c>
      <c r="D181" s="98"/>
      <c r="E181" s="97">
        <v>949</v>
      </c>
      <c r="F181" s="98">
        <v>4.2573235835090397</v>
      </c>
      <c r="G181" s="98"/>
      <c r="H181" s="97">
        <v>128</v>
      </c>
      <c r="I181" s="97">
        <v>24.758220502901356</v>
      </c>
      <c r="J181" s="5"/>
      <c r="K181" s="6">
        <v>27</v>
      </c>
      <c r="L181" s="5">
        <v>36.986301369863014</v>
      </c>
      <c r="M181" s="5"/>
      <c r="O181" s="100">
        <f t="shared" si="81"/>
        <v>4.8</v>
      </c>
      <c r="P181" s="100">
        <f t="shared" si="82"/>
        <v>4.3</v>
      </c>
      <c r="Q181" s="100">
        <f t="shared" si="83"/>
        <v>24.8</v>
      </c>
      <c r="R181" s="100">
        <f t="shared" si="84"/>
        <v>37</v>
      </c>
      <c r="S181" s="100" t="e">
        <f>ROUND(#REF!,1)</f>
        <v>#REF!</v>
      </c>
      <c r="U181" s="37"/>
      <c r="V181" s="37"/>
      <c r="W181" s="37"/>
      <c r="X181" s="37"/>
    </row>
    <row r="182" spans="1:24" ht="14.1" customHeight="1" x14ac:dyDescent="0.25">
      <c r="A182" s="61" t="s">
        <v>42</v>
      </c>
      <c r="B182" s="97">
        <v>20</v>
      </c>
      <c r="C182" s="98">
        <v>8.7408767099340062E-2</v>
      </c>
      <c r="D182" s="98"/>
      <c r="E182" s="97">
        <v>20</v>
      </c>
      <c r="F182" s="98">
        <v>8.9722309452245297E-2</v>
      </c>
      <c r="G182" s="98"/>
      <c r="H182" s="97">
        <v>0</v>
      </c>
      <c r="I182" s="97">
        <v>0</v>
      </c>
      <c r="J182" s="5"/>
      <c r="K182" s="3" t="s">
        <v>96</v>
      </c>
      <c r="L182" s="3" t="s">
        <v>96</v>
      </c>
      <c r="M182" s="5"/>
      <c r="O182" s="100">
        <f t="shared" si="81"/>
        <v>0.1</v>
      </c>
      <c r="P182" s="100">
        <f t="shared" si="82"/>
        <v>0.1</v>
      </c>
      <c r="Q182" s="100">
        <f t="shared" si="83"/>
        <v>0</v>
      </c>
      <c r="R182" s="100" t="e">
        <f t="shared" si="84"/>
        <v>#VALUE!</v>
      </c>
      <c r="S182" s="100" t="e">
        <f>ROUND(#REF!,1)</f>
        <v>#REF!</v>
      </c>
      <c r="U182" s="37"/>
      <c r="V182" s="37"/>
      <c r="W182" s="37"/>
      <c r="X182" s="37"/>
    </row>
    <row r="183" spans="1:24" ht="14.1" customHeight="1" x14ac:dyDescent="0.25">
      <c r="A183" s="61" t="s">
        <v>43</v>
      </c>
      <c r="B183" s="97">
        <v>488</v>
      </c>
      <c r="C183" s="98">
        <v>2.1327739172238975</v>
      </c>
      <c r="D183" s="98"/>
      <c r="E183" s="97">
        <v>409</v>
      </c>
      <c r="F183" s="98">
        <v>1.8348212282984162</v>
      </c>
      <c r="G183" s="98"/>
      <c r="H183" s="97">
        <v>67</v>
      </c>
      <c r="I183" s="97">
        <v>12.959381044487428</v>
      </c>
      <c r="J183" s="5"/>
      <c r="K183" s="3">
        <v>12</v>
      </c>
      <c r="L183" s="16">
        <v>16.43835616438356</v>
      </c>
      <c r="M183" s="5"/>
      <c r="O183" s="100">
        <f t="shared" si="81"/>
        <v>2.1</v>
      </c>
      <c r="P183" s="100">
        <f t="shared" si="82"/>
        <v>1.8</v>
      </c>
      <c r="Q183" s="100">
        <f t="shared" si="83"/>
        <v>13</v>
      </c>
      <c r="R183" s="100">
        <f t="shared" si="84"/>
        <v>16.399999999999999</v>
      </c>
      <c r="S183" s="100" t="e">
        <f>ROUND(#REF!,1)</f>
        <v>#REF!</v>
      </c>
      <c r="U183" s="37"/>
      <c r="V183" s="37"/>
      <c r="W183" s="37"/>
      <c r="X183" s="37"/>
    </row>
    <row r="184" spans="1:24" ht="14.1" customHeight="1" x14ac:dyDescent="0.25">
      <c r="A184" s="61" t="s">
        <v>44</v>
      </c>
      <c r="B184" s="97">
        <v>1760</v>
      </c>
      <c r="C184" s="98">
        <v>7.6919715047419261</v>
      </c>
      <c r="D184" s="98"/>
      <c r="E184" s="97">
        <v>1566</v>
      </c>
      <c r="F184" s="98">
        <v>7.0252568301108074</v>
      </c>
      <c r="G184" s="98"/>
      <c r="H184" s="97">
        <v>173</v>
      </c>
      <c r="I184" s="97">
        <v>33.462282398452608</v>
      </c>
      <c r="J184" s="5"/>
      <c r="K184" s="3">
        <v>21</v>
      </c>
      <c r="L184" s="16">
        <v>28.767123287671232</v>
      </c>
      <c r="M184" s="5"/>
      <c r="O184" s="100">
        <f t="shared" si="81"/>
        <v>7.7</v>
      </c>
      <c r="P184" s="100">
        <f t="shared" si="82"/>
        <v>7</v>
      </c>
      <c r="Q184" s="100">
        <f t="shared" si="83"/>
        <v>33.5</v>
      </c>
      <c r="R184" s="100">
        <f t="shared" si="84"/>
        <v>28.8</v>
      </c>
      <c r="S184" s="100" t="e">
        <f>ROUND(#REF!,1)</f>
        <v>#REF!</v>
      </c>
      <c r="U184" s="37"/>
      <c r="V184" s="37"/>
      <c r="W184" s="37"/>
      <c r="X184" s="37"/>
    </row>
    <row r="185" spans="1:24" x14ac:dyDescent="0.25">
      <c r="A185" s="61" t="s">
        <v>45</v>
      </c>
      <c r="B185" s="97">
        <v>396</v>
      </c>
      <c r="C185" s="98">
        <v>1.7306935885669332</v>
      </c>
      <c r="D185" s="98"/>
      <c r="E185" s="97">
        <v>392</v>
      </c>
      <c r="F185" s="98">
        <v>1.7585572652640078</v>
      </c>
      <c r="G185" s="98"/>
      <c r="H185" s="97">
        <v>4</v>
      </c>
      <c r="I185" s="97">
        <v>0.77369439071566737</v>
      </c>
      <c r="J185" s="5"/>
      <c r="K185" s="3" t="s">
        <v>96</v>
      </c>
      <c r="L185" s="16" t="s">
        <v>96</v>
      </c>
      <c r="M185" s="5"/>
      <c r="O185" s="100">
        <f t="shared" si="81"/>
        <v>1.7</v>
      </c>
      <c r="P185" s="100">
        <f t="shared" si="82"/>
        <v>1.8</v>
      </c>
      <c r="Q185" s="100">
        <f t="shared" si="83"/>
        <v>0.8</v>
      </c>
      <c r="R185" s="100" t="e">
        <f t="shared" si="84"/>
        <v>#VALUE!</v>
      </c>
      <c r="S185" s="100" t="e">
        <f>ROUND(#REF!,1)</f>
        <v>#REF!</v>
      </c>
      <c r="U185" s="37"/>
      <c r="V185" s="37"/>
      <c r="W185" s="37"/>
      <c r="X185" s="37"/>
    </row>
    <row r="186" spans="1:24" ht="12" hidden="1" customHeight="1" x14ac:dyDescent="0.25">
      <c r="A186" s="61" t="s">
        <v>46</v>
      </c>
      <c r="B186" s="97">
        <v>12</v>
      </c>
      <c r="C186" s="98">
        <v>5.2445260259604033E-2</v>
      </c>
      <c r="D186" s="98"/>
      <c r="E186" s="97">
        <v>10</v>
      </c>
      <c r="F186" s="98">
        <v>4.4861154726122648E-2</v>
      </c>
      <c r="G186" s="98"/>
      <c r="H186" s="97">
        <v>2</v>
      </c>
      <c r="I186" s="97">
        <v>0.38684719535783368</v>
      </c>
      <c r="J186" s="5"/>
      <c r="K186" s="3" t="s">
        <v>96</v>
      </c>
      <c r="L186" s="3" t="s">
        <v>96</v>
      </c>
      <c r="M186" s="5"/>
      <c r="O186" s="100">
        <f t="shared" si="81"/>
        <v>0.1</v>
      </c>
      <c r="P186" s="100">
        <f t="shared" si="82"/>
        <v>0</v>
      </c>
      <c r="Q186" s="100">
        <f t="shared" si="83"/>
        <v>0.4</v>
      </c>
      <c r="R186" s="100" t="e">
        <f t="shared" si="84"/>
        <v>#VALUE!</v>
      </c>
      <c r="S186" s="100" t="e">
        <f>ROUND(#REF!,1)</f>
        <v>#REF!</v>
      </c>
      <c r="U186" s="37"/>
      <c r="V186" s="37"/>
      <c r="W186" s="37"/>
      <c r="X186" s="37"/>
    </row>
    <row r="187" spans="1:24" ht="14.1" customHeight="1" x14ac:dyDescent="0.25">
      <c r="A187" s="61" t="s">
        <v>47</v>
      </c>
      <c r="B187" s="97">
        <v>112</v>
      </c>
      <c r="C187" s="98">
        <v>0.48948909575630434</v>
      </c>
      <c r="D187" s="98"/>
      <c r="E187" s="97">
        <v>104</v>
      </c>
      <c r="F187" s="98">
        <v>0.46655600915167561</v>
      </c>
      <c r="G187" s="98"/>
      <c r="H187" s="97">
        <v>8</v>
      </c>
      <c r="I187" s="97">
        <v>1.5473887814313347</v>
      </c>
      <c r="J187" s="5"/>
      <c r="K187" s="3" t="s">
        <v>96</v>
      </c>
      <c r="L187" s="3" t="s">
        <v>96</v>
      </c>
      <c r="M187" s="5"/>
      <c r="O187" s="100">
        <f t="shared" si="81"/>
        <v>0.5</v>
      </c>
      <c r="P187" s="100">
        <f t="shared" si="82"/>
        <v>0.5</v>
      </c>
      <c r="Q187" s="100">
        <f t="shared" si="83"/>
        <v>1.5</v>
      </c>
      <c r="R187" s="100" t="e">
        <f t="shared" si="84"/>
        <v>#VALUE!</v>
      </c>
      <c r="S187" s="100" t="e">
        <f>ROUND(#REF!,1)</f>
        <v>#REF!</v>
      </c>
      <c r="U187" s="37"/>
      <c r="V187" s="37"/>
      <c r="W187" s="37"/>
      <c r="X187" s="37"/>
    </row>
    <row r="188" spans="1:24" ht="14.1" customHeight="1" x14ac:dyDescent="0.25">
      <c r="A188" s="68"/>
      <c r="B188" s="9"/>
      <c r="C188" s="15"/>
      <c r="D188" s="15"/>
      <c r="E188" s="9"/>
      <c r="F188" s="15"/>
      <c r="G188" s="15"/>
      <c r="H188" s="9"/>
      <c r="I188" s="15"/>
      <c r="J188" s="15"/>
      <c r="K188" s="9"/>
      <c r="L188" s="15"/>
      <c r="M188" s="15"/>
      <c r="O188" s="100">
        <f t="shared" si="81"/>
        <v>0</v>
      </c>
      <c r="P188" s="100">
        <f t="shared" si="82"/>
        <v>0</v>
      </c>
      <c r="Q188" s="100">
        <f t="shared" si="83"/>
        <v>0</v>
      </c>
      <c r="R188" s="100">
        <f t="shared" si="84"/>
        <v>0</v>
      </c>
      <c r="S188" s="100" t="e">
        <f>ROUND(#REF!,1)</f>
        <v>#REF!</v>
      </c>
      <c r="U188" s="37"/>
      <c r="V188" s="37"/>
      <c r="W188" s="37"/>
      <c r="X188" s="37"/>
    </row>
    <row r="189" spans="1:24" ht="14.1" customHeight="1" x14ac:dyDescent="0.25">
      <c r="A189" s="63" t="s">
        <v>8</v>
      </c>
      <c r="B189" s="9">
        <v>18607</v>
      </c>
      <c r="C189" s="15">
        <v>100</v>
      </c>
      <c r="D189" s="15"/>
      <c r="E189" s="95">
        <v>18260</v>
      </c>
      <c r="F189" s="15">
        <v>100</v>
      </c>
      <c r="G189" s="15"/>
      <c r="H189" s="9">
        <v>313</v>
      </c>
      <c r="I189" s="15">
        <v>100</v>
      </c>
      <c r="J189" s="15"/>
      <c r="K189" s="9">
        <v>34</v>
      </c>
      <c r="L189" s="15">
        <v>100</v>
      </c>
      <c r="M189" s="15"/>
      <c r="O189" s="100">
        <f>SUM(O190:O197)</f>
        <v>100.1</v>
      </c>
      <c r="P189" s="100">
        <f t="shared" ref="P189:S189" si="85">SUM(P190:P197)</f>
        <v>100.09999999999997</v>
      </c>
      <c r="Q189" s="100" t="e">
        <f t="shared" si="85"/>
        <v>#VALUE!</v>
      </c>
      <c r="R189" s="100" t="e">
        <f t="shared" si="85"/>
        <v>#VALUE!</v>
      </c>
      <c r="S189" s="100" t="e">
        <f t="shared" si="85"/>
        <v>#REF!</v>
      </c>
      <c r="U189" s="37"/>
      <c r="V189" s="37"/>
      <c r="W189" s="37"/>
      <c r="X189" s="37"/>
    </row>
    <row r="190" spans="1:24" ht="14.1" customHeight="1" x14ac:dyDescent="0.25">
      <c r="A190" s="61" t="s">
        <v>40</v>
      </c>
      <c r="B190" s="6">
        <v>13658</v>
      </c>
      <c r="C190" s="5">
        <v>73.502482936529262</v>
      </c>
      <c r="D190" s="5"/>
      <c r="E190" s="97">
        <v>13630</v>
      </c>
      <c r="F190" s="5">
        <v>74.644030668127044</v>
      </c>
      <c r="G190" s="5"/>
      <c r="H190" s="6">
        <v>28</v>
      </c>
      <c r="I190" s="5">
        <v>8.9456869009584654</v>
      </c>
      <c r="J190" s="5"/>
      <c r="K190" s="3" t="s">
        <v>96</v>
      </c>
      <c r="L190" s="3" t="s">
        <v>96</v>
      </c>
      <c r="M190" s="5"/>
      <c r="O190" s="100">
        <f t="shared" ref="O190:O198" si="86">ROUND(C190,1)</f>
        <v>73.5</v>
      </c>
      <c r="P190" s="100">
        <f t="shared" ref="P190:P198" si="87">ROUND(F190,1)</f>
        <v>74.599999999999994</v>
      </c>
      <c r="Q190" s="100">
        <f t="shared" ref="Q190:Q198" si="88">ROUND(I190,1)</f>
        <v>8.9</v>
      </c>
      <c r="R190" s="100" t="e">
        <f t="shared" ref="R190:R198" si="89">ROUND(L190,1)</f>
        <v>#VALUE!</v>
      </c>
      <c r="S190" s="100" t="e">
        <f>ROUND(#REF!,1)</f>
        <v>#REF!</v>
      </c>
      <c r="U190" s="37"/>
      <c r="V190" s="37"/>
      <c r="W190" s="37"/>
      <c r="X190" s="37"/>
    </row>
    <row r="191" spans="1:24" ht="14.1" customHeight="1" x14ac:dyDescent="0.25">
      <c r="A191" s="61" t="s">
        <v>41</v>
      </c>
      <c r="B191" s="6">
        <v>1025</v>
      </c>
      <c r="C191" s="5">
        <v>5.508679529209437</v>
      </c>
      <c r="D191" s="5"/>
      <c r="E191" s="97">
        <v>936</v>
      </c>
      <c r="F191" s="5">
        <v>5.1259583789704273</v>
      </c>
      <c r="G191" s="5"/>
      <c r="H191" s="6">
        <v>77</v>
      </c>
      <c r="I191" s="5">
        <v>24.600638977635782</v>
      </c>
      <c r="J191" s="5"/>
      <c r="K191" s="3">
        <v>12</v>
      </c>
      <c r="L191" s="16">
        <v>35.294117647058826</v>
      </c>
      <c r="M191" s="5"/>
      <c r="O191" s="100">
        <f t="shared" si="86"/>
        <v>5.5</v>
      </c>
      <c r="P191" s="100">
        <f t="shared" si="87"/>
        <v>5.0999999999999996</v>
      </c>
      <c r="Q191" s="100">
        <f t="shared" si="88"/>
        <v>24.6</v>
      </c>
      <c r="R191" s="100">
        <f t="shared" si="89"/>
        <v>35.299999999999997</v>
      </c>
      <c r="S191" s="100" t="e">
        <f>ROUND(#REF!,1)</f>
        <v>#REF!</v>
      </c>
      <c r="U191" s="37"/>
      <c r="V191" s="37"/>
      <c r="W191" s="37"/>
      <c r="X191" s="37"/>
    </row>
    <row r="192" spans="1:24" ht="14.1" customHeight="1" x14ac:dyDescent="0.25">
      <c r="A192" s="61" t="s">
        <v>42</v>
      </c>
      <c r="B192" s="6">
        <v>47</v>
      </c>
      <c r="C192" s="5">
        <v>0.25259311011984736</v>
      </c>
      <c r="D192" s="5"/>
      <c r="E192" s="97">
        <v>46</v>
      </c>
      <c r="F192" s="5">
        <v>0.25191675794085433</v>
      </c>
      <c r="G192" s="5"/>
      <c r="H192" s="6">
        <v>1</v>
      </c>
      <c r="I192" s="5">
        <v>0.31948881789137379</v>
      </c>
      <c r="J192" s="5"/>
      <c r="K192" s="3" t="s">
        <v>96</v>
      </c>
      <c r="L192" s="3" t="s">
        <v>96</v>
      </c>
      <c r="M192" s="5"/>
      <c r="O192" s="100">
        <f t="shared" si="86"/>
        <v>0.3</v>
      </c>
      <c r="P192" s="100">
        <f t="shared" si="87"/>
        <v>0.3</v>
      </c>
      <c r="Q192" s="100">
        <f t="shared" si="88"/>
        <v>0.3</v>
      </c>
      <c r="R192" s="100" t="e">
        <f t="shared" si="89"/>
        <v>#VALUE!</v>
      </c>
      <c r="S192" s="100" t="e">
        <f>ROUND(#REF!,1)</f>
        <v>#REF!</v>
      </c>
      <c r="U192" s="37"/>
      <c r="V192" s="37"/>
      <c r="W192" s="37"/>
      <c r="X192" s="37"/>
    </row>
    <row r="193" spans="1:24" ht="14.1" customHeight="1" x14ac:dyDescent="0.25">
      <c r="A193" s="61" t="s">
        <v>43</v>
      </c>
      <c r="B193" s="6">
        <v>824</v>
      </c>
      <c r="C193" s="5">
        <v>4.4284409093351957</v>
      </c>
      <c r="D193" s="5"/>
      <c r="E193" s="97">
        <v>740</v>
      </c>
      <c r="F193" s="5">
        <v>4.0525739320920042</v>
      </c>
      <c r="G193" s="5"/>
      <c r="H193" s="6">
        <v>75</v>
      </c>
      <c r="I193" s="5">
        <v>23.961661341853034</v>
      </c>
      <c r="J193" s="5"/>
      <c r="K193" s="6">
        <v>9</v>
      </c>
      <c r="L193" s="5">
        <v>26.47058823529412</v>
      </c>
      <c r="M193" s="5"/>
      <c r="O193" s="100">
        <f t="shared" si="86"/>
        <v>4.4000000000000004</v>
      </c>
      <c r="P193" s="100">
        <f t="shared" si="87"/>
        <v>4.0999999999999996</v>
      </c>
      <c r="Q193" s="100">
        <f t="shared" si="88"/>
        <v>24</v>
      </c>
      <c r="R193" s="100">
        <f t="shared" si="89"/>
        <v>26.5</v>
      </c>
      <c r="S193" s="100" t="e">
        <f>ROUND(#REF!,1)</f>
        <v>#REF!</v>
      </c>
      <c r="U193" s="37"/>
      <c r="V193" s="37"/>
      <c r="W193" s="37"/>
      <c r="X193" s="37"/>
    </row>
    <row r="194" spans="1:24" ht="14.1" customHeight="1" x14ac:dyDescent="0.25">
      <c r="A194" s="61" t="s">
        <v>44</v>
      </c>
      <c r="B194" s="6">
        <v>2434</v>
      </c>
      <c r="C194" s="5">
        <v>12.981098511312947</v>
      </c>
      <c r="D194" s="5"/>
      <c r="E194" s="97">
        <v>2306</v>
      </c>
      <c r="F194" s="5">
        <v>12.62869660460022</v>
      </c>
      <c r="G194" s="5"/>
      <c r="H194" s="6">
        <v>121</v>
      </c>
      <c r="I194" s="5">
        <v>38.658146964856229</v>
      </c>
      <c r="J194" s="5"/>
      <c r="K194" s="6">
        <v>7</v>
      </c>
      <c r="L194" s="5">
        <v>20.588235294117645</v>
      </c>
      <c r="M194" s="5"/>
      <c r="O194" s="100">
        <f t="shared" si="86"/>
        <v>13</v>
      </c>
      <c r="P194" s="100">
        <f t="shared" si="87"/>
        <v>12.6</v>
      </c>
      <c r="Q194" s="100">
        <f t="shared" si="88"/>
        <v>38.700000000000003</v>
      </c>
      <c r="R194" s="100">
        <f t="shared" si="89"/>
        <v>20.6</v>
      </c>
      <c r="S194" s="100" t="e">
        <f>ROUND(#REF!,1)</f>
        <v>#REF!</v>
      </c>
      <c r="U194" s="37"/>
      <c r="V194" s="37"/>
      <c r="W194" s="37"/>
      <c r="X194" s="37"/>
    </row>
    <row r="195" spans="1:24" x14ac:dyDescent="0.25">
      <c r="A195" s="61" t="s">
        <v>45</v>
      </c>
      <c r="B195" s="6">
        <v>429</v>
      </c>
      <c r="C195" s="5">
        <v>2.305583920030096</v>
      </c>
      <c r="D195" s="5"/>
      <c r="E195" s="97">
        <v>420</v>
      </c>
      <c r="F195" s="5">
        <v>2.3001095290251916</v>
      </c>
      <c r="G195" s="5"/>
      <c r="H195" s="6">
        <v>6</v>
      </c>
      <c r="I195" s="5">
        <v>1.9169329073482428</v>
      </c>
      <c r="J195" s="5"/>
      <c r="K195" s="6">
        <v>3</v>
      </c>
      <c r="L195" s="5">
        <v>8.8235294117647065</v>
      </c>
      <c r="M195" s="5"/>
      <c r="O195" s="100">
        <f t="shared" si="86"/>
        <v>2.2999999999999998</v>
      </c>
      <c r="P195" s="100">
        <f t="shared" si="87"/>
        <v>2.2999999999999998</v>
      </c>
      <c r="Q195" s="100">
        <f t="shared" si="88"/>
        <v>1.9</v>
      </c>
      <c r="R195" s="100">
        <f t="shared" si="89"/>
        <v>8.8000000000000007</v>
      </c>
      <c r="S195" s="100" t="e">
        <f>ROUND(#REF!,1)</f>
        <v>#REF!</v>
      </c>
      <c r="U195" s="37"/>
      <c r="V195" s="37"/>
      <c r="W195" s="37"/>
      <c r="X195" s="37"/>
    </row>
    <row r="196" spans="1:24" ht="17.25" hidden="1" customHeight="1" x14ac:dyDescent="0.25">
      <c r="A196" s="61" t="s">
        <v>46</v>
      </c>
      <c r="B196" s="6">
        <v>17</v>
      </c>
      <c r="C196" s="5">
        <v>9.1363465362497981E-2</v>
      </c>
      <c r="D196" s="5"/>
      <c r="E196" s="97">
        <v>14</v>
      </c>
      <c r="F196" s="5">
        <v>7.6670317634173063E-2</v>
      </c>
      <c r="G196" s="5"/>
      <c r="H196" s="3" t="s">
        <v>96</v>
      </c>
      <c r="I196" s="3" t="s">
        <v>96</v>
      </c>
      <c r="J196" s="5"/>
      <c r="K196" s="6">
        <v>3</v>
      </c>
      <c r="L196" s="5">
        <v>8.8235294117647065</v>
      </c>
      <c r="M196" s="5"/>
      <c r="O196" s="100">
        <f t="shared" si="86"/>
        <v>0.1</v>
      </c>
      <c r="P196" s="100">
        <f t="shared" si="87"/>
        <v>0.1</v>
      </c>
      <c r="Q196" s="100" t="e">
        <f t="shared" si="88"/>
        <v>#VALUE!</v>
      </c>
      <c r="R196" s="100">
        <f t="shared" si="89"/>
        <v>8.8000000000000007</v>
      </c>
      <c r="S196" s="100" t="e">
        <f>ROUND(#REF!,1)</f>
        <v>#REF!</v>
      </c>
      <c r="U196" s="37"/>
      <c r="V196" s="37"/>
      <c r="W196" s="37"/>
      <c r="X196" s="37"/>
    </row>
    <row r="197" spans="1:24" ht="14.1" customHeight="1" x14ac:dyDescent="0.25">
      <c r="A197" s="61" t="s">
        <v>47</v>
      </c>
      <c r="B197" s="6">
        <v>190</v>
      </c>
      <c r="C197" s="5">
        <v>1.021121083463213</v>
      </c>
      <c r="D197" s="6" t="e">
        <v>#VALUE!</v>
      </c>
      <c r="E197" s="97">
        <v>182</v>
      </c>
      <c r="F197" s="5">
        <v>1.006427935734888</v>
      </c>
      <c r="G197" s="6"/>
      <c r="H197" s="6">
        <v>5</v>
      </c>
      <c r="I197" s="5">
        <v>1.5974440894568689</v>
      </c>
      <c r="J197" s="6"/>
      <c r="K197" s="6">
        <v>3</v>
      </c>
      <c r="L197" s="5">
        <v>8.8235294117647065</v>
      </c>
      <c r="M197" s="5"/>
      <c r="O197" s="100">
        <f t="shared" si="86"/>
        <v>1</v>
      </c>
      <c r="P197" s="100">
        <f t="shared" si="87"/>
        <v>1</v>
      </c>
      <c r="Q197" s="100">
        <f t="shared" si="88"/>
        <v>1.6</v>
      </c>
      <c r="R197" s="100">
        <f t="shared" si="89"/>
        <v>8.8000000000000007</v>
      </c>
      <c r="S197" s="100" t="e">
        <f>ROUND(#REF!,1)</f>
        <v>#REF!</v>
      </c>
      <c r="U197" s="37"/>
      <c r="V197" s="37"/>
      <c r="W197" s="37"/>
      <c r="X197" s="37"/>
    </row>
    <row r="198" spans="1:24" ht="14.1" customHeight="1" x14ac:dyDescent="0.25">
      <c r="A198" s="68"/>
      <c r="B198" s="9"/>
      <c r="C198" s="15"/>
      <c r="D198" s="15"/>
      <c r="E198" s="9"/>
      <c r="F198" s="15"/>
      <c r="G198" s="15"/>
      <c r="H198" s="9"/>
      <c r="I198" s="15"/>
      <c r="J198" s="15"/>
      <c r="K198" s="9"/>
      <c r="L198" s="15"/>
      <c r="M198" s="15"/>
      <c r="O198" s="100">
        <f t="shared" si="86"/>
        <v>0</v>
      </c>
      <c r="P198" s="100">
        <f t="shared" si="87"/>
        <v>0</v>
      </c>
      <c r="Q198" s="100">
        <f t="shared" si="88"/>
        <v>0</v>
      </c>
      <c r="R198" s="100">
        <f t="shared" si="89"/>
        <v>0</v>
      </c>
      <c r="S198" s="100" t="e">
        <f>ROUND(#REF!,1)</f>
        <v>#REF!</v>
      </c>
      <c r="U198" s="37"/>
      <c r="V198" s="37"/>
      <c r="W198" s="37"/>
      <c r="X198" s="37"/>
    </row>
    <row r="199" spans="1:24" ht="14.1" customHeight="1" x14ac:dyDescent="0.25">
      <c r="A199" s="63" t="s">
        <v>7</v>
      </c>
      <c r="B199" s="95">
        <v>17927</v>
      </c>
      <c r="C199" s="96">
        <v>100</v>
      </c>
      <c r="D199" s="96"/>
      <c r="E199" s="95">
        <v>17615</v>
      </c>
      <c r="F199" s="96">
        <v>100</v>
      </c>
      <c r="G199" s="96"/>
      <c r="H199" s="95">
        <v>289</v>
      </c>
      <c r="I199" s="96">
        <v>100</v>
      </c>
      <c r="J199" s="96"/>
      <c r="K199" s="95">
        <v>23</v>
      </c>
      <c r="L199" s="15">
        <v>100</v>
      </c>
      <c r="M199" s="15"/>
      <c r="O199" s="100">
        <f>SUM(O200:O207)</f>
        <v>100.19999999999999</v>
      </c>
      <c r="P199" s="100">
        <f t="shared" ref="P199:S199" si="90">SUM(P200:P207)</f>
        <v>100.19999999999997</v>
      </c>
      <c r="Q199" s="100" t="e">
        <f t="shared" si="90"/>
        <v>#VALUE!</v>
      </c>
      <c r="R199" s="100" t="e">
        <f t="shared" si="90"/>
        <v>#VALUE!</v>
      </c>
      <c r="S199" s="100" t="e">
        <f t="shared" si="90"/>
        <v>#REF!</v>
      </c>
      <c r="U199" s="37"/>
      <c r="V199" s="37"/>
      <c r="W199" s="37"/>
      <c r="X199" s="37"/>
    </row>
    <row r="200" spans="1:24" ht="14.1" customHeight="1" x14ac:dyDescent="0.25">
      <c r="A200" s="61" t="s">
        <v>40</v>
      </c>
      <c r="B200" s="6">
        <v>13429</v>
      </c>
      <c r="C200" s="5">
        <v>74.80935460478608</v>
      </c>
      <c r="D200" s="6">
        <v>13389</v>
      </c>
      <c r="E200" s="6">
        <v>13389</v>
      </c>
      <c r="F200" s="5">
        <v>76.109083167754747</v>
      </c>
      <c r="G200" s="6"/>
      <c r="H200" s="6">
        <v>40</v>
      </c>
      <c r="I200" s="5">
        <v>14.04083044982699</v>
      </c>
      <c r="J200" s="6"/>
      <c r="K200" s="3" t="s">
        <v>96</v>
      </c>
      <c r="L200" s="3" t="s">
        <v>96</v>
      </c>
      <c r="M200" s="5"/>
      <c r="O200" s="100">
        <f t="shared" ref="O200:O208" si="91">ROUND(C200,1)</f>
        <v>74.8</v>
      </c>
      <c r="P200" s="100">
        <f t="shared" ref="P200:P208" si="92">ROUND(F200,1)</f>
        <v>76.099999999999994</v>
      </c>
      <c r="Q200" s="100">
        <f t="shared" ref="Q200:Q208" si="93">ROUND(I200,1)</f>
        <v>14</v>
      </c>
      <c r="R200" s="100" t="e">
        <f t="shared" ref="R200:R208" si="94">ROUND(L200,1)</f>
        <v>#VALUE!</v>
      </c>
      <c r="S200" s="100" t="e">
        <f>ROUND(#REF!,1)</f>
        <v>#REF!</v>
      </c>
      <c r="U200" s="37"/>
      <c r="V200" s="37"/>
      <c r="W200" s="37"/>
      <c r="X200" s="37"/>
    </row>
    <row r="201" spans="1:24" ht="14.1" customHeight="1" x14ac:dyDescent="0.25">
      <c r="A201" s="61" t="s">
        <v>41</v>
      </c>
      <c r="B201" s="6">
        <v>1913</v>
      </c>
      <c r="C201" s="5">
        <v>10.671054833491382</v>
      </c>
      <c r="D201" s="5"/>
      <c r="E201" s="6">
        <v>1786</v>
      </c>
      <c r="F201" s="5">
        <v>10.139086006244678</v>
      </c>
      <c r="G201" s="5"/>
      <c r="H201" s="6">
        <v>116</v>
      </c>
      <c r="I201" s="5">
        <v>40.13840830449827</v>
      </c>
      <c r="J201" s="5"/>
      <c r="K201" s="3">
        <v>11</v>
      </c>
      <c r="L201" s="16">
        <v>47.826086956521699</v>
      </c>
      <c r="M201" s="5"/>
      <c r="O201" s="100">
        <f t="shared" si="91"/>
        <v>10.7</v>
      </c>
      <c r="P201" s="100">
        <f t="shared" si="92"/>
        <v>10.1</v>
      </c>
      <c r="Q201" s="100">
        <f t="shared" si="93"/>
        <v>40.1</v>
      </c>
      <c r="R201" s="100">
        <f t="shared" si="94"/>
        <v>47.8</v>
      </c>
      <c r="S201" s="100" t="e">
        <f>ROUND(#REF!,1)</f>
        <v>#REF!</v>
      </c>
      <c r="U201" s="37"/>
      <c r="V201" s="37"/>
      <c r="W201" s="37"/>
      <c r="X201" s="37"/>
    </row>
    <row r="202" spans="1:24" ht="14.1" customHeight="1" x14ac:dyDescent="0.25">
      <c r="A202" s="61" t="s">
        <v>42</v>
      </c>
      <c r="B202" s="6">
        <v>22</v>
      </c>
      <c r="C202" s="5">
        <v>0.1227199196742344</v>
      </c>
      <c r="D202" s="5"/>
      <c r="E202" s="6">
        <v>22</v>
      </c>
      <c r="F202" s="5">
        <v>0.12489355662787396</v>
      </c>
      <c r="G202" s="5"/>
      <c r="H202" s="154" t="s">
        <v>96</v>
      </c>
      <c r="I202" s="154" t="s">
        <v>96</v>
      </c>
      <c r="J202" s="5"/>
      <c r="K202" s="3" t="s">
        <v>96</v>
      </c>
      <c r="L202" s="3" t="s">
        <v>96</v>
      </c>
      <c r="M202" s="5"/>
      <c r="O202" s="100">
        <f t="shared" si="91"/>
        <v>0.1</v>
      </c>
      <c r="P202" s="100">
        <f t="shared" si="92"/>
        <v>0.1</v>
      </c>
      <c r="Q202" s="100" t="e">
        <f t="shared" si="93"/>
        <v>#VALUE!</v>
      </c>
      <c r="R202" s="100" t="e">
        <f t="shared" si="94"/>
        <v>#VALUE!</v>
      </c>
      <c r="S202" s="100" t="e">
        <f>ROUND(#REF!,1)</f>
        <v>#REF!</v>
      </c>
      <c r="U202" s="37"/>
      <c r="V202" s="37"/>
      <c r="W202" s="37"/>
      <c r="X202" s="37"/>
    </row>
    <row r="203" spans="1:24" ht="14.1" customHeight="1" x14ac:dyDescent="0.25">
      <c r="A203" s="61" t="s">
        <v>43</v>
      </c>
      <c r="B203" s="6">
        <v>497</v>
      </c>
      <c r="C203" s="5">
        <v>2.7723545490042953</v>
      </c>
      <c r="D203" s="5"/>
      <c r="E203" s="6">
        <v>453</v>
      </c>
      <c r="F203" s="5">
        <v>2.5716718705648596</v>
      </c>
      <c r="G203" s="5"/>
      <c r="H203" s="6">
        <v>40</v>
      </c>
      <c r="I203" s="5">
        <v>13.84083044982699</v>
      </c>
      <c r="J203" s="5"/>
      <c r="K203" s="3">
        <v>4</v>
      </c>
      <c r="L203" s="16">
        <v>17.391304347826086</v>
      </c>
      <c r="M203" s="5"/>
      <c r="O203" s="100">
        <f t="shared" si="91"/>
        <v>2.8</v>
      </c>
      <c r="P203" s="100">
        <f t="shared" si="92"/>
        <v>2.6</v>
      </c>
      <c r="Q203" s="100">
        <f t="shared" si="93"/>
        <v>13.8</v>
      </c>
      <c r="R203" s="100">
        <f t="shared" si="94"/>
        <v>17.399999999999999</v>
      </c>
      <c r="S203" s="100" t="e">
        <f>ROUND(#REF!,1)</f>
        <v>#REF!</v>
      </c>
      <c r="U203" s="37"/>
      <c r="V203" s="37"/>
      <c r="W203" s="37"/>
      <c r="X203" s="37"/>
    </row>
    <row r="204" spans="1:24" ht="14.1" customHeight="1" x14ac:dyDescent="0.25">
      <c r="A204" s="61" t="s">
        <v>44</v>
      </c>
      <c r="B204" s="6">
        <v>1270</v>
      </c>
      <c r="C204" s="5">
        <v>7.0842862721035305</v>
      </c>
      <c r="D204" s="5"/>
      <c r="E204" s="6">
        <v>1205</v>
      </c>
      <c r="F204" s="5">
        <v>6.8407607152994609</v>
      </c>
      <c r="G204" s="5"/>
      <c r="H204" s="6">
        <v>64</v>
      </c>
      <c r="I204" s="5">
        <v>22.145328719723185</v>
      </c>
      <c r="J204" s="5"/>
      <c r="K204" s="3">
        <v>1</v>
      </c>
      <c r="L204" s="16">
        <v>4.3478260869565215</v>
      </c>
      <c r="M204" s="5"/>
      <c r="O204" s="100">
        <f t="shared" si="91"/>
        <v>7.1</v>
      </c>
      <c r="P204" s="100">
        <f t="shared" si="92"/>
        <v>6.8</v>
      </c>
      <c r="Q204" s="100">
        <f t="shared" si="93"/>
        <v>22.1</v>
      </c>
      <c r="R204" s="100">
        <f t="shared" si="94"/>
        <v>4.3</v>
      </c>
      <c r="S204" s="100" t="e">
        <f>ROUND(#REF!,1)</f>
        <v>#REF!</v>
      </c>
      <c r="U204" s="37"/>
      <c r="V204" s="37"/>
      <c r="W204" s="37"/>
      <c r="X204" s="37"/>
    </row>
    <row r="205" spans="1:24" ht="14.1" customHeight="1" x14ac:dyDescent="0.25">
      <c r="A205" s="61" t="s">
        <v>45</v>
      </c>
      <c r="B205" s="6">
        <v>356</v>
      </c>
      <c r="C205" s="5">
        <v>1.9858314274557931</v>
      </c>
      <c r="D205" s="5"/>
      <c r="E205" s="6">
        <v>354</v>
      </c>
      <c r="F205" s="5">
        <v>2.0096508657394265</v>
      </c>
      <c r="G205" s="5"/>
      <c r="H205" s="6">
        <v>2</v>
      </c>
      <c r="I205" s="5">
        <v>0.69204152249134954</v>
      </c>
      <c r="J205" s="5"/>
      <c r="K205" s="3" t="s">
        <v>96</v>
      </c>
      <c r="L205" s="3" t="s">
        <v>96</v>
      </c>
      <c r="M205" s="5"/>
      <c r="O205" s="100">
        <f t="shared" si="91"/>
        <v>2</v>
      </c>
      <c r="P205" s="100">
        <f t="shared" si="92"/>
        <v>2</v>
      </c>
      <c r="Q205" s="100">
        <f t="shared" si="93"/>
        <v>0.7</v>
      </c>
      <c r="R205" s="100" t="e">
        <f t="shared" si="94"/>
        <v>#VALUE!</v>
      </c>
      <c r="S205" s="100" t="e">
        <f>ROUND(#REF!,1)</f>
        <v>#REF!</v>
      </c>
      <c r="U205" s="37"/>
      <c r="V205" s="37"/>
      <c r="W205" s="37"/>
      <c r="X205" s="37"/>
    </row>
    <row r="206" spans="1:24" hidden="1" x14ac:dyDescent="0.25">
      <c r="A206" s="61" t="s">
        <v>46</v>
      </c>
      <c r="B206" s="6">
        <v>42</v>
      </c>
      <c r="C206" s="5">
        <v>0.23428348301444746</v>
      </c>
      <c r="D206" s="5"/>
      <c r="E206" s="6">
        <v>33</v>
      </c>
      <c r="F206" s="5">
        <v>0.18734033494181096</v>
      </c>
      <c r="G206" s="5"/>
      <c r="H206" s="6">
        <v>6</v>
      </c>
      <c r="I206" s="5">
        <v>2.0761245674740483</v>
      </c>
      <c r="J206" s="5"/>
      <c r="K206" s="6">
        <v>3</v>
      </c>
      <c r="L206" s="5">
        <v>13.043478260869565</v>
      </c>
      <c r="M206" s="5"/>
      <c r="O206" s="100">
        <f t="shared" si="91"/>
        <v>0.2</v>
      </c>
      <c r="P206" s="100">
        <f t="shared" si="92"/>
        <v>0.2</v>
      </c>
      <c r="Q206" s="100">
        <f t="shared" si="93"/>
        <v>2.1</v>
      </c>
      <c r="R206" s="100">
        <f t="shared" si="94"/>
        <v>13</v>
      </c>
      <c r="S206" s="100" t="e">
        <f>ROUND(#REF!,1)</f>
        <v>#REF!</v>
      </c>
      <c r="U206" s="37"/>
      <c r="V206" s="37"/>
      <c r="W206" s="37"/>
      <c r="X206" s="37"/>
    </row>
    <row r="207" spans="1:24" ht="14.1" customHeight="1" x14ac:dyDescent="0.25">
      <c r="A207" s="61" t="s">
        <v>47</v>
      </c>
      <c r="B207" s="6">
        <v>440</v>
      </c>
      <c r="C207" s="5">
        <v>2.4543983934846878</v>
      </c>
      <c r="D207" s="6" t="e">
        <v>#VALUE!</v>
      </c>
      <c r="E207" s="6">
        <v>406</v>
      </c>
      <c r="F207" s="5">
        <v>2.3048538177689468</v>
      </c>
      <c r="G207" s="6"/>
      <c r="H207" s="6">
        <v>27</v>
      </c>
      <c r="I207" s="5">
        <v>9.3425605536332181</v>
      </c>
      <c r="J207" s="6"/>
      <c r="K207" s="6">
        <v>7</v>
      </c>
      <c r="L207" s="5">
        <v>30.53478260869565</v>
      </c>
      <c r="M207" s="5"/>
      <c r="O207" s="100">
        <f t="shared" si="91"/>
        <v>2.5</v>
      </c>
      <c r="P207" s="100">
        <f t="shared" si="92"/>
        <v>2.2999999999999998</v>
      </c>
      <c r="Q207" s="100">
        <f t="shared" si="93"/>
        <v>9.3000000000000007</v>
      </c>
      <c r="R207" s="100">
        <f t="shared" si="94"/>
        <v>30.5</v>
      </c>
      <c r="S207" s="100" t="e">
        <f>ROUND(#REF!,1)</f>
        <v>#REF!</v>
      </c>
      <c r="U207" s="37"/>
      <c r="V207" s="37"/>
      <c r="W207" s="37"/>
      <c r="X207" s="37"/>
    </row>
    <row r="208" spans="1:24" ht="14.1" customHeight="1" x14ac:dyDescent="0.25">
      <c r="A208" s="61"/>
      <c r="B208" s="6"/>
      <c r="C208" s="5"/>
      <c r="D208" s="5"/>
      <c r="E208" s="6"/>
      <c r="F208" s="5"/>
      <c r="G208" s="5"/>
      <c r="H208" s="6"/>
      <c r="I208" s="5"/>
      <c r="J208" s="5"/>
      <c r="K208" s="6"/>
      <c r="L208" s="5"/>
      <c r="M208" s="15"/>
      <c r="O208" s="100">
        <f t="shared" si="91"/>
        <v>0</v>
      </c>
      <c r="P208" s="100">
        <f t="shared" si="92"/>
        <v>0</v>
      </c>
      <c r="Q208" s="100">
        <f t="shared" si="93"/>
        <v>0</v>
      </c>
      <c r="R208" s="100">
        <f t="shared" si="94"/>
        <v>0</v>
      </c>
      <c r="S208" s="100" t="e">
        <f>ROUND(#REF!,1)</f>
        <v>#REF!</v>
      </c>
      <c r="U208" s="37"/>
      <c r="V208" s="37"/>
      <c r="W208" s="37"/>
      <c r="X208" s="37"/>
    </row>
    <row r="209" spans="1:24" ht="14.1" customHeight="1" x14ac:dyDescent="0.25">
      <c r="A209" s="63" t="s">
        <v>6</v>
      </c>
      <c r="B209" s="9">
        <v>132024</v>
      </c>
      <c r="C209" s="15">
        <v>100</v>
      </c>
      <c r="D209" s="15"/>
      <c r="E209" s="9">
        <v>129386</v>
      </c>
      <c r="F209" s="15">
        <v>100</v>
      </c>
      <c r="G209" s="15"/>
      <c r="H209" s="9">
        <v>2258</v>
      </c>
      <c r="I209" s="15">
        <v>100</v>
      </c>
      <c r="J209" s="15"/>
      <c r="K209" s="9">
        <v>380</v>
      </c>
      <c r="L209" s="15">
        <v>100</v>
      </c>
      <c r="M209" s="15"/>
      <c r="O209" s="100">
        <f>SUM(O210:O217)</f>
        <v>100.1</v>
      </c>
      <c r="P209" s="100">
        <f t="shared" ref="P209:S209" si="95">SUM(P210:P217)</f>
        <v>100.10000000000001</v>
      </c>
      <c r="Q209" s="100">
        <f t="shared" si="95"/>
        <v>100.80000000000001</v>
      </c>
      <c r="R209" s="100">
        <f t="shared" si="95"/>
        <v>103.39999999999999</v>
      </c>
      <c r="S209" s="100" t="e">
        <f t="shared" si="95"/>
        <v>#REF!</v>
      </c>
      <c r="U209" s="37"/>
      <c r="V209" s="37"/>
      <c r="W209" s="37"/>
      <c r="X209" s="37"/>
    </row>
    <row r="210" spans="1:24" ht="14.1" customHeight="1" x14ac:dyDescent="0.25">
      <c r="A210" s="61" t="s">
        <v>40</v>
      </c>
      <c r="B210" s="6">
        <v>106831</v>
      </c>
      <c r="C210" s="5">
        <v>80.917863418772342</v>
      </c>
      <c r="D210" s="5"/>
      <c r="E210" s="6">
        <v>106377</v>
      </c>
      <c r="F210" s="5">
        <v>82.216777703924691</v>
      </c>
      <c r="G210" s="5"/>
      <c r="H210" s="6">
        <v>442</v>
      </c>
      <c r="I210" s="5">
        <v>19.674844995571306</v>
      </c>
      <c r="J210" s="5"/>
      <c r="K210" s="6">
        <v>12</v>
      </c>
      <c r="L210" s="5">
        <v>3.1578947368421053</v>
      </c>
      <c r="M210" s="5"/>
      <c r="O210" s="100">
        <f t="shared" ref="O210:O218" si="96">ROUND(C210,1)</f>
        <v>80.900000000000006</v>
      </c>
      <c r="P210" s="100">
        <f t="shared" ref="P210:P218" si="97">ROUND(F210,1)</f>
        <v>82.2</v>
      </c>
      <c r="Q210" s="100">
        <f t="shared" ref="Q210:Q218" si="98">ROUND(I210,1)</f>
        <v>19.7</v>
      </c>
      <c r="R210" s="100">
        <f t="shared" ref="R210:R218" si="99">ROUND(L210,1)</f>
        <v>3.2</v>
      </c>
      <c r="S210" s="100" t="e">
        <f>ROUND(#REF!,1)</f>
        <v>#REF!</v>
      </c>
      <c r="U210" s="37"/>
      <c r="V210" s="37"/>
      <c r="W210" s="37"/>
      <c r="X210" s="37"/>
    </row>
    <row r="211" spans="1:24" ht="14.1" customHeight="1" x14ac:dyDescent="0.25">
      <c r="A211" s="61" t="s">
        <v>41</v>
      </c>
      <c r="B211" s="6">
        <v>6848</v>
      </c>
      <c r="C211" s="5">
        <v>5.186935708659032</v>
      </c>
      <c r="D211" s="5"/>
      <c r="E211" s="6">
        <v>5976</v>
      </c>
      <c r="F211" s="5">
        <v>4.6187377305118016</v>
      </c>
      <c r="G211" s="5"/>
      <c r="H211" s="6">
        <v>667</v>
      </c>
      <c r="I211" s="5">
        <v>29.539415411868909</v>
      </c>
      <c r="J211" s="5"/>
      <c r="K211" s="6">
        <v>205</v>
      </c>
      <c r="L211" s="5">
        <v>54.047368421052632</v>
      </c>
      <c r="M211" s="5"/>
      <c r="O211" s="100">
        <f t="shared" si="96"/>
        <v>5.2</v>
      </c>
      <c r="P211" s="100">
        <f t="shared" si="97"/>
        <v>4.5999999999999996</v>
      </c>
      <c r="Q211" s="100">
        <f t="shared" si="98"/>
        <v>29.5</v>
      </c>
      <c r="R211" s="100">
        <f t="shared" si="99"/>
        <v>54</v>
      </c>
      <c r="S211" s="100" t="e">
        <f>ROUND(#REF!,1)</f>
        <v>#REF!</v>
      </c>
      <c r="U211" s="37"/>
      <c r="V211" s="37"/>
      <c r="W211" s="37"/>
      <c r="X211" s="37"/>
    </row>
    <row r="212" spans="1:24" ht="14.1" customHeight="1" x14ac:dyDescent="0.25">
      <c r="A212" s="61" t="s">
        <v>42</v>
      </c>
      <c r="B212" s="6">
        <v>224</v>
      </c>
      <c r="C212" s="5">
        <v>0.16966612131127673</v>
      </c>
      <c r="D212" s="5"/>
      <c r="E212" s="6">
        <v>209</v>
      </c>
      <c r="F212" s="5">
        <v>0.1615321595844991</v>
      </c>
      <c r="G212" s="5"/>
      <c r="H212" s="6">
        <v>12</v>
      </c>
      <c r="I212" s="5">
        <v>0.53144375553587242</v>
      </c>
      <c r="J212" s="5"/>
      <c r="K212" s="6">
        <v>3</v>
      </c>
      <c r="L212" s="5">
        <v>0.78947368421052633</v>
      </c>
      <c r="M212" s="5"/>
      <c r="O212" s="100">
        <f t="shared" si="96"/>
        <v>0.2</v>
      </c>
      <c r="P212" s="100">
        <f t="shared" si="97"/>
        <v>0.2</v>
      </c>
      <c r="Q212" s="100">
        <f t="shared" si="98"/>
        <v>0.5</v>
      </c>
      <c r="R212" s="100">
        <f t="shared" si="99"/>
        <v>0.8</v>
      </c>
      <c r="S212" s="100" t="e">
        <f>ROUND(#REF!,1)</f>
        <v>#REF!</v>
      </c>
      <c r="U212" s="37"/>
      <c r="V212" s="37"/>
      <c r="W212" s="37"/>
      <c r="X212" s="37"/>
    </row>
    <row r="213" spans="1:24" ht="14.1" customHeight="1" x14ac:dyDescent="0.25">
      <c r="A213" s="61" t="s">
        <v>43</v>
      </c>
      <c r="B213" s="6">
        <v>3431</v>
      </c>
      <c r="C213" s="5">
        <v>2.5987699206204931</v>
      </c>
      <c r="D213" s="5"/>
      <c r="E213" s="6">
        <v>3067</v>
      </c>
      <c r="F213" s="5">
        <v>2.370426475816549</v>
      </c>
      <c r="G213" s="5"/>
      <c r="H213" s="6">
        <v>310</v>
      </c>
      <c r="I213" s="5">
        <v>13.728963684676703</v>
      </c>
      <c r="J213" s="5"/>
      <c r="K213" s="6">
        <v>54</v>
      </c>
      <c r="L213" s="5">
        <v>14.210526315789473</v>
      </c>
      <c r="M213" s="5"/>
      <c r="O213" s="100">
        <f t="shared" si="96"/>
        <v>2.6</v>
      </c>
      <c r="P213" s="100">
        <f t="shared" si="97"/>
        <v>2.4</v>
      </c>
      <c r="Q213" s="100">
        <f t="shared" si="98"/>
        <v>13.7</v>
      </c>
      <c r="R213" s="100">
        <f t="shared" si="99"/>
        <v>14.2</v>
      </c>
      <c r="S213" s="100" t="e">
        <f>ROUND(#REF!,1)</f>
        <v>#REF!</v>
      </c>
      <c r="U213" s="37"/>
      <c r="V213" s="37"/>
      <c r="W213" s="37"/>
      <c r="X213" s="37"/>
    </row>
    <row r="214" spans="1:24" ht="14.1" customHeight="1" x14ac:dyDescent="0.25">
      <c r="A214" s="61" t="s">
        <v>44</v>
      </c>
      <c r="B214" s="6">
        <v>10318</v>
      </c>
      <c r="C214" s="5">
        <v>7.8152457129006843</v>
      </c>
      <c r="D214" s="5"/>
      <c r="E214" s="6">
        <v>9560</v>
      </c>
      <c r="F214" s="5">
        <v>7.3887437589847433</v>
      </c>
      <c r="G214" s="5"/>
      <c r="H214" s="6">
        <v>686</v>
      </c>
      <c r="I214" s="5">
        <v>30.380868024800712</v>
      </c>
      <c r="J214" s="5"/>
      <c r="K214" s="6">
        <v>72</v>
      </c>
      <c r="L214" s="5">
        <v>18.947368421052634</v>
      </c>
      <c r="M214" s="5"/>
      <c r="O214" s="100">
        <f t="shared" si="96"/>
        <v>7.8</v>
      </c>
      <c r="P214" s="100">
        <f t="shared" si="97"/>
        <v>7.4</v>
      </c>
      <c r="Q214" s="100">
        <f t="shared" si="98"/>
        <v>30.4</v>
      </c>
      <c r="R214" s="100">
        <f t="shared" si="99"/>
        <v>18.899999999999999</v>
      </c>
      <c r="S214" s="100" t="e">
        <f>ROUND(#REF!,1)</f>
        <v>#REF!</v>
      </c>
      <c r="U214" s="37"/>
      <c r="V214" s="37"/>
      <c r="W214" s="37"/>
      <c r="X214" s="37"/>
    </row>
    <row r="215" spans="1:24" x14ac:dyDescent="0.25">
      <c r="A215" s="61" t="s">
        <v>45</v>
      </c>
      <c r="B215" s="6">
        <v>2691</v>
      </c>
      <c r="C215" s="5">
        <v>2.0382657698600255</v>
      </c>
      <c r="D215" s="5"/>
      <c r="E215" s="6">
        <v>2629</v>
      </c>
      <c r="F215" s="5">
        <v>2.0319045337208044</v>
      </c>
      <c r="G215" s="5"/>
      <c r="H215" s="6">
        <v>52</v>
      </c>
      <c r="I215" s="5">
        <v>2.3029229406554474</v>
      </c>
      <c r="J215" s="5"/>
      <c r="K215" s="6">
        <v>10</v>
      </c>
      <c r="L215" s="5">
        <v>2.6315789473684208</v>
      </c>
      <c r="M215" s="5"/>
      <c r="O215" s="100">
        <f t="shared" si="96"/>
        <v>2</v>
      </c>
      <c r="P215" s="100">
        <f t="shared" si="97"/>
        <v>2</v>
      </c>
      <c r="Q215" s="100">
        <f t="shared" si="98"/>
        <v>2.2999999999999998</v>
      </c>
      <c r="R215" s="100">
        <f t="shared" si="99"/>
        <v>2.6</v>
      </c>
      <c r="S215" s="100" t="e">
        <f>ROUND(#REF!,1)</f>
        <v>#REF!</v>
      </c>
      <c r="U215" s="37"/>
      <c r="V215" s="37"/>
      <c r="W215" s="37"/>
      <c r="X215" s="37"/>
    </row>
    <row r="216" spans="1:24" hidden="1" x14ac:dyDescent="0.25">
      <c r="A216" s="61" t="s">
        <v>46</v>
      </c>
      <c r="B216" s="6">
        <v>170</v>
      </c>
      <c r="C216" s="5">
        <v>0.12876446706659395</v>
      </c>
      <c r="D216" s="5"/>
      <c r="E216" s="6">
        <v>138</v>
      </c>
      <c r="F216" s="5">
        <v>0.10665759819454965</v>
      </c>
      <c r="G216" s="5"/>
      <c r="H216" s="6">
        <v>19</v>
      </c>
      <c r="I216" s="5">
        <v>0.84145261293179807</v>
      </c>
      <c r="J216" s="5"/>
      <c r="K216" s="6">
        <v>13</v>
      </c>
      <c r="L216" s="5">
        <v>3.4210526315789478</v>
      </c>
      <c r="M216" s="5"/>
      <c r="O216" s="100">
        <f t="shared" si="96"/>
        <v>0.1</v>
      </c>
      <c r="P216" s="100">
        <f t="shared" si="97"/>
        <v>0.1</v>
      </c>
      <c r="Q216" s="100">
        <f t="shared" si="98"/>
        <v>0.8</v>
      </c>
      <c r="R216" s="100">
        <f t="shared" si="99"/>
        <v>3.4</v>
      </c>
      <c r="S216" s="100" t="e">
        <f>ROUND(#REF!,1)</f>
        <v>#REF!</v>
      </c>
      <c r="U216" s="37"/>
      <c r="V216" s="37"/>
      <c r="W216" s="37"/>
      <c r="X216" s="37"/>
    </row>
    <row r="217" spans="1:24" ht="14.1" customHeight="1" x14ac:dyDescent="0.25">
      <c r="A217" s="61" t="s">
        <v>47</v>
      </c>
      <c r="B217" s="6">
        <v>1681</v>
      </c>
      <c r="C217" s="5">
        <v>1.2732533478761436</v>
      </c>
      <c r="D217" s="5" t="e">
        <v>#VALUE!</v>
      </c>
      <c r="E217" s="5">
        <v>1568</v>
      </c>
      <c r="F217" s="5">
        <v>1.211877637456912</v>
      </c>
      <c r="G217" s="5"/>
      <c r="H217" s="5">
        <v>89</v>
      </c>
      <c r="I217" s="5">
        <v>3.9415411868910541</v>
      </c>
      <c r="J217" s="5"/>
      <c r="K217" s="5">
        <v>24</v>
      </c>
      <c r="L217" s="5">
        <v>6.3157894736842106</v>
      </c>
      <c r="M217" s="5"/>
      <c r="O217" s="100">
        <f t="shared" si="96"/>
        <v>1.3</v>
      </c>
      <c r="P217" s="100">
        <f t="shared" si="97"/>
        <v>1.2</v>
      </c>
      <c r="Q217" s="100">
        <f t="shared" si="98"/>
        <v>3.9</v>
      </c>
      <c r="R217" s="100">
        <f t="shared" si="99"/>
        <v>6.3</v>
      </c>
      <c r="S217" s="100" t="e">
        <f>ROUND(#REF!,1)</f>
        <v>#REF!</v>
      </c>
      <c r="U217" s="37"/>
      <c r="V217" s="37"/>
      <c r="W217" s="37"/>
      <c r="X217" s="37"/>
    </row>
    <row r="218" spans="1:24" ht="14.1" customHeight="1" x14ac:dyDescent="0.25">
      <c r="A218" s="68"/>
      <c r="B218" s="6"/>
      <c r="C218" s="5"/>
      <c r="D218" s="5"/>
      <c r="E218" s="6"/>
      <c r="F218" s="5"/>
      <c r="G218" s="5"/>
      <c r="H218" s="6"/>
      <c r="I218" s="5"/>
      <c r="J218" s="5"/>
      <c r="K218" s="6"/>
      <c r="L218" s="5"/>
      <c r="M218" s="15"/>
      <c r="O218" s="100">
        <f t="shared" si="96"/>
        <v>0</v>
      </c>
      <c r="P218" s="100">
        <f t="shared" si="97"/>
        <v>0</v>
      </c>
      <c r="Q218" s="100">
        <f t="shared" si="98"/>
        <v>0</v>
      </c>
      <c r="R218" s="100">
        <f t="shared" si="99"/>
        <v>0</v>
      </c>
      <c r="S218" s="100" t="e">
        <f>ROUND(#REF!,1)</f>
        <v>#REF!</v>
      </c>
      <c r="U218" s="37"/>
      <c r="V218" s="37"/>
      <c r="W218" s="37"/>
      <c r="X218" s="37"/>
    </row>
    <row r="219" spans="1:24" ht="14.1" customHeight="1" x14ac:dyDescent="0.25">
      <c r="A219" s="63" t="s">
        <v>5</v>
      </c>
      <c r="B219" s="9">
        <v>76228</v>
      </c>
      <c r="C219" s="15">
        <v>100</v>
      </c>
      <c r="D219" s="15"/>
      <c r="E219" s="9">
        <v>74425</v>
      </c>
      <c r="F219" s="15">
        <v>100</v>
      </c>
      <c r="G219" s="15"/>
      <c r="H219" s="9">
        <v>1504</v>
      </c>
      <c r="I219" s="15">
        <v>100</v>
      </c>
      <c r="J219" s="15"/>
      <c r="K219" s="9">
        <v>299</v>
      </c>
      <c r="L219" s="15">
        <v>100</v>
      </c>
      <c r="M219" s="15"/>
      <c r="O219" s="100">
        <f>SUM(O220:O227)</f>
        <v>100.40000000000002</v>
      </c>
      <c r="P219" s="100">
        <f t="shared" ref="P219:S219" si="100">SUM(P220:P227)</f>
        <v>100.3</v>
      </c>
      <c r="Q219" s="100">
        <f t="shared" si="100"/>
        <v>101.7</v>
      </c>
      <c r="R219" s="100" t="e">
        <f t="shared" si="100"/>
        <v>#VALUE!</v>
      </c>
      <c r="S219" s="100" t="e">
        <f t="shared" si="100"/>
        <v>#REF!</v>
      </c>
      <c r="U219" s="37"/>
      <c r="V219" s="37"/>
      <c r="W219" s="37"/>
      <c r="X219" s="37"/>
    </row>
    <row r="220" spans="1:24" ht="14.1" customHeight="1" x14ac:dyDescent="0.25">
      <c r="A220" s="61" t="s">
        <v>40</v>
      </c>
      <c r="B220" s="6">
        <v>58012</v>
      </c>
      <c r="C220" s="5">
        <v>76.103269139948566</v>
      </c>
      <c r="D220" s="5"/>
      <c r="E220" s="6">
        <v>57368</v>
      </c>
      <c r="F220" s="5">
        <v>77.081625797783005</v>
      </c>
      <c r="G220" s="5"/>
      <c r="H220" s="6">
        <v>535</v>
      </c>
      <c r="I220" s="5">
        <v>35.571808510638299</v>
      </c>
      <c r="J220" s="5"/>
      <c r="K220" s="6">
        <v>109</v>
      </c>
      <c r="L220" s="5">
        <v>36.354849498327759</v>
      </c>
      <c r="M220" s="5"/>
      <c r="O220" s="100">
        <f t="shared" ref="O220:O228" si="101">ROUND(C220,1)</f>
        <v>76.099999999999994</v>
      </c>
      <c r="P220" s="100">
        <f t="shared" ref="P220:P228" si="102">ROUND(F220,1)</f>
        <v>77.099999999999994</v>
      </c>
      <c r="Q220" s="100">
        <f t="shared" ref="Q220:Q228" si="103">ROUND(I220,1)</f>
        <v>35.6</v>
      </c>
      <c r="R220" s="100">
        <f t="shared" ref="R220:R228" si="104">ROUND(L220,1)</f>
        <v>36.4</v>
      </c>
      <c r="S220" s="100" t="e">
        <f>ROUND(#REF!,1)</f>
        <v>#REF!</v>
      </c>
      <c r="U220" s="37"/>
      <c r="V220" s="37"/>
      <c r="W220" s="37"/>
      <c r="X220" s="37"/>
    </row>
    <row r="221" spans="1:24" ht="14.1" customHeight="1" x14ac:dyDescent="0.25">
      <c r="A221" s="61" t="s">
        <v>41</v>
      </c>
      <c r="B221" s="6">
        <v>5232</v>
      </c>
      <c r="C221" s="5">
        <v>6.8636196673138485</v>
      </c>
      <c r="D221" s="5"/>
      <c r="E221" s="6">
        <v>4885</v>
      </c>
      <c r="F221" s="5">
        <v>6.5636546859254281</v>
      </c>
      <c r="G221" s="5"/>
      <c r="H221" s="6">
        <v>288</v>
      </c>
      <c r="I221" s="5">
        <v>19.148936170212767</v>
      </c>
      <c r="J221" s="5"/>
      <c r="K221" s="6">
        <v>59</v>
      </c>
      <c r="L221" s="5">
        <v>19.732441471571907</v>
      </c>
      <c r="M221" s="5"/>
      <c r="O221" s="100">
        <f t="shared" si="101"/>
        <v>6.9</v>
      </c>
      <c r="P221" s="100">
        <f t="shared" si="102"/>
        <v>6.6</v>
      </c>
      <c r="Q221" s="100">
        <f t="shared" si="103"/>
        <v>19.100000000000001</v>
      </c>
      <c r="R221" s="100">
        <f t="shared" si="104"/>
        <v>19.7</v>
      </c>
      <c r="S221" s="100" t="e">
        <f>ROUND(#REF!,1)</f>
        <v>#REF!</v>
      </c>
      <c r="U221" s="37"/>
      <c r="V221" s="37"/>
      <c r="W221" s="37"/>
      <c r="X221" s="37"/>
    </row>
    <row r="222" spans="1:24" ht="14.1" customHeight="1" x14ac:dyDescent="0.25">
      <c r="A222" s="61" t="s">
        <v>42</v>
      </c>
      <c r="B222" s="6">
        <v>89</v>
      </c>
      <c r="C222" s="5">
        <v>0.11675499816340452</v>
      </c>
      <c r="D222" s="5"/>
      <c r="E222" s="6">
        <v>86</v>
      </c>
      <c r="F222" s="5">
        <v>0.11555256970104133</v>
      </c>
      <c r="G222" s="5"/>
      <c r="H222" s="6">
        <v>3</v>
      </c>
      <c r="I222" s="5">
        <v>0.19946808510638298</v>
      </c>
      <c r="J222" s="5"/>
      <c r="K222" s="3" t="s">
        <v>96</v>
      </c>
      <c r="L222" s="3" t="s">
        <v>96</v>
      </c>
      <c r="M222" s="5"/>
      <c r="O222" s="100">
        <f t="shared" si="101"/>
        <v>0.1</v>
      </c>
      <c r="P222" s="100">
        <f t="shared" si="102"/>
        <v>0.1</v>
      </c>
      <c r="Q222" s="100">
        <f t="shared" si="103"/>
        <v>0.2</v>
      </c>
      <c r="R222" s="100" t="e">
        <f t="shared" si="104"/>
        <v>#VALUE!</v>
      </c>
      <c r="S222" s="100" t="e">
        <f>ROUND(#REF!,1)</f>
        <v>#REF!</v>
      </c>
      <c r="U222" s="37"/>
      <c r="V222" s="37"/>
      <c r="W222" s="37"/>
      <c r="X222" s="37"/>
    </row>
    <row r="223" spans="1:24" ht="14.1" customHeight="1" x14ac:dyDescent="0.25">
      <c r="A223" s="61" t="s">
        <v>43</v>
      </c>
      <c r="B223" s="6">
        <v>3386</v>
      </c>
      <c r="C223" s="5">
        <v>4.4419373458571654</v>
      </c>
      <c r="D223" s="5"/>
      <c r="E223" s="6">
        <v>3135</v>
      </c>
      <c r="F223" s="5">
        <v>4.2122942559623784</v>
      </c>
      <c r="G223" s="5"/>
      <c r="H223" s="6">
        <v>219</v>
      </c>
      <c r="I223" s="5">
        <v>14.561170212765958</v>
      </c>
      <c r="J223" s="5"/>
      <c r="K223" s="6">
        <v>32</v>
      </c>
      <c r="L223" s="5">
        <v>10.702341137123746</v>
      </c>
      <c r="M223" s="5"/>
      <c r="O223" s="100">
        <f t="shared" si="101"/>
        <v>4.4000000000000004</v>
      </c>
      <c r="P223" s="100">
        <f t="shared" si="102"/>
        <v>4.2</v>
      </c>
      <c r="Q223" s="100">
        <f t="shared" si="103"/>
        <v>14.6</v>
      </c>
      <c r="R223" s="100">
        <f t="shared" si="104"/>
        <v>10.7</v>
      </c>
      <c r="S223" s="100" t="e">
        <f>ROUND(#REF!,1)</f>
        <v>#REF!</v>
      </c>
      <c r="U223" s="37"/>
      <c r="V223" s="37"/>
      <c r="W223" s="37"/>
      <c r="X223" s="37"/>
    </row>
    <row r="224" spans="1:24" ht="14.1" customHeight="1" x14ac:dyDescent="0.25">
      <c r="A224" s="61" t="s">
        <v>44</v>
      </c>
      <c r="B224" s="6">
        <v>6391</v>
      </c>
      <c r="C224" s="5">
        <v>8.3840583512620039</v>
      </c>
      <c r="D224" s="5"/>
      <c r="E224" s="6">
        <v>5906</v>
      </c>
      <c r="F224" s="5">
        <v>7.9355055424924421</v>
      </c>
      <c r="G224" s="5"/>
      <c r="H224" s="6">
        <v>399</v>
      </c>
      <c r="I224" s="5">
        <v>26.529255319148938</v>
      </c>
      <c r="J224" s="5"/>
      <c r="K224" s="6">
        <v>86</v>
      </c>
      <c r="L224" s="5">
        <v>28.762541806020064</v>
      </c>
      <c r="M224" s="5"/>
      <c r="O224" s="100">
        <f t="shared" si="101"/>
        <v>8.4</v>
      </c>
      <c r="P224" s="100">
        <f t="shared" si="102"/>
        <v>7.9</v>
      </c>
      <c r="Q224" s="100">
        <f t="shared" si="103"/>
        <v>26.5</v>
      </c>
      <c r="R224" s="100">
        <f t="shared" si="104"/>
        <v>28.8</v>
      </c>
      <c r="S224" s="100" t="e">
        <f>ROUND(#REF!,1)</f>
        <v>#REF!</v>
      </c>
      <c r="U224" s="37"/>
      <c r="V224" s="37"/>
      <c r="W224" s="37"/>
      <c r="X224" s="37"/>
    </row>
    <row r="225" spans="1:24" ht="14.1" customHeight="1" x14ac:dyDescent="0.25">
      <c r="A225" s="61" t="s">
        <v>45</v>
      </c>
      <c r="B225" s="6">
        <v>1795</v>
      </c>
      <c r="C225" s="5">
        <v>2.3547777719473162</v>
      </c>
      <c r="D225" s="5"/>
      <c r="E225" s="6">
        <v>1783</v>
      </c>
      <c r="F225" s="5">
        <v>2.3957003694994961</v>
      </c>
      <c r="G225" s="5"/>
      <c r="H225" s="6">
        <v>10</v>
      </c>
      <c r="I225" s="5">
        <v>0.66489361702127658</v>
      </c>
      <c r="J225" s="5"/>
      <c r="K225" s="6">
        <v>2</v>
      </c>
      <c r="L225" s="5">
        <v>0.66889632107023411</v>
      </c>
      <c r="M225" s="5"/>
      <c r="O225" s="100">
        <f t="shared" si="101"/>
        <v>2.4</v>
      </c>
      <c r="P225" s="100">
        <f t="shared" si="102"/>
        <v>2.4</v>
      </c>
      <c r="Q225" s="100">
        <f t="shared" si="103"/>
        <v>0.7</v>
      </c>
      <c r="R225" s="100">
        <f t="shared" si="104"/>
        <v>0.7</v>
      </c>
      <c r="S225" s="100" t="e">
        <f>ROUND(#REF!,1)</f>
        <v>#REF!</v>
      </c>
      <c r="U225" s="37"/>
      <c r="V225" s="37"/>
      <c r="W225" s="37"/>
      <c r="X225" s="37"/>
    </row>
    <row r="226" spans="1:24" hidden="1" x14ac:dyDescent="0.25">
      <c r="A226" s="61" t="s">
        <v>46</v>
      </c>
      <c r="B226" s="6">
        <v>276</v>
      </c>
      <c r="C226" s="5">
        <v>0.36207167969774889</v>
      </c>
      <c r="D226" s="5"/>
      <c r="E226" s="6">
        <v>244</v>
      </c>
      <c r="F226" s="5">
        <v>0.32784682566341955</v>
      </c>
      <c r="G226" s="5"/>
      <c r="H226" s="6">
        <v>26</v>
      </c>
      <c r="I226" s="5">
        <v>1.7287234042553192</v>
      </c>
      <c r="J226" s="5"/>
      <c r="K226" s="6">
        <v>6</v>
      </c>
      <c r="L226" s="5">
        <v>2.0066889632107023</v>
      </c>
      <c r="M226" s="5"/>
      <c r="O226" s="100">
        <f t="shared" si="101"/>
        <v>0.4</v>
      </c>
      <c r="P226" s="100">
        <f t="shared" si="102"/>
        <v>0.3</v>
      </c>
      <c r="Q226" s="100">
        <f t="shared" si="103"/>
        <v>1.7</v>
      </c>
      <c r="R226" s="100">
        <f t="shared" si="104"/>
        <v>2</v>
      </c>
      <c r="S226" s="100" t="e">
        <f>ROUND(#REF!,1)</f>
        <v>#REF!</v>
      </c>
      <c r="U226" s="37"/>
      <c r="V226" s="37"/>
      <c r="W226" s="37"/>
      <c r="X226" s="37"/>
    </row>
    <row r="227" spans="1:24" ht="14.1" customHeight="1" x14ac:dyDescent="0.25">
      <c r="A227" s="61" t="s">
        <v>47</v>
      </c>
      <c r="B227" s="6">
        <v>1323</v>
      </c>
      <c r="C227" s="5">
        <v>1.7355827255076877</v>
      </c>
      <c r="D227" s="5" t="e">
        <v>#VALUE!</v>
      </c>
      <c r="E227" s="6">
        <v>1262</v>
      </c>
      <c r="F227" s="5">
        <v>1.695666778636211</v>
      </c>
      <c r="G227" s="5"/>
      <c r="H227" s="6">
        <v>50</v>
      </c>
      <c r="I227" s="5">
        <v>3.3244680851063828</v>
      </c>
      <c r="J227" s="5"/>
      <c r="K227" s="5">
        <v>11</v>
      </c>
      <c r="L227" s="5">
        <v>3.6789297658862878</v>
      </c>
      <c r="M227" s="5"/>
      <c r="O227" s="100">
        <f t="shared" si="101"/>
        <v>1.7</v>
      </c>
      <c r="P227" s="100">
        <f t="shared" si="102"/>
        <v>1.7</v>
      </c>
      <c r="Q227" s="100">
        <f t="shared" si="103"/>
        <v>3.3</v>
      </c>
      <c r="R227" s="100">
        <f t="shared" si="104"/>
        <v>3.7</v>
      </c>
      <c r="S227" s="100" t="e">
        <f>ROUND(#REF!,1)</f>
        <v>#REF!</v>
      </c>
      <c r="U227" s="37"/>
      <c r="V227" s="37"/>
      <c r="W227" s="37"/>
      <c r="X227" s="37"/>
    </row>
    <row r="228" spans="1:24" ht="14.1" customHeight="1" x14ac:dyDescent="0.25">
      <c r="A228" s="68"/>
      <c r="B228" s="9"/>
      <c r="C228" s="15"/>
      <c r="D228" s="15"/>
      <c r="E228" s="9"/>
      <c r="F228" s="15"/>
      <c r="G228" s="15"/>
      <c r="H228" s="9"/>
      <c r="I228" s="15"/>
      <c r="J228" s="15"/>
      <c r="K228" s="9"/>
      <c r="L228" s="15"/>
      <c r="M228" s="15"/>
      <c r="O228" s="100">
        <f t="shared" si="101"/>
        <v>0</v>
      </c>
      <c r="P228" s="100">
        <f t="shared" si="102"/>
        <v>0</v>
      </c>
      <c r="Q228" s="100">
        <f t="shared" si="103"/>
        <v>0</v>
      </c>
      <c r="R228" s="100">
        <f t="shared" si="104"/>
        <v>0</v>
      </c>
      <c r="S228" s="100" t="e">
        <f>ROUND(#REF!,1)</f>
        <v>#REF!</v>
      </c>
      <c r="U228" s="37"/>
      <c r="V228" s="37"/>
      <c r="W228" s="37"/>
      <c r="X228" s="37"/>
    </row>
    <row r="229" spans="1:24" ht="14.1" customHeight="1" x14ac:dyDescent="0.25">
      <c r="A229" s="94" t="s">
        <v>4</v>
      </c>
      <c r="B229" s="9">
        <v>62396</v>
      </c>
      <c r="C229" s="15">
        <v>100</v>
      </c>
      <c r="D229" s="15"/>
      <c r="E229" s="9">
        <v>60964</v>
      </c>
      <c r="F229" s="15">
        <v>100</v>
      </c>
      <c r="G229" s="15"/>
      <c r="H229" s="9">
        <v>1250</v>
      </c>
      <c r="I229" s="15">
        <v>100</v>
      </c>
      <c r="J229" s="15"/>
      <c r="K229" s="9">
        <v>182</v>
      </c>
      <c r="L229" s="15">
        <v>100</v>
      </c>
      <c r="M229" s="15"/>
      <c r="O229" s="100">
        <f>SUM(O230:O237)</f>
        <v>100.20000000000002</v>
      </c>
      <c r="P229" s="100">
        <f t="shared" ref="P229:S229" si="105">SUM(P230:P237)</f>
        <v>100.2</v>
      </c>
      <c r="Q229" s="100">
        <f t="shared" si="105"/>
        <v>101.6</v>
      </c>
      <c r="R229" s="100" t="e">
        <f t="shared" si="105"/>
        <v>#VALUE!</v>
      </c>
      <c r="S229" s="100" t="e">
        <f t="shared" si="105"/>
        <v>#REF!</v>
      </c>
      <c r="U229" s="37"/>
      <c r="V229" s="37"/>
      <c r="W229" s="37"/>
      <c r="X229" s="37"/>
    </row>
    <row r="230" spans="1:24" ht="14.1" customHeight="1" x14ac:dyDescent="0.25">
      <c r="A230" s="61" t="s">
        <v>40</v>
      </c>
      <c r="B230" s="6">
        <v>48298</v>
      </c>
      <c r="C230" s="5">
        <v>77.405602923264311</v>
      </c>
      <c r="D230" s="5"/>
      <c r="E230" s="6">
        <v>48101</v>
      </c>
      <c r="F230" s="5">
        <v>78.900662686175451</v>
      </c>
      <c r="G230" s="5"/>
      <c r="H230" s="6">
        <v>189</v>
      </c>
      <c r="I230" s="5">
        <v>15.120000000000001</v>
      </c>
      <c r="J230" s="5"/>
      <c r="K230" s="6">
        <v>8</v>
      </c>
      <c r="L230" s="5">
        <v>4.395604395604396</v>
      </c>
      <c r="M230" s="5"/>
      <c r="O230" s="100">
        <f t="shared" ref="O230:O238" si="106">ROUND(C230,1)</f>
        <v>77.400000000000006</v>
      </c>
      <c r="P230" s="100">
        <f t="shared" ref="P230:P238" si="107">ROUND(F230,1)</f>
        <v>78.900000000000006</v>
      </c>
      <c r="Q230" s="100">
        <f t="shared" ref="Q230:Q238" si="108">ROUND(I230,1)</f>
        <v>15.1</v>
      </c>
      <c r="R230" s="100">
        <f t="shared" ref="R230:R238" si="109">ROUND(L230,1)</f>
        <v>4.4000000000000004</v>
      </c>
      <c r="S230" s="100" t="e">
        <f>ROUND(#REF!,1)</f>
        <v>#REF!</v>
      </c>
      <c r="U230" s="37"/>
      <c r="V230" s="37"/>
      <c r="W230" s="37"/>
      <c r="X230" s="37"/>
    </row>
    <row r="231" spans="1:24" ht="14.1" customHeight="1" x14ac:dyDescent="0.25">
      <c r="A231" s="61" t="s">
        <v>41</v>
      </c>
      <c r="B231" s="6">
        <v>6120</v>
      </c>
      <c r="C231" s="5">
        <v>9.8083210462209127</v>
      </c>
      <c r="D231" s="5"/>
      <c r="E231" s="6">
        <v>5488</v>
      </c>
      <c r="F231" s="5">
        <v>9.0020339872711777</v>
      </c>
      <c r="G231" s="5"/>
      <c r="H231" s="6">
        <v>532</v>
      </c>
      <c r="I231" s="5">
        <v>42.459999999999994</v>
      </c>
      <c r="J231" s="5"/>
      <c r="K231" s="6">
        <v>100</v>
      </c>
      <c r="L231" s="5">
        <v>55.04505494505495</v>
      </c>
      <c r="M231" s="5"/>
      <c r="O231" s="100">
        <f t="shared" si="106"/>
        <v>9.8000000000000007</v>
      </c>
      <c r="P231" s="100">
        <f t="shared" si="107"/>
        <v>9</v>
      </c>
      <c r="Q231" s="100">
        <f t="shared" si="108"/>
        <v>42.5</v>
      </c>
      <c r="R231" s="100">
        <f t="shared" si="109"/>
        <v>55</v>
      </c>
      <c r="S231" s="100" t="e">
        <f>ROUND(#REF!,1)</f>
        <v>#REF!</v>
      </c>
      <c r="U231" s="37"/>
      <c r="V231" s="37"/>
      <c r="W231" s="37"/>
      <c r="X231" s="37"/>
    </row>
    <row r="232" spans="1:24" ht="14.1" customHeight="1" x14ac:dyDescent="0.25">
      <c r="A232" s="61" t="s">
        <v>42</v>
      </c>
      <c r="B232" s="6">
        <v>94</v>
      </c>
      <c r="C232" s="5">
        <v>0.15065068273607282</v>
      </c>
      <c r="D232" s="5"/>
      <c r="E232" s="6">
        <v>92</v>
      </c>
      <c r="F232" s="5">
        <v>0.15090873302276753</v>
      </c>
      <c r="G232" s="5"/>
      <c r="H232" s="6">
        <v>2</v>
      </c>
      <c r="I232" s="5">
        <v>0.16</v>
      </c>
      <c r="J232" s="5"/>
      <c r="K232" s="3" t="s">
        <v>96</v>
      </c>
      <c r="L232" s="3" t="s">
        <v>96</v>
      </c>
      <c r="M232" s="5"/>
      <c r="O232" s="100">
        <f t="shared" si="106"/>
        <v>0.2</v>
      </c>
      <c r="P232" s="100">
        <f t="shared" si="107"/>
        <v>0.2</v>
      </c>
      <c r="Q232" s="100">
        <f t="shared" si="108"/>
        <v>0.2</v>
      </c>
      <c r="R232" s="100" t="e">
        <f t="shared" si="109"/>
        <v>#VALUE!</v>
      </c>
      <c r="S232" s="100" t="e">
        <f>ROUND(#REF!,1)</f>
        <v>#REF!</v>
      </c>
      <c r="U232" s="37"/>
      <c r="V232" s="37"/>
      <c r="W232" s="37"/>
      <c r="X232" s="37"/>
    </row>
    <row r="233" spans="1:24" ht="14.1" customHeight="1" x14ac:dyDescent="0.25">
      <c r="A233" s="61" t="s">
        <v>43</v>
      </c>
      <c r="B233" s="6">
        <v>584</v>
      </c>
      <c r="C233" s="5">
        <v>0.93595743316879298</v>
      </c>
      <c r="D233" s="5"/>
      <c r="E233" s="6">
        <v>499</v>
      </c>
      <c r="F233" s="5">
        <v>0.81851584541696742</v>
      </c>
      <c r="G233" s="5"/>
      <c r="H233" s="6">
        <v>70</v>
      </c>
      <c r="I233" s="5">
        <v>5.6000000000000005</v>
      </c>
      <c r="J233" s="5"/>
      <c r="K233" s="6">
        <v>15</v>
      </c>
      <c r="L233" s="5">
        <v>8.2417582417582409</v>
      </c>
      <c r="M233" s="5"/>
      <c r="O233" s="100">
        <f t="shared" si="106"/>
        <v>0.9</v>
      </c>
      <c r="P233" s="100">
        <f t="shared" si="107"/>
        <v>0.8</v>
      </c>
      <c r="Q233" s="100">
        <f t="shared" si="108"/>
        <v>5.6</v>
      </c>
      <c r="R233" s="100">
        <f t="shared" si="109"/>
        <v>8.1999999999999993</v>
      </c>
      <c r="S233" s="100" t="e">
        <f>ROUND(#REF!,1)</f>
        <v>#REF!</v>
      </c>
      <c r="U233" s="37"/>
      <c r="V233" s="37"/>
      <c r="W233" s="37"/>
      <c r="X233" s="37"/>
    </row>
    <row r="234" spans="1:24" ht="14.1" customHeight="1" x14ac:dyDescent="0.25">
      <c r="A234" s="61" t="s">
        <v>44</v>
      </c>
      <c r="B234" s="6">
        <v>4789</v>
      </c>
      <c r="C234" s="5">
        <v>7.6751714853516253</v>
      </c>
      <c r="D234" s="5"/>
      <c r="E234" s="6">
        <v>4397</v>
      </c>
      <c r="F234" s="5">
        <v>7.2124532510990091</v>
      </c>
      <c r="G234" s="5"/>
      <c r="H234" s="6">
        <v>358</v>
      </c>
      <c r="I234" s="5">
        <v>28.64</v>
      </c>
      <c r="J234" s="5"/>
      <c r="K234" s="6">
        <v>34</v>
      </c>
      <c r="L234" s="5">
        <v>18.681318681318682</v>
      </c>
      <c r="M234" s="5"/>
      <c r="O234" s="100">
        <f t="shared" si="106"/>
        <v>7.7</v>
      </c>
      <c r="P234" s="100">
        <f t="shared" si="107"/>
        <v>7.2</v>
      </c>
      <c r="Q234" s="100">
        <f t="shared" si="108"/>
        <v>28.6</v>
      </c>
      <c r="R234" s="100">
        <f t="shared" si="109"/>
        <v>18.7</v>
      </c>
      <c r="S234" s="100" t="e">
        <f>ROUND(#REF!,1)</f>
        <v>#REF!</v>
      </c>
      <c r="U234" s="37"/>
      <c r="V234" s="37"/>
      <c r="W234" s="37"/>
      <c r="X234" s="37"/>
    </row>
    <row r="235" spans="1:24" ht="14.1" customHeight="1" x14ac:dyDescent="0.25">
      <c r="A235" s="61" t="s">
        <v>45</v>
      </c>
      <c r="B235" s="6">
        <v>1329</v>
      </c>
      <c r="C235" s="5">
        <v>2.1299442271940512</v>
      </c>
      <c r="D235" s="5"/>
      <c r="E235" s="6">
        <v>1299</v>
      </c>
      <c r="F235" s="5">
        <v>2.1307656977888589</v>
      </c>
      <c r="G235" s="5"/>
      <c r="H235" s="6">
        <v>22</v>
      </c>
      <c r="I235" s="5">
        <v>1.76</v>
      </c>
      <c r="J235" s="5"/>
      <c r="K235" s="6">
        <v>8</v>
      </c>
      <c r="L235" s="5">
        <v>4.395604395604396</v>
      </c>
      <c r="M235" s="5"/>
      <c r="O235" s="100">
        <f t="shared" si="106"/>
        <v>2.1</v>
      </c>
      <c r="P235" s="100">
        <f t="shared" si="107"/>
        <v>2.1</v>
      </c>
      <c r="Q235" s="100">
        <f t="shared" si="108"/>
        <v>1.8</v>
      </c>
      <c r="R235" s="100">
        <f t="shared" si="109"/>
        <v>4.4000000000000004</v>
      </c>
      <c r="S235" s="100" t="e">
        <f>ROUND(#REF!,1)</f>
        <v>#REF!</v>
      </c>
      <c r="U235" s="37"/>
      <c r="V235" s="37"/>
      <c r="W235" s="37"/>
      <c r="X235" s="37"/>
    </row>
    <row r="236" spans="1:24" hidden="1" x14ac:dyDescent="0.25">
      <c r="A236" s="61" t="s">
        <v>46</v>
      </c>
      <c r="B236" s="6">
        <v>138</v>
      </c>
      <c r="C236" s="5">
        <v>0.22116802359125584</v>
      </c>
      <c r="D236" s="5"/>
      <c r="E236" s="6">
        <v>108</v>
      </c>
      <c r="F236" s="5">
        <v>0.17715373007020535</v>
      </c>
      <c r="G236" s="5"/>
      <c r="H236" s="6">
        <v>20</v>
      </c>
      <c r="I236" s="5">
        <v>1.6</v>
      </c>
      <c r="J236" s="5"/>
      <c r="K236" s="6">
        <v>10</v>
      </c>
      <c r="L236" s="5">
        <v>5.4945054945054945</v>
      </c>
      <c r="M236" s="5"/>
      <c r="O236" s="100">
        <f t="shared" si="106"/>
        <v>0.2</v>
      </c>
      <c r="P236" s="100">
        <f t="shared" si="107"/>
        <v>0.2</v>
      </c>
      <c r="Q236" s="100">
        <f t="shared" si="108"/>
        <v>1.6</v>
      </c>
      <c r="R236" s="100">
        <f t="shared" si="109"/>
        <v>5.5</v>
      </c>
      <c r="S236" s="100" t="e">
        <f>ROUND(#REF!,1)</f>
        <v>#REF!</v>
      </c>
      <c r="U236" s="37"/>
      <c r="V236" s="37"/>
      <c r="W236" s="37"/>
      <c r="X236" s="37"/>
    </row>
    <row r="237" spans="1:24" ht="14.1" customHeight="1" x14ac:dyDescent="0.25">
      <c r="A237" s="61" t="s">
        <v>47</v>
      </c>
      <c r="B237" s="6">
        <v>1182</v>
      </c>
      <c r="C237" s="5">
        <v>1.8943522020642347</v>
      </c>
      <c r="D237" s="5"/>
      <c r="E237" s="6">
        <v>1088</v>
      </c>
      <c r="F237" s="5">
        <v>1.7846597992257724</v>
      </c>
      <c r="G237" s="5"/>
      <c r="H237" s="6">
        <v>77</v>
      </c>
      <c r="I237" s="5">
        <v>6.16</v>
      </c>
      <c r="J237" s="5"/>
      <c r="K237" s="6">
        <v>17</v>
      </c>
      <c r="L237" s="5">
        <v>9.3406593406593412</v>
      </c>
      <c r="M237" s="5"/>
      <c r="O237" s="100">
        <f t="shared" si="106"/>
        <v>1.9</v>
      </c>
      <c r="P237" s="100">
        <f t="shared" si="107"/>
        <v>1.8</v>
      </c>
      <c r="Q237" s="100">
        <f t="shared" si="108"/>
        <v>6.2</v>
      </c>
      <c r="R237" s="100">
        <f t="shared" si="109"/>
        <v>9.3000000000000007</v>
      </c>
      <c r="S237" s="100" t="e">
        <f>ROUND(#REF!,1)</f>
        <v>#REF!</v>
      </c>
      <c r="U237" s="37"/>
      <c r="V237" s="37"/>
      <c r="W237" s="37"/>
      <c r="X237" s="37"/>
    </row>
    <row r="238" spans="1:24" ht="14.1" customHeight="1" x14ac:dyDescent="0.25">
      <c r="A238" s="68"/>
      <c r="B238" s="6"/>
      <c r="C238" s="5"/>
      <c r="D238" s="5"/>
      <c r="E238" s="6"/>
      <c r="F238" s="5"/>
      <c r="G238" s="5"/>
      <c r="H238" s="6"/>
      <c r="I238" s="5"/>
      <c r="J238" s="5"/>
      <c r="K238" s="6"/>
      <c r="L238" s="5"/>
      <c r="M238" s="15"/>
      <c r="O238" s="100">
        <f t="shared" si="106"/>
        <v>0</v>
      </c>
      <c r="P238" s="100">
        <f t="shared" si="107"/>
        <v>0</v>
      </c>
      <c r="Q238" s="100">
        <f t="shared" si="108"/>
        <v>0</v>
      </c>
      <c r="R238" s="100">
        <f t="shared" si="109"/>
        <v>0</v>
      </c>
      <c r="S238" s="100" t="e">
        <f>ROUND(#REF!,1)</f>
        <v>#REF!</v>
      </c>
      <c r="U238" s="37"/>
      <c r="V238" s="37"/>
      <c r="W238" s="37"/>
      <c r="X238" s="37"/>
    </row>
    <row r="239" spans="1:24" ht="14.1" customHeight="1" x14ac:dyDescent="0.25">
      <c r="A239" s="63" t="s">
        <v>3</v>
      </c>
      <c r="B239" s="9">
        <v>43443</v>
      </c>
      <c r="C239" s="15">
        <v>100</v>
      </c>
      <c r="D239" s="15"/>
      <c r="E239" s="9">
        <v>42772</v>
      </c>
      <c r="F239" s="15">
        <v>100</v>
      </c>
      <c r="G239" s="15"/>
      <c r="H239" s="9">
        <v>586</v>
      </c>
      <c r="I239" s="15">
        <v>100</v>
      </c>
      <c r="J239" s="15"/>
      <c r="K239" s="9">
        <v>85</v>
      </c>
      <c r="L239" s="15">
        <v>100</v>
      </c>
      <c r="M239" s="15"/>
      <c r="O239" s="100">
        <f>SUM(O240:O247)</f>
        <v>100.1</v>
      </c>
      <c r="P239" s="100">
        <f t="shared" ref="P239:S239" si="110">SUM(P240:P247)</f>
        <v>100.10000000000001</v>
      </c>
      <c r="Q239" s="100" t="e">
        <f t="shared" si="110"/>
        <v>#VALUE!</v>
      </c>
      <c r="R239" s="100" t="e">
        <f t="shared" si="110"/>
        <v>#VALUE!</v>
      </c>
      <c r="S239" s="100" t="e">
        <f t="shared" si="110"/>
        <v>#REF!</v>
      </c>
      <c r="U239" s="37"/>
      <c r="V239" s="37"/>
      <c r="W239" s="37"/>
      <c r="X239" s="37"/>
    </row>
    <row r="240" spans="1:24" ht="14.1" customHeight="1" x14ac:dyDescent="0.25">
      <c r="A240" s="61" t="s">
        <v>40</v>
      </c>
      <c r="B240" s="6">
        <v>34049</v>
      </c>
      <c r="C240" s="5">
        <v>78.276263149414177</v>
      </c>
      <c r="D240" s="5"/>
      <c r="E240" s="6">
        <v>33978</v>
      </c>
      <c r="F240" s="5">
        <v>79.439820443280652</v>
      </c>
      <c r="G240" s="5"/>
      <c r="H240" s="6">
        <v>71</v>
      </c>
      <c r="I240" s="5">
        <v>12.216040955631399</v>
      </c>
      <c r="J240" s="5"/>
      <c r="K240" s="89" t="s">
        <v>96</v>
      </c>
      <c r="L240" s="89" t="s">
        <v>96</v>
      </c>
      <c r="M240" s="5"/>
      <c r="O240" s="100">
        <f t="shared" ref="O240:O248" si="111">ROUND(C240,1)</f>
        <v>78.3</v>
      </c>
      <c r="P240" s="100">
        <f t="shared" ref="P240:P248" si="112">ROUND(F240,1)</f>
        <v>79.400000000000006</v>
      </c>
      <c r="Q240" s="100">
        <f t="shared" ref="Q240:Q248" si="113">ROUND(I240,1)</f>
        <v>12.2</v>
      </c>
      <c r="R240" s="100" t="e">
        <f t="shared" ref="R240:R248" si="114">ROUND(L240,1)</f>
        <v>#VALUE!</v>
      </c>
      <c r="S240" s="100" t="e">
        <f>ROUND(#REF!,1)</f>
        <v>#REF!</v>
      </c>
      <c r="U240" s="37"/>
      <c r="V240" s="37"/>
      <c r="W240" s="37"/>
      <c r="X240" s="37"/>
    </row>
    <row r="241" spans="1:24" ht="14.1" customHeight="1" x14ac:dyDescent="0.25">
      <c r="A241" s="61" t="s">
        <v>41</v>
      </c>
      <c r="B241" s="6">
        <v>2709</v>
      </c>
      <c r="C241" s="5">
        <v>6.2357571990884608</v>
      </c>
      <c r="D241" s="5"/>
      <c r="E241" s="6">
        <v>2427</v>
      </c>
      <c r="F241" s="5">
        <v>5.6742728888057608</v>
      </c>
      <c r="G241" s="5"/>
      <c r="H241" s="6">
        <v>230</v>
      </c>
      <c r="I241" s="5">
        <v>39.249146757679185</v>
      </c>
      <c r="J241" s="5"/>
      <c r="K241" s="89">
        <v>52</v>
      </c>
      <c r="L241" s="98">
        <v>61.076470588235296</v>
      </c>
      <c r="M241" s="5"/>
      <c r="O241" s="100">
        <f t="shared" si="111"/>
        <v>6.2</v>
      </c>
      <c r="P241" s="100">
        <f t="shared" si="112"/>
        <v>5.7</v>
      </c>
      <c r="Q241" s="100">
        <f t="shared" si="113"/>
        <v>39.200000000000003</v>
      </c>
      <c r="R241" s="100">
        <f t="shared" si="114"/>
        <v>61.1</v>
      </c>
      <c r="S241" s="100" t="e">
        <f>ROUND(#REF!,1)</f>
        <v>#REF!</v>
      </c>
      <c r="U241" s="37"/>
      <c r="V241" s="37"/>
      <c r="W241" s="37"/>
      <c r="X241" s="37"/>
    </row>
    <row r="242" spans="1:24" ht="14.1" customHeight="1" x14ac:dyDescent="0.25">
      <c r="A242" s="61" t="s">
        <v>42</v>
      </c>
      <c r="B242" s="6">
        <v>75</v>
      </c>
      <c r="C242" s="5">
        <v>0.17264001104896071</v>
      </c>
      <c r="D242" s="5"/>
      <c r="E242" s="6">
        <v>73</v>
      </c>
      <c r="F242" s="5">
        <v>0.17067240250631255</v>
      </c>
      <c r="G242" s="5"/>
      <c r="H242" s="6">
        <v>2</v>
      </c>
      <c r="I242" s="5">
        <v>0.34129692832764508</v>
      </c>
      <c r="J242" s="5"/>
      <c r="K242" s="89" t="s">
        <v>96</v>
      </c>
      <c r="L242" s="89" t="s">
        <v>96</v>
      </c>
      <c r="M242" s="5"/>
      <c r="O242" s="100">
        <f t="shared" si="111"/>
        <v>0.2</v>
      </c>
      <c r="P242" s="100">
        <f t="shared" si="112"/>
        <v>0.2</v>
      </c>
      <c r="Q242" s="100">
        <f t="shared" si="113"/>
        <v>0.3</v>
      </c>
      <c r="R242" s="100" t="e">
        <f t="shared" si="114"/>
        <v>#VALUE!</v>
      </c>
      <c r="S242" s="100" t="e">
        <f>ROUND(#REF!,1)</f>
        <v>#REF!</v>
      </c>
      <c r="U242" s="37"/>
      <c r="V242" s="37"/>
      <c r="W242" s="37"/>
      <c r="X242" s="37"/>
    </row>
    <row r="243" spans="1:24" ht="14.1" customHeight="1" x14ac:dyDescent="0.25">
      <c r="A243" s="61" t="s">
        <v>43</v>
      </c>
      <c r="B243" s="6">
        <v>1129</v>
      </c>
      <c r="C243" s="5">
        <v>2.5988076329903551</v>
      </c>
      <c r="D243" s="5"/>
      <c r="E243" s="6">
        <v>1058</v>
      </c>
      <c r="F243" s="5">
        <v>2.4735808472832694</v>
      </c>
      <c r="G243" s="5"/>
      <c r="H243" s="6">
        <v>61</v>
      </c>
      <c r="I243" s="5">
        <v>10.409556313993173</v>
      </c>
      <c r="J243" s="5"/>
      <c r="K243" s="89">
        <v>10</v>
      </c>
      <c r="L243" s="90">
        <v>11.76470588235294</v>
      </c>
      <c r="M243" s="5"/>
      <c r="O243" s="100">
        <f t="shared" si="111"/>
        <v>2.6</v>
      </c>
      <c r="P243" s="100">
        <f t="shared" si="112"/>
        <v>2.5</v>
      </c>
      <c r="Q243" s="100">
        <f t="shared" si="113"/>
        <v>10.4</v>
      </c>
      <c r="R243" s="100">
        <f t="shared" si="114"/>
        <v>11.8</v>
      </c>
      <c r="S243" s="100" t="e">
        <f>ROUND(#REF!,1)</f>
        <v>#REF!</v>
      </c>
      <c r="U243" s="37"/>
      <c r="V243" s="37"/>
      <c r="W243" s="37"/>
      <c r="X243" s="37"/>
    </row>
    <row r="244" spans="1:24" ht="14.1" customHeight="1" x14ac:dyDescent="0.25">
      <c r="A244" s="61" t="s">
        <v>44</v>
      </c>
      <c r="B244" s="6">
        <v>4507</v>
      </c>
      <c r="C244" s="5">
        <v>10.374513730635545</v>
      </c>
      <c r="D244" s="5"/>
      <c r="E244" s="6">
        <v>4277</v>
      </c>
      <c r="F244" s="5">
        <v>9.9995324043766942</v>
      </c>
      <c r="G244" s="5"/>
      <c r="H244" s="6">
        <v>212</v>
      </c>
      <c r="I244" s="5">
        <v>36.177474402730375</v>
      </c>
      <c r="J244" s="5"/>
      <c r="K244" s="89">
        <v>18</v>
      </c>
      <c r="L244" s="90">
        <v>21.176470588235293</v>
      </c>
      <c r="M244" s="5"/>
      <c r="O244" s="100">
        <f t="shared" si="111"/>
        <v>10.4</v>
      </c>
      <c r="P244" s="100">
        <f t="shared" si="112"/>
        <v>10</v>
      </c>
      <c r="Q244" s="100">
        <f t="shared" si="113"/>
        <v>36.200000000000003</v>
      </c>
      <c r="R244" s="100">
        <f t="shared" si="114"/>
        <v>21.2</v>
      </c>
      <c r="S244" s="100" t="e">
        <f>ROUND(#REF!,1)</f>
        <v>#REF!</v>
      </c>
      <c r="U244" s="37"/>
      <c r="V244" s="37"/>
      <c r="W244" s="37"/>
      <c r="X244" s="37"/>
    </row>
    <row r="245" spans="1:24" ht="14.1" customHeight="1" x14ac:dyDescent="0.25">
      <c r="A245" s="61" t="s">
        <v>45</v>
      </c>
      <c r="B245" s="6">
        <v>735</v>
      </c>
      <c r="C245" s="5">
        <v>1.6918721082798147</v>
      </c>
      <c r="D245" s="5"/>
      <c r="E245" s="6">
        <v>731</v>
      </c>
      <c r="F245" s="5">
        <v>1.7090620031796504</v>
      </c>
      <c r="G245" s="5"/>
      <c r="H245" s="6">
        <v>4</v>
      </c>
      <c r="I245" s="5">
        <v>0.68259385665529015</v>
      </c>
      <c r="J245" s="5"/>
      <c r="K245" s="89" t="s">
        <v>96</v>
      </c>
      <c r="L245" s="89" t="s">
        <v>96</v>
      </c>
      <c r="M245" s="5"/>
      <c r="O245" s="100">
        <f t="shared" si="111"/>
        <v>1.7</v>
      </c>
      <c r="P245" s="100">
        <f t="shared" si="112"/>
        <v>1.7</v>
      </c>
      <c r="Q245" s="100">
        <f t="shared" si="113"/>
        <v>0.7</v>
      </c>
      <c r="R245" s="100" t="e">
        <f t="shared" si="114"/>
        <v>#VALUE!</v>
      </c>
      <c r="S245" s="100" t="e">
        <f>ROUND(#REF!,1)</f>
        <v>#REF!</v>
      </c>
      <c r="U245" s="37"/>
      <c r="V245" s="37"/>
      <c r="W245" s="37"/>
      <c r="X245" s="37"/>
    </row>
    <row r="246" spans="1:24" hidden="1" x14ac:dyDescent="0.25">
      <c r="A246" s="61" t="s">
        <v>46</v>
      </c>
      <c r="B246" s="6">
        <v>32</v>
      </c>
      <c r="C246" s="5">
        <v>7.3659738047556572E-2</v>
      </c>
      <c r="D246" s="5"/>
      <c r="E246" s="6">
        <v>31</v>
      </c>
      <c r="F246" s="5">
        <v>7.2477321612269704E-2</v>
      </c>
      <c r="G246" s="5"/>
      <c r="H246" s="89" t="s">
        <v>96</v>
      </c>
      <c r="I246" s="89" t="s">
        <v>96</v>
      </c>
      <c r="J246" s="5"/>
      <c r="K246" s="6">
        <v>1</v>
      </c>
      <c r="L246" s="5">
        <v>1.1764705882352942</v>
      </c>
      <c r="M246" s="5"/>
      <c r="O246" s="100">
        <f t="shared" si="111"/>
        <v>0.1</v>
      </c>
      <c r="P246" s="100">
        <f t="shared" si="112"/>
        <v>0.1</v>
      </c>
      <c r="Q246" s="100" t="e">
        <f t="shared" si="113"/>
        <v>#VALUE!</v>
      </c>
      <c r="R246" s="100">
        <f t="shared" si="114"/>
        <v>1.2</v>
      </c>
      <c r="S246" s="100" t="e">
        <f>ROUND(#REF!,1)</f>
        <v>#REF!</v>
      </c>
      <c r="U246" s="37"/>
      <c r="V246" s="37"/>
      <c r="W246" s="37"/>
      <c r="X246" s="37"/>
    </row>
    <row r="247" spans="1:24" ht="14.1" customHeight="1" x14ac:dyDescent="0.25">
      <c r="A247" s="61" t="s">
        <v>47</v>
      </c>
      <c r="B247" s="6">
        <v>239</v>
      </c>
      <c r="C247" s="5">
        <v>0.55014616854268816</v>
      </c>
      <c r="D247" s="5"/>
      <c r="E247" s="6">
        <v>228</v>
      </c>
      <c r="F247" s="5">
        <v>0.53305901056766103</v>
      </c>
      <c r="G247" s="5"/>
      <c r="H247" s="97">
        <v>6</v>
      </c>
      <c r="I247" s="98">
        <v>1.0238907849829351</v>
      </c>
      <c r="J247" s="5"/>
      <c r="K247" s="6">
        <v>5</v>
      </c>
      <c r="L247" s="5">
        <v>5.882352941176471</v>
      </c>
      <c r="M247" s="5"/>
      <c r="O247" s="100">
        <f t="shared" si="111"/>
        <v>0.6</v>
      </c>
      <c r="P247" s="100">
        <f t="shared" si="112"/>
        <v>0.5</v>
      </c>
      <c r="Q247" s="100">
        <f t="shared" si="113"/>
        <v>1</v>
      </c>
      <c r="R247" s="100">
        <f t="shared" si="114"/>
        <v>5.9</v>
      </c>
      <c r="S247" s="100" t="e">
        <f>ROUND(#REF!,1)</f>
        <v>#REF!</v>
      </c>
      <c r="U247" s="37"/>
      <c r="V247" s="37"/>
      <c r="W247" s="37"/>
      <c r="X247" s="37"/>
    </row>
    <row r="248" spans="1:24" ht="14.1" customHeight="1" x14ac:dyDescent="0.25">
      <c r="A248" s="61"/>
      <c r="B248" s="6"/>
      <c r="C248" s="5"/>
      <c r="D248" s="5"/>
      <c r="E248" s="6"/>
      <c r="F248" s="5"/>
      <c r="G248" s="5"/>
      <c r="H248" s="6"/>
      <c r="I248" s="5"/>
      <c r="J248" s="5"/>
      <c r="K248" s="6"/>
      <c r="L248" s="5"/>
      <c r="M248" s="5"/>
      <c r="O248" s="100">
        <f t="shared" si="111"/>
        <v>0</v>
      </c>
      <c r="P248" s="100">
        <f t="shared" si="112"/>
        <v>0</v>
      </c>
      <c r="Q248" s="100">
        <f t="shared" si="113"/>
        <v>0</v>
      </c>
      <c r="R248" s="100">
        <f t="shared" si="114"/>
        <v>0</v>
      </c>
      <c r="S248" s="100" t="e">
        <f>ROUND(#REF!,1)</f>
        <v>#REF!</v>
      </c>
      <c r="U248" s="37"/>
      <c r="V248" s="37"/>
      <c r="W248" s="37"/>
      <c r="X248" s="37"/>
    </row>
    <row r="249" spans="1:24" ht="14.1" customHeight="1" x14ac:dyDescent="0.25">
      <c r="A249" s="63" t="s">
        <v>2</v>
      </c>
      <c r="B249" s="9">
        <v>22813</v>
      </c>
      <c r="C249" s="15">
        <v>100</v>
      </c>
      <c r="D249" s="15"/>
      <c r="E249" s="9">
        <v>22517</v>
      </c>
      <c r="F249" s="15">
        <v>100</v>
      </c>
      <c r="G249" s="15"/>
      <c r="H249" s="9">
        <v>266</v>
      </c>
      <c r="I249" s="15">
        <v>100</v>
      </c>
      <c r="J249" s="15"/>
      <c r="K249" s="9">
        <v>30</v>
      </c>
      <c r="L249" s="15">
        <v>100</v>
      </c>
      <c r="M249" s="15"/>
      <c r="O249" s="100">
        <f>SUM(O250:O257)</f>
        <v>100.10000000000001</v>
      </c>
      <c r="P249" s="100">
        <f t="shared" ref="P249:S249" si="115">SUM(P250:P257)</f>
        <v>100.10000000000001</v>
      </c>
      <c r="Q249" s="100" t="e">
        <f t="shared" si="115"/>
        <v>#VALUE!</v>
      </c>
      <c r="R249" s="100" t="e">
        <f t="shared" si="115"/>
        <v>#VALUE!</v>
      </c>
      <c r="S249" s="100" t="e">
        <f t="shared" si="115"/>
        <v>#REF!</v>
      </c>
      <c r="U249" s="37"/>
      <c r="V249" s="37"/>
      <c r="W249" s="37"/>
      <c r="X249" s="37"/>
    </row>
    <row r="250" spans="1:24" ht="14.1" customHeight="1" x14ac:dyDescent="0.25">
      <c r="A250" s="61" t="s">
        <v>40</v>
      </c>
      <c r="B250" s="6">
        <v>19505</v>
      </c>
      <c r="C250" s="5">
        <v>85.499495901459696</v>
      </c>
      <c r="D250" s="5"/>
      <c r="E250" s="6">
        <v>19459</v>
      </c>
      <c r="F250" s="5">
        <v>86.419149975574001</v>
      </c>
      <c r="G250" s="5"/>
      <c r="H250" s="6">
        <v>43</v>
      </c>
      <c r="I250" s="5">
        <v>16.065413533834583</v>
      </c>
      <c r="J250" s="5"/>
      <c r="K250" s="6">
        <v>3</v>
      </c>
      <c r="L250" s="5">
        <v>10</v>
      </c>
      <c r="M250" s="5"/>
      <c r="O250" s="100">
        <f t="shared" ref="O250:O258" si="116">ROUND(C250,1)</f>
        <v>85.5</v>
      </c>
      <c r="P250" s="100">
        <f t="shared" ref="P250:P258" si="117">ROUND(F250,1)</f>
        <v>86.4</v>
      </c>
      <c r="Q250" s="100">
        <f t="shared" ref="Q250:Q258" si="118">ROUND(I250,1)</f>
        <v>16.100000000000001</v>
      </c>
      <c r="R250" s="100">
        <f t="shared" ref="R250:R258" si="119">ROUND(L250,1)</f>
        <v>10</v>
      </c>
      <c r="S250" s="100" t="e">
        <f>ROUND(#REF!,1)</f>
        <v>#REF!</v>
      </c>
      <c r="U250" s="37"/>
      <c r="V250" s="37"/>
      <c r="W250" s="37"/>
      <c r="X250" s="37"/>
    </row>
    <row r="251" spans="1:24" ht="14.1" customHeight="1" x14ac:dyDescent="0.25">
      <c r="A251" s="61" t="s">
        <v>41</v>
      </c>
      <c r="B251" s="6">
        <v>663</v>
      </c>
      <c r="C251" s="5">
        <v>2.9062376715030904</v>
      </c>
      <c r="D251" s="5"/>
      <c r="E251" s="6">
        <v>591</v>
      </c>
      <c r="F251" s="5">
        <v>2.6246835724119557</v>
      </c>
      <c r="G251" s="5"/>
      <c r="H251" s="6">
        <v>59</v>
      </c>
      <c r="I251" s="5">
        <v>22.180451127819548</v>
      </c>
      <c r="J251" s="5"/>
      <c r="K251" s="6">
        <v>13</v>
      </c>
      <c r="L251" s="5">
        <v>43.433333333333337</v>
      </c>
      <c r="M251" s="5"/>
      <c r="O251" s="100">
        <f t="shared" si="116"/>
        <v>2.9</v>
      </c>
      <c r="P251" s="100">
        <f t="shared" si="117"/>
        <v>2.6</v>
      </c>
      <c r="Q251" s="100">
        <f t="shared" si="118"/>
        <v>22.2</v>
      </c>
      <c r="R251" s="100">
        <f t="shared" si="119"/>
        <v>43.4</v>
      </c>
      <c r="S251" s="100" t="e">
        <f>ROUND(#REF!,1)</f>
        <v>#REF!</v>
      </c>
      <c r="U251" s="37"/>
      <c r="V251" s="37"/>
      <c r="W251" s="37"/>
      <c r="X251" s="37"/>
    </row>
    <row r="252" spans="1:24" ht="14.1" customHeight="1" x14ac:dyDescent="0.25">
      <c r="A252" s="61" t="s">
        <v>42</v>
      </c>
      <c r="B252" s="6">
        <v>45</v>
      </c>
      <c r="C252" s="5">
        <v>0.19725595055450842</v>
      </c>
      <c r="D252" s="5"/>
      <c r="E252" s="6">
        <v>43</v>
      </c>
      <c r="F252" s="5">
        <v>0.19096682506550608</v>
      </c>
      <c r="G252" s="5"/>
      <c r="H252" s="6">
        <v>1</v>
      </c>
      <c r="I252" s="5">
        <v>0.37593984962406013</v>
      </c>
      <c r="J252" s="5"/>
      <c r="K252" s="6">
        <v>1</v>
      </c>
      <c r="L252" s="5">
        <v>3.3333333333333335</v>
      </c>
      <c r="M252" s="5"/>
      <c r="O252" s="100">
        <f t="shared" si="116"/>
        <v>0.2</v>
      </c>
      <c r="P252" s="100">
        <f t="shared" si="117"/>
        <v>0.2</v>
      </c>
      <c r="Q252" s="100">
        <f t="shared" si="118"/>
        <v>0.4</v>
      </c>
      <c r="R252" s="100">
        <f t="shared" si="119"/>
        <v>3.3</v>
      </c>
      <c r="S252" s="100" t="e">
        <f>ROUND(#REF!,1)</f>
        <v>#REF!</v>
      </c>
      <c r="U252" s="37"/>
      <c r="V252" s="37"/>
      <c r="W252" s="37"/>
      <c r="X252" s="37"/>
    </row>
    <row r="253" spans="1:24" ht="14.1" customHeight="1" x14ac:dyDescent="0.25">
      <c r="A253" s="61" t="s">
        <v>43</v>
      </c>
      <c r="B253" s="6">
        <v>547</v>
      </c>
      <c r="C253" s="5">
        <v>2.3977556656292465</v>
      </c>
      <c r="D253" s="5"/>
      <c r="E253" s="6">
        <v>489</v>
      </c>
      <c r="F253" s="5">
        <v>2.1716924990007551</v>
      </c>
      <c r="G253" s="5"/>
      <c r="H253" s="6">
        <v>54</v>
      </c>
      <c r="I253" s="5">
        <v>20.300751879699249</v>
      </c>
      <c r="J253" s="5"/>
      <c r="K253" s="6">
        <v>4</v>
      </c>
      <c r="L253" s="5">
        <v>13.333333333333334</v>
      </c>
      <c r="M253" s="5"/>
      <c r="O253" s="100">
        <f t="shared" si="116"/>
        <v>2.4</v>
      </c>
      <c r="P253" s="100">
        <f t="shared" si="117"/>
        <v>2.2000000000000002</v>
      </c>
      <c r="Q253" s="100">
        <f t="shared" si="118"/>
        <v>20.3</v>
      </c>
      <c r="R253" s="100">
        <f t="shared" si="119"/>
        <v>13.3</v>
      </c>
      <c r="S253" s="100" t="e">
        <f>ROUND(#REF!,1)</f>
        <v>#REF!</v>
      </c>
      <c r="U253" s="37"/>
      <c r="V253" s="37"/>
      <c r="W253" s="37"/>
      <c r="X253" s="37"/>
    </row>
    <row r="254" spans="1:24" ht="14.1" customHeight="1" x14ac:dyDescent="0.25">
      <c r="A254" s="61" t="s">
        <v>44</v>
      </c>
      <c r="B254" s="6">
        <v>1438</v>
      </c>
      <c r="C254" s="5">
        <v>6.303423486608513</v>
      </c>
      <c r="D254" s="5"/>
      <c r="E254" s="6">
        <v>1331</v>
      </c>
      <c r="F254" s="5">
        <v>5.9110893991206641</v>
      </c>
      <c r="G254" s="5"/>
      <c r="H254" s="6">
        <v>99</v>
      </c>
      <c r="I254" s="5">
        <v>37.218045112781958</v>
      </c>
      <c r="J254" s="5"/>
      <c r="K254" s="6">
        <v>8</v>
      </c>
      <c r="L254" s="5">
        <v>26.666666666666668</v>
      </c>
      <c r="M254" s="5"/>
      <c r="O254" s="100">
        <f t="shared" si="116"/>
        <v>6.3</v>
      </c>
      <c r="P254" s="100">
        <f t="shared" si="117"/>
        <v>5.9</v>
      </c>
      <c r="Q254" s="100">
        <f t="shared" si="118"/>
        <v>37.200000000000003</v>
      </c>
      <c r="R254" s="100">
        <f t="shared" si="119"/>
        <v>26.7</v>
      </c>
      <c r="S254" s="100" t="e">
        <f>ROUND(#REF!,1)</f>
        <v>#REF!</v>
      </c>
      <c r="U254" s="37"/>
      <c r="V254" s="37"/>
      <c r="W254" s="37"/>
      <c r="X254" s="37"/>
    </row>
    <row r="255" spans="1:24" ht="18.75" customHeight="1" x14ac:dyDescent="0.25">
      <c r="A255" s="61" t="s">
        <v>45</v>
      </c>
      <c r="B255" s="6">
        <v>332</v>
      </c>
      <c r="C255" s="5">
        <v>1.4553105685354841</v>
      </c>
      <c r="D255" s="5"/>
      <c r="E255" s="6">
        <v>330</v>
      </c>
      <c r="F255" s="5">
        <v>1.4655593551538837</v>
      </c>
      <c r="G255" s="5"/>
      <c r="H255" s="6">
        <v>2</v>
      </c>
      <c r="I255" s="5">
        <v>0.75187969924812026</v>
      </c>
      <c r="J255" s="5"/>
      <c r="K255" s="3" t="s">
        <v>96</v>
      </c>
      <c r="L255" s="3" t="s">
        <v>96</v>
      </c>
      <c r="M255" s="5"/>
      <c r="O255" s="100">
        <f t="shared" si="116"/>
        <v>1.5</v>
      </c>
      <c r="P255" s="100">
        <f t="shared" si="117"/>
        <v>1.5</v>
      </c>
      <c r="Q255" s="100">
        <f t="shared" si="118"/>
        <v>0.8</v>
      </c>
      <c r="R255" s="100" t="e">
        <f t="shared" si="119"/>
        <v>#VALUE!</v>
      </c>
      <c r="S255" s="100" t="e">
        <f>ROUND(#REF!,1)</f>
        <v>#REF!</v>
      </c>
      <c r="U255" s="37"/>
      <c r="V255" s="37"/>
      <c r="W255" s="37"/>
      <c r="X255" s="37"/>
    </row>
    <row r="256" spans="1:24" ht="12" hidden="1" customHeight="1" x14ac:dyDescent="0.25">
      <c r="A256" s="61" t="s">
        <v>46</v>
      </c>
      <c r="B256" s="6">
        <v>20</v>
      </c>
      <c r="C256" s="5">
        <v>8.7669311357559288E-2</v>
      </c>
      <c r="D256" s="5"/>
      <c r="E256" s="6">
        <v>20</v>
      </c>
      <c r="F256" s="5">
        <v>8.8821779100235379E-2</v>
      </c>
      <c r="G256" s="5"/>
      <c r="H256" s="89" t="s">
        <v>96</v>
      </c>
      <c r="I256" s="89" t="s">
        <v>96</v>
      </c>
      <c r="J256" s="98"/>
      <c r="K256" s="89" t="s">
        <v>96</v>
      </c>
      <c r="L256" s="89" t="s">
        <v>96</v>
      </c>
      <c r="M256" s="5"/>
      <c r="O256" s="100">
        <f t="shared" si="116"/>
        <v>0.1</v>
      </c>
      <c r="P256" s="100">
        <f t="shared" si="117"/>
        <v>0.1</v>
      </c>
      <c r="Q256" s="100" t="e">
        <f t="shared" si="118"/>
        <v>#VALUE!</v>
      </c>
      <c r="R256" s="100" t="e">
        <f t="shared" si="119"/>
        <v>#VALUE!</v>
      </c>
      <c r="S256" s="100" t="e">
        <f>ROUND(#REF!,1)</f>
        <v>#REF!</v>
      </c>
      <c r="U256" s="37"/>
      <c r="V256" s="37"/>
      <c r="W256" s="37"/>
      <c r="X256" s="37"/>
    </row>
    <row r="257" spans="1:24" ht="14.1" customHeight="1" x14ac:dyDescent="0.25">
      <c r="A257" s="61" t="s">
        <v>47</v>
      </c>
      <c r="B257" s="6">
        <v>283</v>
      </c>
      <c r="C257" s="5">
        <v>1.240520755709464</v>
      </c>
      <c r="D257" s="5"/>
      <c r="E257" s="6">
        <v>274</v>
      </c>
      <c r="F257" s="5">
        <v>1.2168583736732248</v>
      </c>
      <c r="G257" s="5"/>
      <c r="H257" s="97">
        <v>8</v>
      </c>
      <c r="I257" s="98">
        <v>3.007518796992481</v>
      </c>
      <c r="J257" s="98"/>
      <c r="K257" s="97">
        <v>1</v>
      </c>
      <c r="L257" s="98">
        <v>3.3333333333333335</v>
      </c>
      <c r="M257" s="5"/>
      <c r="O257" s="100">
        <f t="shared" si="116"/>
        <v>1.2</v>
      </c>
      <c r="P257" s="100">
        <f t="shared" si="117"/>
        <v>1.2</v>
      </c>
      <c r="Q257" s="100">
        <f t="shared" si="118"/>
        <v>3</v>
      </c>
      <c r="R257" s="100">
        <f t="shared" si="119"/>
        <v>3.3</v>
      </c>
      <c r="S257" s="100" t="e">
        <f>ROUND(#REF!,1)</f>
        <v>#REF!</v>
      </c>
      <c r="U257" s="37"/>
      <c r="V257" s="37"/>
      <c r="W257" s="37"/>
      <c r="X257" s="37"/>
    </row>
    <row r="258" spans="1:24" ht="14.1" customHeight="1" x14ac:dyDescent="0.25">
      <c r="A258" s="68"/>
      <c r="B258" s="9"/>
      <c r="C258" s="15"/>
      <c r="D258" s="15"/>
      <c r="E258" s="9"/>
      <c r="F258" s="15"/>
      <c r="G258" s="15"/>
      <c r="H258" s="9"/>
      <c r="I258" s="15"/>
      <c r="J258" s="15"/>
      <c r="K258" s="9"/>
      <c r="L258" s="15"/>
      <c r="M258" s="15"/>
      <c r="O258" s="100">
        <f t="shared" si="116"/>
        <v>0</v>
      </c>
      <c r="P258" s="100">
        <f t="shared" si="117"/>
        <v>0</v>
      </c>
      <c r="Q258" s="100">
        <f t="shared" si="118"/>
        <v>0</v>
      </c>
      <c r="R258" s="100">
        <f t="shared" si="119"/>
        <v>0</v>
      </c>
      <c r="S258" s="100" t="e">
        <f>ROUND(#REF!,1)</f>
        <v>#REF!</v>
      </c>
      <c r="U258" s="37"/>
      <c r="V258" s="37"/>
      <c r="W258" s="37"/>
      <c r="X258" s="37"/>
    </row>
    <row r="259" spans="1:24" ht="14.1" customHeight="1" x14ac:dyDescent="0.25">
      <c r="A259" s="63" t="s">
        <v>1</v>
      </c>
      <c r="B259" s="9">
        <v>46418</v>
      </c>
      <c r="C259" s="15">
        <v>100</v>
      </c>
      <c r="D259" s="15"/>
      <c r="E259" s="9">
        <v>45227</v>
      </c>
      <c r="F259" s="15">
        <v>100</v>
      </c>
      <c r="G259" s="15"/>
      <c r="H259" s="9">
        <v>1025</v>
      </c>
      <c r="I259" s="15">
        <v>100</v>
      </c>
      <c r="J259" s="15"/>
      <c r="K259" s="9">
        <v>166</v>
      </c>
      <c r="L259" s="15">
        <v>100</v>
      </c>
      <c r="M259" s="15"/>
      <c r="O259" s="100">
        <f>SUM(O260:O267)</f>
        <v>100.1</v>
      </c>
      <c r="P259" s="100">
        <f t="shared" ref="P259:S259" si="120">SUM(P260:P267)</f>
        <v>100.09999999999998</v>
      </c>
      <c r="Q259" s="100" t="e">
        <f t="shared" si="120"/>
        <v>#VALUE!</v>
      </c>
      <c r="R259" s="100" t="e">
        <f t="shared" si="120"/>
        <v>#VALUE!</v>
      </c>
      <c r="S259" s="100" t="e">
        <f t="shared" si="120"/>
        <v>#REF!</v>
      </c>
      <c r="U259" s="37"/>
      <c r="V259" s="37"/>
      <c r="W259" s="37"/>
      <c r="X259" s="37"/>
    </row>
    <row r="260" spans="1:24" ht="14.1" customHeight="1" x14ac:dyDescent="0.25">
      <c r="A260" s="61" t="s">
        <v>40</v>
      </c>
      <c r="B260" s="6">
        <v>35901</v>
      </c>
      <c r="C260" s="5">
        <v>77.342841139213235</v>
      </c>
      <c r="D260" s="5"/>
      <c r="E260" s="6">
        <v>35701</v>
      </c>
      <c r="F260" s="5">
        <v>79.037360426294015</v>
      </c>
      <c r="G260" s="5"/>
      <c r="H260" s="6">
        <v>194</v>
      </c>
      <c r="I260" s="5">
        <v>18.926829268292682</v>
      </c>
      <c r="J260" s="5"/>
      <c r="K260" s="6">
        <v>6</v>
      </c>
      <c r="L260" s="5">
        <v>3.6144578313253009</v>
      </c>
      <c r="M260" s="5"/>
      <c r="O260" s="100">
        <f t="shared" ref="O260:O268" si="121">ROUND(C260,1)</f>
        <v>77.3</v>
      </c>
      <c r="P260" s="100">
        <f t="shared" ref="P260:P268" si="122">ROUND(F260,1)</f>
        <v>79</v>
      </c>
      <c r="Q260" s="100">
        <f t="shared" ref="Q260:Q268" si="123">ROUND(I260,1)</f>
        <v>18.899999999999999</v>
      </c>
      <c r="R260" s="100">
        <f t="shared" ref="R260:R268" si="124">ROUND(L260,1)</f>
        <v>3.6</v>
      </c>
      <c r="S260" s="100" t="e">
        <f>ROUND(#REF!,1)</f>
        <v>#REF!</v>
      </c>
      <c r="U260" s="37"/>
      <c r="V260" s="37"/>
      <c r="W260" s="37"/>
      <c r="X260" s="37"/>
    </row>
    <row r="261" spans="1:24" ht="14.1" customHeight="1" x14ac:dyDescent="0.25">
      <c r="A261" s="61" t="s">
        <v>41</v>
      </c>
      <c r="B261" s="6">
        <v>2733</v>
      </c>
      <c r="C261" s="5">
        <v>5.8878021457193324</v>
      </c>
      <c r="D261" s="5"/>
      <c r="E261" s="6">
        <v>2327</v>
      </c>
      <c r="F261" s="5">
        <v>5.1451566542109797</v>
      </c>
      <c r="G261" s="5"/>
      <c r="H261" s="6">
        <v>313</v>
      </c>
      <c r="I261" s="5">
        <v>30.636585365853659</v>
      </c>
      <c r="J261" s="5"/>
      <c r="K261" s="6">
        <v>93</v>
      </c>
      <c r="L261" s="5">
        <v>56.124096385542167</v>
      </c>
      <c r="M261" s="5"/>
      <c r="O261" s="100">
        <f t="shared" si="121"/>
        <v>5.9</v>
      </c>
      <c r="P261" s="100">
        <f t="shared" si="122"/>
        <v>5.0999999999999996</v>
      </c>
      <c r="Q261" s="100">
        <f t="shared" si="123"/>
        <v>30.6</v>
      </c>
      <c r="R261" s="100">
        <f t="shared" si="124"/>
        <v>56.1</v>
      </c>
      <c r="S261" s="100" t="e">
        <f>ROUND(#REF!,1)</f>
        <v>#REF!</v>
      </c>
      <c r="U261" s="37"/>
      <c r="V261" s="37"/>
      <c r="W261" s="37"/>
      <c r="X261" s="37"/>
    </row>
    <row r="262" spans="1:24" ht="14.1" customHeight="1" x14ac:dyDescent="0.25">
      <c r="A262" s="61" t="s">
        <v>42</v>
      </c>
      <c r="B262" s="6">
        <v>51</v>
      </c>
      <c r="C262" s="5">
        <v>0.10987117066655176</v>
      </c>
      <c r="D262" s="5"/>
      <c r="E262" s="6">
        <v>51</v>
      </c>
      <c r="F262" s="5">
        <v>0.11276449908240653</v>
      </c>
      <c r="G262" s="5"/>
      <c r="H262" s="3" t="s">
        <v>96</v>
      </c>
      <c r="I262" s="3" t="s">
        <v>96</v>
      </c>
      <c r="J262" s="5"/>
      <c r="K262" s="3" t="s">
        <v>96</v>
      </c>
      <c r="L262" s="3" t="s">
        <v>96</v>
      </c>
      <c r="M262" s="5"/>
      <c r="O262" s="100">
        <f t="shared" si="121"/>
        <v>0.1</v>
      </c>
      <c r="P262" s="100">
        <f t="shared" si="122"/>
        <v>0.1</v>
      </c>
      <c r="Q262" s="100" t="e">
        <f t="shared" si="123"/>
        <v>#VALUE!</v>
      </c>
      <c r="R262" s="100" t="e">
        <f t="shared" si="124"/>
        <v>#VALUE!</v>
      </c>
      <c r="S262" s="100" t="e">
        <f>ROUND(#REF!,1)</f>
        <v>#REF!</v>
      </c>
      <c r="U262" s="37"/>
      <c r="V262" s="37"/>
      <c r="W262" s="37"/>
      <c r="X262" s="37"/>
    </row>
    <row r="263" spans="1:24" ht="14.1" customHeight="1" x14ac:dyDescent="0.25">
      <c r="A263" s="61" t="s">
        <v>43</v>
      </c>
      <c r="B263" s="6">
        <v>1071</v>
      </c>
      <c r="C263" s="5">
        <v>2.3072945839975869</v>
      </c>
      <c r="D263" s="5"/>
      <c r="E263" s="6">
        <v>946</v>
      </c>
      <c r="F263" s="5">
        <v>2.0916709045481685</v>
      </c>
      <c r="G263" s="5"/>
      <c r="H263" s="6">
        <v>107</v>
      </c>
      <c r="I263" s="5">
        <v>10.439024390243903</v>
      </c>
      <c r="J263" s="5"/>
      <c r="K263" s="6">
        <v>18</v>
      </c>
      <c r="L263" s="5">
        <v>10.843373493975903</v>
      </c>
      <c r="M263" s="5"/>
      <c r="O263" s="100">
        <f t="shared" si="121"/>
        <v>2.2999999999999998</v>
      </c>
      <c r="P263" s="100">
        <f t="shared" si="122"/>
        <v>2.1</v>
      </c>
      <c r="Q263" s="100">
        <f t="shared" si="123"/>
        <v>10.4</v>
      </c>
      <c r="R263" s="100">
        <f t="shared" si="124"/>
        <v>10.8</v>
      </c>
      <c r="S263" s="100" t="e">
        <f>ROUND(#REF!,1)</f>
        <v>#REF!</v>
      </c>
      <c r="U263" s="37"/>
      <c r="V263" s="37"/>
      <c r="W263" s="37"/>
      <c r="X263" s="37"/>
    </row>
    <row r="264" spans="1:24" ht="14.1" customHeight="1" x14ac:dyDescent="0.25">
      <c r="A264" s="61" t="s">
        <v>44</v>
      </c>
      <c r="B264" s="6">
        <v>4944</v>
      </c>
      <c r="C264" s="5">
        <v>10.651040544616313</v>
      </c>
      <c r="D264" s="5"/>
      <c r="E264" s="6">
        <v>4549</v>
      </c>
      <c r="F264" s="5">
        <v>10.058151104428772</v>
      </c>
      <c r="G264" s="5"/>
      <c r="H264" s="6">
        <v>358</v>
      </c>
      <c r="I264" s="5">
        <v>34.926829268292678</v>
      </c>
      <c r="J264" s="5"/>
      <c r="K264" s="6">
        <v>37</v>
      </c>
      <c r="L264" s="5">
        <v>22.289156626506024</v>
      </c>
      <c r="M264" s="5"/>
      <c r="O264" s="100">
        <f t="shared" si="121"/>
        <v>10.7</v>
      </c>
      <c r="P264" s="100">
        <f t="shared" si="122"/>
        <v>10.1</v>
      </c>
      <c r="Q264" s="100">
        <f t="shared" si="123"/>
        <v>34.9</v>
      </c>
      <c r="R264" s="100">
        <f t="shared" si="124"/>
        <v>22.3</v>
      </c>
      <c r="S264" s="100" t="e">
        <f>ROUND(#REF!,1)</f>
        <v>#REF!</v>
      </c>
      <c r="U264" s="37"/>
      <c r="V264" s="37"/>
      <c r="W264" s="37"/>
      <c r="X264" s="37"/>
    </row>
    <row r="265" spans="1:24" ht="14.1" customHeight="1" x14ac:dyDescent="0.25">
      <c r="A265" s="61" t="s">
        <v>45</v>
      </c>
      <c r="B265" s="6">
        <v>794</v>
      </c>
      <c r="C265" s="5">
        <v>1.7105433237106296</v>
      </c>
      <c r="D265" s="5"/>
      <c r="E265" s="6">
        <v>783</v>
      </c>
      <c r="F265" s="5">
        <v>1.7312667212063588</v>
      </c>
      <c r="G265" s="5"/>
      <c r="H265" s="6">
        <v>10</v>
      </c>
      <c r="I265" s="5">
        <v>0.97560975609756095</v>
      </c>
      <c r="J265" s="5"/>
      <c r="K265" s="6">
        <v>1</v>
      </c>
      <c r="L265" s="5">
        <v>0.60240963855421692</v>
      </c>
      <c r="M265" s="5"/>
      <c r="O265" s="100">
        <f t="shared" si="121"/>
        <v>1.7</v>
      </c>
      <c r="P265" s="100">
        <f t="shared" si="122"/>
        <v>1.7</v>
      </c>
      <c r="Q265" s="100">
        <f t="shared" si="123"/>
        <v>1</v>
      </c>
      <c r="R265" s="100">
        <f t="shared" si="124"/>
        <v>0.6</v>
      </c>
      <c r="S265" s="100" t="e">
        <f>ROUND(#REF!,1)</f>
        <v>#REF!</v>
      </c>
      <c r="U265" s="37"/>
      <c r="V265" s="37"/>
      <c r="W265" s="37"/>
      <c r="X265" s="37"/>
    </row>
    <row r="266" spans="1:24" hidden="1" x14ac:dyDescent="0.25">
      <c r="A266" s="61" t="s">
        <v>46</v>
      </c>
      <c r="B266" s="6">
        <v>47</v>
      </c>
      <c r="C266" s="5">
        <v>0.10125382394760654</v>
      </c>
      <c r="D266" s="5"/>
      <c r="E266" s="6">
        <v>43</v>
      </c>
      <c r="F266" s="5">
        <v>9.5075950206734913E-2</v>
      </c>
      <c r="G266" s="5"/>
      <c r="H266" s="6">
        <v>3</v>
      </c>
      <c r="I266" s="5">
        <v>0.29268292682926828</v>
      </c>
      <c r="J266" s="5"/>
      <c r="K266" s="6">
        <v>1</v>
      </c>
      <c r="L266" s="5">
        <v>0.60240963855421692</v>
      </c>
      <c r="M266" s="5"/>
      <c r="O266" s="100">
        <f t="shared" si="121"/>
        <v>0.1</v>
      </c>
      <c r="P266" s="100">
        <f t="shared" si="122"/>
        <v>0.1</v>
      </c>
      <c r="Q266" s="100">
        <f t="shared" si="123"/>
        <v>0.3</v>
      </c>
      <c r="R266" s="100">
        <f t="shared" si="124"/>
        <v>0.6</v>
      </c>
      <c r="S266" s="100" t="e">
        <f>ROUND(#REF!,1)</f>
        <v>#REF!</v>
      </c>
      <c r="U266" s="37"/>
      <c r="V266" s="37"/>
      <c r="W266" s="37"/>
      <c r="X266" s="37"/>
    </row>
    <row r="267" spans="1:24" ht="14.1" customHeight="1" x14ac:dyDescent="0.25">
      <c r="A267" s="61" t="s">
        <v>47</v>
      </c>
      <c r="B267" s="6">
        <v>924</v>
      </c>
      <c r="C267" s="5">
        <v>1.9906070920763497</v>
      </c>
      <c r="D267" s="5"/>
      <c r="E267" s="6">
        <v>870</v>
      </c>
      <c r="F267" s="5">
        <v>1.9236296902292875</v>
      </c>
      <c r="G267" s="5"/>
      <c r="H267" s="6">
        <v>43</v>
      </c>
      <c r="I267" s="5">
        <v>4.1951219512195124</v>
      </c>
      <c r="J267" s="5"/>
      <c r="K267" s="6">
        <v>11</v>
      </c>
      <c r="L267" s="5">
        <v>6.6265060240963862</v>
      </c>
      <c r="M267" s="5"/>
      <c r="O267" s="100">
        <f t="shared" si="121"/>
        <v>2</v>
      </c>
      <c r="P267" s="100">
        <f t="shared" si="122"/>
        <v>1.9</v>
      </c>
      <c r="Q267" s="100">
        <f t="shared" si="123"/>
        <v>4.2</v>
      </c>
      <c r="R267" s="100">
        <f t="shared" si="124"/>
        <v>6.6</v>
      </c>
      <c r="S267" s="100" t="e">
        <f>ROUND(#REF!,1)</f>
        <v>#REF!</v>
      </c>
      <c r="U267" s="37"/>
      <c r="V267" s="37"/>
      <c r="W267" s="37"/>
      <c r="X267" s="37"/>
    </row>
    <row r="268" spans="1:24" ht="14.1" customHeight="1" x14ac:dyDescent="0.25">
      <c r="A268" s="61"/>
      <c r="B268" s="6"/>
      <c r="C268" s="5"/>
      <c r="D268" s="5"/>
      <c r="E268" s="6"/>
      <c r="F268" s="5"/>
      <c r="G268" s="5"/>
      <c r="H268" s="6"/>
      <c r="I268" s="5"/>
      <c r="J268" s="5"/>
      <c r="K268" s="6"/>
      <c r="L268" s="5"/>
      <c r="M268" s="5"/>
      <c r="O268" s="100">
        <f t="shared" si="121"/>
        <v>0</v>
      </c>
      <c r="P268" s="100">
        <f t="shared" si="122"/>
        <v>0</v>
      </c>
      <c r="Q268" s="100">
        <f t="shared" si="123"/>
        <v>0</v>
      </c>
      <c r="R268" s="100">
        <f t="shared" si="124"/>
        <v>0</v>
      </c>
      <c r="S268" s="100" t="e">
        <f>ROUND(#REF!,1)</f>
        <v>#REF!</v>
      </c>
      <c r="U268" s="37"/>
      <c r="V268" s="37"/>
      <c r="W268" s="37"/>
      <c r="X268" s="37"/>
    </row>
    <row r="269" spans="1:24" ht="14.1" customHeight="1" x14ac:dyDescent="0.25">
      <c r="A269" s="63" t="s">
        <v>76</v>
      </c>
      <c r="B269" s="9">
        <v>1263258</v>
      </c>
      <c r="C269" s="15">
        <v>100</v>
      </c>
      <c r="D269" s="15"/>
      <c r="E269" s="9">
        <v>1215634</v>
      </c>
      <c r="F269" s="15">
        <v>100</v>
      </c>
      <c r="G269" s="15"/>
      <c r="H269" s="9">
        <v>38260</v>
      </c>
      <c r="I269" s="15">
        <v>100</v>
      </c>
      <c r="J269" s="15"/>
      <c r="K269" s="9">
        <v>9364</v>
      </c>
      <c r="L269" s="15">
        <v>100</v>
      </c>
      <c r="M269" s="15"/>
      <c r="O269" s="100">
        <f>SUM(O270:O277)</f>
        <v>100.1</v>
      </c>
      <c r="P269" s="100">
        <f t="shared" ref="P269:S269" si="125">SUM(P270:P277)</f>
        <v>100.1</v>
      </c>
      <c r="Q269" s="100">
        <f t="shared" si="125"/>
        <v>100.1</v>
      </c>
      <c r="R269" s="100">
        <f t="shared" si="125"/>
        <v>100.19999999999999</v>
      </c>
      <c r="S269" s="100" t="e">
        <f t="shared" si="125"/>
        <v>#REF!</v>
      </c>
      <c r="U269" s="37"/>
      <c r="V269" s="37"/>
      <c r="W269" s="37"/>
      <c r="X269" s="37"/>
    </row>
    <row r="270" spans="1:24" ht="14.1" customHeight="1" x14ac:dyDescent="0.25">
      <c r="A270" s="61" t="s">
        <v>40</v>
      </c>
      <c r="B270" s="6">
        <v>862863</v>
      </c>
      <c r="C270" s="5">
        <v>68.404574362481767</v>
      </c>
      <c r="D270" s="5"/>
      <c r="E270" s="6">
        <v>860166</v>
      </c>
      <c r="F270" s="5">
        <v>70.65863294379723</v>
      </c>
      <c r="G270" s="5"/>
      <c r="H270" s="6">
        <v>2601</v>
      </c>
      <c r="I270" s="5">
        <v>6.7982226868792477</v>
      </c>
      <c r="J270" s="5"/>
      <c r="K270" s="6">
        <v>96</v>
      </c>
      <c r="L270" s="5">
        <v>1.0252029047415634</v>
      </c>
      <c r="M270" s="5"/>
      <c r="O270" s="100">
        <f t="shared" ref="O270:O278" si="126">ROUND(C270,1)</f>
        <v>68.400000000000006</v>
      </c>
      <c r="P270" s="100">
        <f t="shared" ref="P270:P278" si="127">ROUND(F270,1)</f>
        <v>70.7</v>
      </c>
      <c r="Q270" s="100">
        <f t="shared" ref="Q270:Q278" si="128">ROUND(I270,1)</f>
        <v>6.8</v>
      </c>
      <c r="R270" s="100">
        <f t="shared" ref="R270:R278" si="129">ROUND(L270,1)</f>
        <v>1</v>
      </c>
      <c r="S270" s="100" t="e">
        <f>ROUND(#REF!,1)</f>
        <v>#REF!</v>
      </c>
      <c r="U270" s="37"/>
      <c r="V270" s="37"/>
      <c r="W270" s="37"/>
      <c r="X270" s="37"/>
    </row>
    <row r="271" spans="1:24" ht="14.1" customHeight="1" x14ac:dyDescent="0.25">
      <c r="A271" s="61" t="s">
        <v>41</v>
      </c>
      <c r="B271" s="6">
        <v>238118</v>
      </c>
      <c r="C271" s="5">
        <v>18.84951450930847</v>
      </c>
      <c r="D271" s="5"/>
      <c r="E271" s="6">
        <v>205241</v>
      </c>
      <c r="F271" s="5">
        <v>16.883453407851377</v>
      </c>
      <c r="G271" s="5"/>
      <c r="H271" s="6">
        <v>25420</v>
      </c>
      <c r="I271" s="5">
        <v>66.540146366962873</v>
      </c>
      <c r="J271" s="5"/>
      <c r="K271" s="6">
        <v>7457</v>
      </c>
      <c r="L271" s="5">
        <v>79.634771465185821</v>
      </c>
      <c r="M271" s="5"/>
      <c r="O271" s="100">
        <f t="shared" si="126"/>
        <v>18.8</v>
      </c>
      <c r="P271" s="100">
        <f t="shared" si="127"/>
        <v>16.899999999999999</v>
      </c>
      <c r="Q271" s="100">
        <f t="shared" si="128"/>
        <v>66.5</v>
      </c>
      <c r="R271" s="100">
        <f t="shared" si="129"/>
        <v>79.599999999999994</v>
      </c>
      <c r="S271" s="100" t="e">
        <f>ROUND(#REF!,1)</f>
        <v>#REF!</v>
      </c>
      <c r="U271" s="37"/>
      <c r="V271" s="37"/>
      <c r="W271" s="37"/>
      <c r="X271" s="37"/>
    </row>
    <row r="272" spans="1:24" ht="14.1" customHeight="1" x14ac:dyDescent="0.25">
      <c r="A272" s="61" t="s">
        <v>42</v>
      </c>
      <c r="B272" s="6">
        <v>6471</v>
      </c>
      <c r="C272" s="5">
        <v>0.51224690443282372</v>
      </c>
      <c r="D272" s="5"/>
      <c r="E272" s="6">
        <v>6044</v>
      </c>
      <c r="F272" s="5">
        <v>0.49718912106768975</v>
      </c>
      <c r="G272" s="5"/>
      <c r="H272" s="6">
        <v>338</v>
      </c>
      <c r="I272" s="5">
        <v>0.88342916884474654</v>
      </c>
      <c r="J272" s="5"/>
      <c r="K272" s="6">
        <v>89</v>
      </c>
      <c r="L272" s="5">
        <v>0.95044852627082443</v>
      </c>
      <c r="M272" s="5"/>
      <c r="O272" s="100">
        <f t="shared" si="126"/>
        <v>0.5</v>
      </c>
      <c r="P272" s="100">
        <f t="shared" si="127"/>
        <v>0.5</v>
      </c>
      <c r="Q272" s="100">
        <f t="shared" si="128"/>
        <v>0.9</v>
      </c>
      <c r="R272" s="100">
        <f t="shared" si="129"/>
        <v>1</v>
      </c>
      <c r="S272" s="100" t="e">
        <f>ROUND(#REF!,1)</f>
        <v>#REF!</v>
      </c>
      <c r="U272" s="37"/>
      <c r="V272" s="37"/>
      <c r="W272" s="37"/>
      <c r="X272" s="37"/>
    </row>
    <row r="273" spans="1:24" ht="14.1" customHeight="1" x14ac:dyDescent="0.25">
      <c r="A273" s="61" t="s">
        <v>43</v>
      </c>
      <c r="B273" s="6">
        <v>19610</v>
      </c>
      <c r="C273" s="5">
        <v>1.5523353107599556</v>
      </c>
      <c r="D273" s="5"/>
      <c r="E273" s="6">
        <v>16656</v>
      </c>
      <c r="F273" s="5">
        <v>1.370149238997922</v>
      </c>
      <c r="G273" s="5"/>
      <c r="H273" s="6">
        <v>2388</v>
      </c>
      <c r="I273" s="5">
        <v>6.2415054887611081</v>
      </c>
      <c r="J273" s="5"/>
      <c r="K273" s="6">
        <v>566</v>
      </c>
      <c r="L273" s="5">
        <v>6.0444254592054678</v>
      </c>
      <c r="M273" s="5"/>
      <c r="O273" s="100">
        <f t="shared" si="126"/>
        <v>1.6</v>
      </c>
      <c r="P273" s="100">
        <f t="shared" si="127"/>
        <v>1.4</v>
      </c>
      <c r="Q273" s="100">
        <f t="shared" si="128"/>
        <v>6.2</v>
      </c>
      <c r="R273" s="100">
        <f t="shared" si="129"/>
        <v>6</v>
      </c>
      <c r="S273" s="100" t="e">
        <f>ROUND(#REF!,1)</f>
        <v>#REF!</v>
      </c>
      <c r="U273" s="37"/>
      <c r="V273" s="37"/>
      <c r="W273" s="37"/>
      <c r="X273" s="37"/>
    </row>
    <row r="274" spans="1:24" ht="14.1" customHeight="1" x14ac:dyDescent="0.25">
      <c r="A274" s="61" t="s">
        <v>44</v>
      </c>
      <c r="B274" s="6">
        <v>104110</v>
      </c>
      <c r="C274" s="5">
        <v>8.2413885366251396</v>
      </c>
      <c r="D274" s="5"/>
      <c r="E274" s="6">
        <v>97444</v>
      </c>
      <c r="F274" s="5">
        <v>8.0158995223891409</v>
      </c>
      <c r="G274" s="5"/>
      <c r="H274" s="6">
        <v>6152</v>
      </c>
      <c r="I274" s="5">
        <v>16.079456351280712</v>
      </c>
      <c r="J274" s="5"/>
      <c r="K274" s="6">
        <v>514</v>
      </c>
      <c r="L274" s="5">
        <v>5.4891072191371206</v>
      </c>
      <c r="M274" s="5"/>
      <c r="O274" s="100">
        <f t="shared" si="126"/>
        <v>8.1999999999999993</v>
      </c>
      <c r="P274" s="100">
        <f t="shared" si="127"/>
        <v>8</v>
      </c>
      <c r="Q274" s="100">
        <f t="shared" si="128"/>
        <v>16.100000000000001</v>
      </c>
      <c r="R274" s="100">
        <f t="shared" si="129"/>
        <v>5.5</v>
      </c>
      <c r="S274" s="100" t="e">
        <f>ROUND(#REF!,1)</f>
        <v>#REF!</v>
      </c>
      <c r="U274" s="37"/>
      <c r="V274" s="37"/>
      <c r="W274" s="37"/>
      <c r="X274" s="37"/>
    </row>
    <row r="275" spans="1:24" ht="14.1" customHeight="1" x14ac:dyDescent="0.25">
      <c r="A275" s="61" t="s">
        <v>45</v>
      </c>
      <c r="B275" s="6">
        <v>17012</v>
      </c>
      <c r="C275" s="5">
        <v>1.3466766092120532</v>
      </c>
      <c r="D275" s="5"/>
      <c r="E275" s="6">
        <v>16546</v>
      </c>
      <c r="F275" s="5">
        <v>1.3611004628037715</v>
      </c>
      <c r="G275" s="5"/>
      <c r="H275" s="6">
        <v>348</v>
      </c>
      <c r="I275" s="5">
        <v>0.90956612650287505</v>
      </c>
      <c r="J275" s="5"/>
      <c r="K275" s="6">
        <v>118</v>
      </c>
      <c r="L275" s="5">
        <v>1.2601452370781716</v>
      </c>
      <c r="M275" s="5"/>
      <c r="O275" s="100">
        <f t="shared" si="126"/>
        <v>1.3</v>
      </c>
      <c r="P275" s="100">
        <f t="shared" si="127"/>
        <v>1.4</v>
      </c>
      <c r="Q275" s="100">
        <f t="shared" si="128"/>
        <v>0.9</v>
      </c>
      <c r="R275" s="100">
        <f t="shared" si="129"/>
        <v>1.3</v>
      </c>
      <c r="S275" s="100" t="e">
        <f>ROUND(#REF!,1)</f>
        <v>#REF!</v>
      </c>
      <c r="U275" s="37"/>
      <c r="V275" s="37"/>
      <c r="W275" s="37"/>
      <c r="X275" s="37"/>
    </row>
    <row r="276" spans="1:24" hidden="1" x14ac:dyDescent="0.25">
      <c r="A276" s="61" t="s">
        <v>46</v>
      </c>
      <c r="B276" s="6">
        <v>819</v>
      </c>
      <c r="C276" s="5">
        <v>6.4832362035308705E-2</v>
      </c>
      <c r="D276" s="5"/>
      <c r="E276" s="6">
        <v>746</v>
      </c>
      <c r="F276" s="5">
        <v>6.1367154916693673E-2</v>
      </c>
      <c r="G276" s="5"/>
      <c r="H276" s="6">
        <v>53</v>
      </c>
      <c r="I276" s="5">
        <v>0.13852587558808155</v>
      </c>
      <c r="J276" s="5"/>
      <c r="K276" s="6">
        <v>20</v>
      </c>
      <c r="L276" s="5">
        <v>0.21358393848782573</v>
      </c>
      <c r="M276" s="5"/>
      <c r="O276" s="100">
        <f t="shared" si="126"/>
        <v>0.1</v>
      </c>
      <c r="P276" s="100">
        <f t="shared" si="127"/>
        <v>0.1</v>
      </c>
      <c r="Q276" s="100">
        <f t="shared" si="128"/>
        <v>0.1</v>
      </c>
      <c r="R276" s="100">
        <f t="shared" si="129"/>
        <v>0.2</v>
      </c>
      <c r="S276" s="100" t="e">
        <f>ROUND(#REF!,1)</f>
        <v>#REF!</v>
      </c>
      <c r="U276" s="37"/>
      <c r="V276" s="37"/>
      <c r="W276" s="37"/>
      <c r="X276" s="37"/>
    </row>
    <row r="277" spans="1:24" ht="14.1" customHeight="1" x14ac:dyDescent="0.25">
      <c r="A277" s="61" t="s">
        <v>47</v>
      </c>
      <c r="B277" s="6">
        <v>15074</v>
      </c>
      <c r="C277" s="5">
        <v>1.1932637671797843</v>
      </c>
      <c r="D277" s="5"/>
      <c r="E277" s="6">
        <v>13537</v>
      </c>
      <c r="F277" s="5">
        <v>1.1135753030928717</v>
      </c>
      <c r="G277" s="5"/>
      <c r="H277" s="6">
        <v>1013</v>
      </c>
      <c r="I277" s="5">
        <v>2.6476738107684268</v>
      </c>
      <c r="J277" s="5"/>
      <c r="K277" s="6">
        <v>524</v>
      </c>
      <c r="L277" s="5">
        <v>5.5958991883810345</v>
      </c>
      <c r="M277" s="5"/>
      <c r="O277" s="100">
        <f t="shared" si="126"/>
        <v>1.2</v>
      </c>
      <c r="P277" s="100">
        <f t="shared" si="127"/>
        <v>1.1000000000000001</v>
      </c>
      <c r="Q277" s="100">
        <f t="shared" si="128"/>
        <v>2.6</v>
      </c>
      <c r="R277" s="100">
        <f t="shared" si="129"/>
        <v>5.6</v>
      </c>
      <c r="S277" s="100" t="e">
        <f>ROUND(#REF!,1)</f>
        <v>#REF!</v>
      </c>
      <c r="U277" s="37"/>
      <c r="V277" s="37"/>
      <c r="W277" s="37"/>
      <c r="X277" s="37"/>
    </row>
    <row r="278" spans="1:24" ht="14.1" customHeight="1" x14ac:dyDescent="0.25">
      <c r="A278" s="61"/>
      <c r="B278" s="6"/>
      <c r="C278" s="5"/>
      <c r="D278" s="5"/>
      <c r="E278" s="6"/>
      <c r="F278" s="5"/>
      <c r="G278" s="5"/>
      <c r="H278" s="6"/>
      <c r="I278" s="5"/>
      <c r="J278" s="5"/>
      <c r="K278" s="6"/>
      <c r="L278" s="5"/>
      <c r="M278" s="5"/>
      <c r="O278" s="100">
        <f t="shared" si="126"/>
        <v>0</v>
      </c>
      <c r="P278" s="100">
        <f t="shared" si="127"/>
        <v>0</v>
      </c>
      <c r="Q278" s="100">
        <f t="shared" si="128"/>
        <v>0</v>
      </c>
      <c r="R278" s="100">
        <f t="shared" si="129"/>
        <v>0</v>
      </c>
      <c r="S278" s="100" t="e">
        <f>ROUND(#REF!,1)</f>
        <v>#REF!</v>
      </c>
      <c r="U278" s="37"/>
      <c r="V278" s="37"/>
      <c r="W278" s="37"/>
      <c r="X278" s="37"/>
    </row>
    <row r="279" spans="1:24" ht="14.1" customHeight="1" x14ac:dyDescent="0.25">
      <c r="A279" s="63" t="s">
        <v>77</v>
      </c>
      <c r="B279" s="9">
        <v>75615</v>
      </c>
      <c r="C279" s="15">
        <v>100</v>
      </c>
      <c r="D279" s="15"/>
      <c r="E279" s="9">
        <v>74523</v>
      </c>
      <c r="F279" s="15">
        <v>100</v>
      </c>
      <c r="G279" s="15"/>
      <c r="H279" s="9">
        <v>962</v>
      </c>
      <c r="I279" s="15">
        <v>100</v>
      </c>
      <c r="J279" s="15"/>
      <c r="K279" s="9">
        <v>130</v>
      </c>
      <c r="L279" s="15">
        <v>100</v>
      </c>
      <c r="M279" s="15"/>
      <c r="O279" s="100">
        <f>SUM(O280:O287)</f>
        <v>100.1</v>
      </c>
      <c r="P279" s="100">
        <f t="shared" ref="P279:S279" si="130">SUM(P280:P287)</f>
        <v>100.1</v>
      </c>
      <c r="Q279" s="100">
        <f t="shared" si="130"/>
        <v>100.1</v>
      </c>
      <c r="R279" s="100">
        <f t="shared" si="130"/>
        <v>100.79999999999998</v>
      </c>
      <c r="S279" s="100" t="e">
        <f t="shared" si="130"/>
        <v>#REF!</v>
      </c>
      <c r="U279" s="37"/>
      <c r="V279" s="37"/>
      <c r="W279" s="37"/>
      <c r="X279" s="37"/>
    </row>
    <row r="280" spans="1:24" ht="14.1" customHeight="1" x14ac:dyDescent="0.25">
      <c r="A280" s="61" t="s">
        <v>40</v>
      </c>
      <c r="B280" s="6">
        <v>62865</v>
      </c>
      <c r="C280" s="5">
        <v>83.038266217020436</v>
      </c>
      <c r="D280" s="5"/>
      <c r="E280" s="6">
        <v>62674</v>
      </c>
      <c r="F280" s="5">
        <v>84.00021067321498</v>
      </c>
      <c r="G280" s="5"/>
      <c r="H280" s="6">
        <v>188</v>
      </c>
      <c r="I280" s="5">
        <v>19.542619542619544</v>
      </c>
      <c r="J280" s="5"/>
      <c r="K280" s="6">
        <v>3</v>
      </c>
      <c r="L280" s="5">
        <v>2.3076923076923079</v>
      </c>
      <c r="M280" s="5"/>
      <c r="O280" s="100">
        <f t="shared" ref="O280:O287" si="131">ROUND(C280,1)</f>
        <v>83</v>
      </c>
      <c r="P280" s="100">
        <f t="shared" ref="P280:P287" si="132">ROUND(F280,1)</f>
        <v>84</v>
      </c>
      <c r="Q280" s="100">
        <f t="shared" ref="Q280:Q287" si="133">ROUND(I280,1)</f>
        <v>19.5</v>
      </c>
      <c r="R280" s="100">
        <f t="shared" ref="R280:R287" si="134">ROUND(L280,1)</f>
        <v>2.2999999999999998</v>
      </c>
      <c r="S280" s="100" t="e">
        <f>ROUND(#REF!,1)</f>
        <v>#REF!</v>
      </c>
      <c r="U280" s="37"/>
      <c r="V280" s="37"/>
      <c r="W280" s="37"/>
      <c r="X280" s="37"/>
    </row>
    <row r="281" spans="1:24" ht="14.1" customHeight="1" x14ac:dyDescent="0.25">
      <c r="A281" s="61" t="s">
        <v>41</v>
      </c>
      <c r="B281" s="6">
        <v>6031</v>
      </c>
      <c r="C281" s="5">
        <v>7.9759307015803751</v>
      </c>
      <c r="D281" s="5"/>
      <c r="E281" s="6">
        <v>5495</v>
      </c>
      <c r="F281" s="5">
        <v>7.3735625243213505</v>
      </c>
      <c r="G281" s="5"/>
      <c r="H281" s="6">
        <v>445</v>
      </c>
      <c r="I281" s="5">
        <v>46.257796257796258</v>
      </c>
      <c r="J281" s="5"/>
      <c r="K281" s="6">
        <v>91</v>
      </c>
      <c r="L281" s="5">
        <v>70.099999999999994</v>
      </c>
      <c r="M281" s="5"/>
      <c r="O281" s="100">
        <f t="shared" si="131"/>
        <v>8</v>
      </c>
      <c r="P281" s="100">
        <f t="shared" si="132"/>
        <v>7.4</v>
      </c>
      <c r="Q281" s="100">
        <f t="shared" si="133"/>
        <v>46.3</v>
      </c>
      <c r="R281" s="100">
        <f t="shared" si="134"/>
        <v>70.099999999999994</v>
      </c>
      <c r="S281" s="100" t="e">
        <f>ROUND(#REF!,1)</f>
        <v>#REF!</v>
      </c>
      <c r="U281" s="37"/>
      <c r="V281" s="37"/>
      <c r="W281" s="37"/>
      <c r="X281" s="37"/>
    </row>
    <row r="282" spans="1:24" ht="14.1" customHeight="1" x14ac:dyDescent="0.25">
      <c r="A282" s="61" t="s">
        <v>42</v>
      </c>
      <c r="B282" s="6">
        <v>205</v>
      </c>
      <c r="C282" s="5">
        <v>0.27111022945182833</v>
      </c>
      <c r="D282" s="5"/>
      <c r="E282" s="6">
        <v>200</v>
      </c>
      <c r="F282" s="5">
        <v>0.26837352226829303</v>
      </c>
      <c r="G282" s="5"/>
      <c r="H282" s="6">
        <v>3</v>
      </c>
      <c r="I282" s="5">
        <v>0.31185031185031187</v>
      </c>
      <c r="J282" s="5"/>
      <c r="K282" s="6">
        <v>2</v>
      </c>
      <c r="L282" s="5">
        <v>1.5384615384615385</v>
      </c>
      <c r="M282" s="5"/>
      <c r="O282" s="100">
        <f t="shared" si="131"/>
        <v>0.3</v>
      </c>
      <c r="P282" s="100">
        <f t="shared" si="132"/>
        <v>0.3</v>
      </c>
      <c r="Q282" s="100">
        <f t="shared" si="133"/>
        <v>0.3</v>
      </c>
      <c r="R282" s="100">
        <f t="shared" si="134"/>
        <v>1.5</v>
      </c>
      <c r="S282" s="100" t="e">
        <f>ROUND(#REF!,1)</f>
        <v>#REF!</v>
      </c>
      <c r="U282" s="37"/>
      <c r="V282" s="37"/>
      <c r="W282" s="37"/>
      <c r="X282" s="37"/>
    </row>
    <row r="283" spans="1:24" ht="14.1" customHeight="1" x14ac:dyDescent="0.25">
      <c r="A283" s="61" t="s">
        <v>43</v>
      </c>
      <c r="B283" s="6">
        <v>658</v>
      </c>
      <c r="C283" s="5">
        <v>0.87019771209416119</v>
      </c>
      <c r="D283" s="5"/>
      <c r="E283" s="6">
        <v>577</v>
      </c>
      <c r="F283" s="5">
        <v>0.7742576117440253</v>
      </c>
      <c r="G283" s="5"/>
      <c r="H283" s="6">
        <v>67</v>
      </c>
      <c r="I283" s="5">
        <v>6.9646569646569647</v>
      </c>
      <c r="J283" s="5"/>
      <c r="K283" s="6">
        <v>14</v>
      </c>
      <c r="L283" s="5">
        <v>10.76923076923077</v>
      </c>
      <c r="M283" s="5"/>
      <c r="O283" s="100">
        <f t="shared" si="131"/>
        <v>0.9</v>
      </c>
      <c r="P283" s="100">
        <f t="shared" si="132"/>
        <v>0.8</v>
      </c>
      <c r="Q283" s="100">
        <f t="shared" si="133"/>
        <v>7</v>
      </c>
      <c r="R283" s="100">
        <f t="shared" si="134"/>
        <v>10.8</v>
      </c>
      <c r="S283" s="100" t="e">
        <f>ROUND(#REF!,1)</f>
        <v>#REF!</v>
      </c>
      <c r="U283" s="37"/>
      <c r="V283" s="37"/>
      <c r="W283" s="37"/>
      <c r="X283" s="37"/>
    </row>
    <row r="284" spans="1:24" ht="14.1" customHeight="1" x14ac:dyDescent="0.25">
      <c r="A284" s="61" t="s">
        <v>44</v>
      </c>
      <c r="B284" s="6">
        <v>3916</v>
      </c>
      <c r="C284" s="5">
        <v>5.178866626991999</v>
      </c>
      <c r="D284" s="5"/>
      <c r="E284" s="6">
        <v>3695</v>
      </c>
      <c r="F284" s="5">
        <v>4.9582008239067132</v>
      </c>
      <c r="G284" s="5"/>
      <c r="H284" s="6">
        <v>208</v>
      </c>
      <c r="I284" s="5">
        <v>21.621621621621621</v>
      </c>
      <c r="J284" s="5"/>
      <c r="K284" s="6">
        <v>13</v>
      </c>
      <c r="L284" s="5">
        <v>10</v>
      </c>
      <c r="M284" s="5"/>
      <c r="O284" s="100">
        <f t="shared" si="131"/>
        <v>5.2</v>
      </c>
      <c r="P284" s="100">
        <f t="shared" si="132"/>
        <v>5</v>
      </c>
      <c r="Q284" s="100">
        <f t="shared" si="133"/>
        <v>21.6</v>
      </c>
      <c r="R284" s="100">
        <f t="shared" si="134"/>
        <v>10</v>
      </c>
      <c r="S284" s="100" t="e">
        <f>ROUND(#REF!,1)</f>
        <v>#REF!</v>
      </c>
      <c r="U284" s="37"/>
      <c r="V284" s="37"/>
      <c r="W284" s="37"/>
      <c r="X284" s="37"/>
    </row>
    <row r="285" spans="1:24" x14ac:dyDescent="0.25">
      <c r="A285" s="61" t="s">
        <v>45</v>
      </c>
      <c r="B285" s="6">
        <v>1220</v>
      </c>
      <c r="C285" s="5">
        <v>1.6134364874694174</v>
      </c>
      <c r="D285" s="5"/>
      <c r="E285" s="6">
        <v>1190</v>
      </c>
      <c r="F285" s="5">
        <v>1.5968224574963434</v>
      </c>
      <c r="G285" s="5"/>
      <c r="H285" s="6">
        <v>28</v>
      </c>
      <c r="I285" s="5">
        <v>2.9106029106029108</v>
      </c>
      <c r="J285" s="5"/>
      <c r="K285" s="6">
        <v>2</v>
      </c>
      <c r="L285" s="5">
        <v>1.5384615384615385</v>
      </c>
      <c r="M285" s="5"/>
      <c r="O285" s="100">
        <f t="shared" si="131"/>
        <v>1.6</v>
      </c>
      <c r="P285" s="100">
        <f t="shared" si="132"/>
        <v>1.6</v>
      </c>
      <c r="Q285" s="100">
        <f t="shared" si="133"/>
        <v>2.9</v>
      </c>
      <c r="R285" s="100">
        <f t="shared" si="134"/>
        <v>1.5</v>
      </c>
      <c r="S285" s="100" t="e">
        <f>ROUND(#REF!,1)</f>
        <v>#REF!</v>
      </c>
      <c r="U285" s="37"/>
      <c r="V285" s="37"/>
      <c r="W285" s="37"/>
      <c r="X285" s="37"/>
    </row>
    <row r="286" spans="1:24" ht="21" hidden="1" customHeight="1" x14ac:dyDescent="0.25">
      <c r="A286" s="61" t="s">
        <v>46</v>
      </c>
      <c r="B286" s="6">
        <v>74</v>
      </c>
      <c r="C286" s="5">
        <v>9.7864180387489258E-2</v>
      </c>
      <c r="D286" s="5"/>
      <c r="E286" s="6">
        <v>72</v>
      </c>
      <c r="F286" s="5">
        <v>9.6614468016585478E-2</v>
      </c>
      <c r="G286" s="5"/>
      <c r="H286" s="6">
        <v>1</v>
      </c>
      <c r="I286" s="5">
        <v>0.10395010395010396</v>
      </c>
      <c r="J286" s="5"/>
      <c r="K286" s="6">
        <v>1</v>
      </c>
      <c r="L286" s="5">
        <v>0.76923076923076927</v>
      </c>
      <c r="M286" s="5"/>
      <c r="O286" s="100">
        <f t="shared" si="131"/>
        <v>0.1</v>
      </c>
      <c r="P286" s="100">
        <f t="shared" si="132"/>
        <v>0.1</v>
      </c>
      <c r="Q286" s="100">
        <f t="shared" si="133"/>
        <v>0.1</v>
      </c>
      <c r="R286" s="100">
        <f t="shared" si="134"/>
        <v>0.8</v>
      </c>
      <c r="S286" s="100" t="e">
        <f>ROUND(#REF!,1)</f>
        <v>#REF!</v>
      </c>
      <c r="U286" s="37"/>
      <c r="V286" s="37"/>
      <c r="W286" s="37"/>
      <c r="X286" s="37"/>
    </row>
    <row r="287" spans="1:24" ht="14.1" customHeight="1" x14ac:dyDescent="0.25">
      <c r="A287" s="61" t="s">
        <v>47</v>
      </c>
      <c r="B287" s="6">
        <v>720</v>
      </c>
      <c r="C287" s="5">
        <v>0.95219202539178738</v>
      </c>
      <c r="D287" s="5"/>
      <c r="E287" s="6">
        <v>692</v>
      </c>
      <c r="F287" s="5">
        <v>0.92857238704829381</v>
      </c>
      <c r="G287" s="5"/>
      <c r="H287" s="6">
        <v>23</v>
      </c>
      <c r="I287" s="5">
        <v>2.3908523908523911</v>
      </c>
      <c r="J287" s="5"/>
      <c r="K287" s="6">
        <v>5</v>
      </c>
      <c r="L287" s="5">
        <v>3.8461538461538463</v>
      </c>
      <c r="M287" s="5"/>
      <c r="O287" s="100">
        <f t="shared" si="131"/>
        <v>1</v>
      </c>
      <c r="P287" s="100">
        <f t="shared" si="132"/>
        <v>0.9</v>
      </c>
      <c r="Q287" s="100">
        <f t="shared" si="133"/>
        <v>2.4</v>
      </c>
      <c r="R287" s="100">
        <f t="shared" si="134"/>
        <v>3.8</v>
      </c>
      <c r="S287" s="100" t="e">
        <f>ROUND(#REF!,1)</f>
        <v>#REF!</v>
      </c>
      <c r="U287" s="37"/>
      <c r="V287" s="37"/>
      <c r="W287" s="37"/>
      <c r="X287" s="37"/>
    </row>
    <row r="288" spans="1:24" ht="14.1" customHeight="1" x14ac:dyDescent="0.25">
      <c r="A288" s="68"/>
      <c r="B288" s="6"/>
      <c r="C288" s="5"/>
      <c r="D288" s="5"/>
      <c r="E288" s="6"/>
      <c r="F288" s="5"/>
      <c r="G288" s="5"/>
      <c r="H288" s="6"/>
      <c r="I288" s="5"/>
      <c r="J288" s="5"/>
      <c r="K288" s="6"/>
      <c r="L288" s="5"/>
      <c r="M288" s="5"/>
      <c r="U288" s="37"/>
      <c r="V288" s="37"/>
      <c r="W288" s="37"/>
      <c r="X288" s="37"/>
    </row>
    <row r="289" spans="1:24" ht="14.1" customHeight="1" thickBot="1" x14ac:dyDescent="0.3">
      <c r="A289" s="70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U289" s="37"/>
      <c r="V289" s="37"/>
      <c r="W289" s="37"/>
      <c r="X289" s="37"/>
    </row>
    <row r="290" spans="1:24" ht="55.5" customHeight="1" x14ac:dyDescent="0.25">
      <c r="A290" s="182" t="s">
        <v>84</v>
      </c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T290" s="125"/>
    </row>
    <row r="291" spans="1:24" ht="14.1" customHeight="1" x14ac:dyDescent="0.25"/>
    <row r="292" spans="1:24" ht="11.1" customHeight="1" x14ac:dyDescent="0.25"/>
    <row r="293" spans="1:24" ht="11.1" customHeight="1" x14ac:dyDescent="0.25"/>
    <row r="294" spans="1:24" ht="12.95" customHeight="1" x14ac:dyDescent="0.25"/>
    <row r="295" spans="1:24" ht="12.95" customHeight="1" x14ac:dyDescent="0.25"/>
  </sheetData>
  <mergeCells count="9">
    <mergeCell ref="A290:M290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 verticalCentered="1"/>
  <pageMargins left="0.98425196850393704" right="0.98425196850393704" top="0.98425196850393704" bottom="0.98425196850393704" header="0.31496062992125984" footer="0.31496062992125984"/>
  <pageSetup paperSize="9" scale="86" orientation="portrait" r:id="rId1"/>
  <rowBreaks count="5" manualBreakCount="5">
    <brk id="58" max="12" man="1"/>
    <brk id="107" max="12" man="1"/>
    <brk id="158" max="12" man="1"/>
    <brk id="208" max="12" man="1"/>
    <brk id="257" max="12" man="1"/>
  </rowBreaks>
  <colBreaks count="1" manualBreakCount="1">
    <brk id="13" max="28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2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"/>
  <cols>
    <col min="1" max="1" width="23.140625" style="18" customWidth="1"/>
    <col min="2" max="2" width="9.140625" style="18" customWidth="1"/>
    <col min="3" max="3" width="6" style="18" customWidth="1"/>
    <col min="4" max="4" width="1.85546875" style="18" customWidth="1"/>
    <col min="5" max="5" width="9.140625" style="18" customWidth="1"/>
    <col min="6" max="6" width="6" style="18" customWidth="1"/>
    <col min="7" max="7" width="2" style="18" customWidth="1"/>
    <col min="8" max="8" width="9.140625" style="18" customWidth="1"/>
    <col min="9" max="9" width="6" style="18" customWidth="1"/>
    <col min="10" max="10" width="2.140625" style="18" customWidth="1"/>
    <col min="11" max="11" width="9.140625" style="18" customWidth="1"/>
    <col min="12" max="12" width="7.5703125" style="18" customWidth="1"/>
    <col min="13" max="16" width="11.42578125" style="18"/>
    <col min="17" max="17" width="11" style="18" customWidth="1"/>
    <col min="18" max="16384" width="11.42578125" style="18"/>
  </cols>
  <sheetData>
    <row r="1" spans="1:17" ht="13.5" x14ac:dyDescent="0.2">
      <c r="A1" s="163" t="s">
        <v>48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17" ht="22.5" customHeight="1" x14ac:dyDescent="0.2">
      <c r="A2" s="163" t="s">
        <v>98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7" ht="2.25" customHeight="1" thickBo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7" ht="15.95" customHeight="1" thickBot="1" x14ac:dyDescent="0.25">
      <c r="A4" s="164" t="s">
        <v>72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</row>
    <row r="5" spans="1:17" ht="27.75" customHeight="1" thickBot="1" x14ac:dyDescent="0.25">
      <c r="A5" s="165"/>
      <c r="B5" s="179"/>
      <c r="C5" s="179"/>
      <c r="D5" s="66"/>
      <c r="E5" s="180" t="s">
        <v>25</v>
      </c>
      <c r="F5" s="180"/>
      <c r="G5" s="66"/>
      <c r="H5" s="180" t="s">
        <v>54</v>
      </c>
      <c r="I5" s="180"/>
      <c r="J5" s="58"/>
      <c r="K5" s="180" t="s">
        <v>65</v>
      </c>
      <c r="L5" s="180"/>
    </row>
    <row r="6" spans="1:17" ht="15.95" customHeight="1" thickBot="1" x14ac:dyDescent="0.25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50" t="s">
        <v>24</v>
      </c>
      <c r="L6" s="50" t="s">
        <v>23</v>
      </c>
    </row>
    <row r="7" spans="1:17" ht="17.25" customHeight="1" x14ac:dyDescent="0.2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</row>
    <row r="8" spans="1:17" ht="15.95" customHeight="1" x14ac:dyDescent="0.2">
      <c r="A8" s="46" t="s">
        <v>87</v>
      </c>
      <c r="B8" s="8">
        <v>2194046</v>
      </c>
      <c r="C8" s="15">
        <v>100</v>
      </c>
      <c r="D8" s="15"/>
      <c r="E8" s="9">
        <v>2186138</v>
      </c>
      <c r="F8" s="15">
        <v>100</v>
      </c>
      <c r="G8" s="15"/>
      <c r="H8" s="9">
        <v>7542</v>
      </c>
      <c r="I8" s="15">
        <v>100</v>
      </c>
      <c r="J8" s="15"/>
      <c r="K8" s="9">
        <v>366</v>
      </c>
      <c r="L8" s="15">
        <v>100</v>
      </c>
      <c r="M8" s="121"/>
      <c r="N8" s="121"/>
      <c r="O8" s="121"/>
      <c r="P8" s="121"/>
      <c r="Q8" s="121"/>
    </row>
    <row r="9" spans="1:17" ht="15.95" customHeight="1" x14ac:dyDescent="0.2">
      <c r="A9" s="72" t="s">
        <v>21</v>
      </c>
      <c r="B9" s="3">
        <v>14715</v>
      </c>
      <c r="C9" s="5">
        <v>0.6706787369088888</v>
      </c>
      <c r="D9" s="5"/>
      <c r="E9" s="6">
        <v>14659</v>
      </c>
      <c r="F9" s="5">
        <v>0.67054321364890956</v>
      </c>
      <c r="G9" s="5"/>
      <c r="H9" s="6">
        <v>55</v>
      </c>
      <c r="I9" s="5">
        <v>0.7292495359321135</v>
      </c>
      <c r="J9" s="5"/>
      <c r="K9" s="6">
        <v>1</v>
      </c>
      <c r="L9" s="5">
        <v>0.27322404371584702</v>
      </c>
      <c r="N9" s="121"/>
      <c r="O9" s="121"/>
      <c r="P9" s="121"/>
      <c r="Q9" s="121"/>
    </row>
    <row r="10" spans="1:17" ht="15.95" customHeight="1" x14ac:dyDescent="0.2">
      <c r="A10" s="72" t="s">
        <v>56</v>
      </c>
      <c r="B10" s="3">
        <v>65220</v>
      </c>
      <c r="C10" s="5">
        <v>2.9725903650151366</v>
      </c>
      <c r="D10" s="5"/>
      <c r="E10" s="6">
        <v>65015</v>
      </c>
      <c r="F10" s="5">
        <v>2.973965961892616</v>
      </c>
      <c r="G10" s="5"/>
      <c r="H10" s="6">
        <v>200</v>
      </c>
      <c r="I10" s="5">
        <v>2.6518164942985947</v>
      </c>
      <c r="J10" s="5"/>
      <c r="K10" s="6">
        <v>5</v>
      </c>
      <c r="L10" s="5">
        <v>1.3661202185792349</v>
      </c>
      <c r="N10" s="121"/>
      <c r="O10" s="121"/>
      <c r="P10" s="121"/>
      <c r="Q10" s="121"/>
    </row>
    <row r="11" spans="1:17" ht="15.95" customHeight="1" x14ac:dyDescent="0.2">
      <c r="A11" s="72" t="s">
        <v>49</v>
      </c>
      <c r="B11" s="3">
        <v>23642</v>
      </c>
      <c r="C11" s="5">
        <v>1.0775526128440334</v>
      </c>
      <c r="D11" s="5"/>
      <c r="E11" s="6">
        <v>23521</v>
      </c>
      <c r="F11" s="5">
        <v>1.0759156100849991</v>
      </c>
      <c r="G11" s="5"/>
      <c r="H11" s="6">
        <v>119</v>
      </c>
      <c r="I11" s="5">
        <v>1.5778308141076638</v>
      </c>
      <c r="J11" s="5"/>
      <c r="K11" s="6">
        <v>2</v>
      </c>
      <c r="L11" s="5">
        <v>0.54644808743169404</v>
      </c>
      <c r="N11" s="121"/>
      <c r="O11" s="121"/>
      <c r="P11" s="121"/>
      <c r="Q11" s="121"/>
    </row>
    <row r="12" spans="1:17" ht="15.95" customHeight="1" x14ac:dyDescent="0.2">
      <c r="A12" s="72" t="s">
        <v>20</v>
      </c>
      <c r="B12" s="3">
        <v>121771</v>
      </c>
      <c r="C12" s="5">
        <v>5.5500659512152435</v>
      </c>
      <c r="D12" s="5"/>
      <c r="E12" s="6">
        <v>121369</v>
      </c>
      <c r="F12" s="5">
        <v>5.5517538234091353</v>
      </c>
      <c r="G12" s="5"/>
      <c r="H12" s="6">
        <v>380</v>
      </c>
      <c r="I12" s="5">
        <v>5.03845133916733</v>
      </c>
      <c r="J12" s="5"/>
      <c r="K12" s="6">
        <v>22</v>
      </c>
      <c r="L12" s="5">
        <v>6.0109289617486334</v>
      </c>
      <c r="N12" s="121"/>
      <c r="O12" s="121"/>
      <c r="P12" s="121"/>
      <c r="Q12" s="121"/>
    </row>
    <row r="13" spans="1:17" ht="15.95" customHeight="1" x14ac:dyDescent="0.2">
      <c r="A13" s="72" t="s">
        <v>19</v>
      </c>
      <c r="B13" s="3">
        <v>30996</v>
      </c>
      <c r="C13" s="5">
        <v>1.4127324586631274</v>
      </c>
      <c r="D13" s="5"/>
      <c r="E13" s="6">
        <v>30848</v>
      </c>
      <c r="F13" s="5">
        <v>1.4110728599932849</v>
      </c>
      <c r="G13" s="5"/>
      <c r="H13" s="6">
        <v>138</v>
      </c>
      <c r="I13" s="5">
        <v>1.8297533810660305</v>
      </c>
      <c r="J13" s="5"/>
      <c r="K13" s="6">
        <v>10</v>
      </c>
      <c r="L13" s="5">
        <v>2.7322404371584699</v>
      </c>
      <c r="N13" s="121"/>
      <c r="O13" s="121"/>
      <c r="P13" s="121"/>
      <c r="Q13" s="121"/>
    </row>
    <row r="14" spans="1:17" ht="15.95" customHeight="1" x14ac:dyDescent="0.2">
      <c r="A14" s="72" t="s">
        <v>18</v>
      </c>
      <c r="B14" s="3">
        <v>51604</v>
      </c>
      <c r="C14" s="5">
        <v>2.3520017356062723</v>
      </c>
      <c r="D14" s="5"/>
      <c r="E14" s="6">
        <v>51453</v>
      </c>
      <c r="F14" s="5">
        <v>2.3536025630586908</v>
      </c>
      <c r="G14" s="5"/>
      <c r="H14" s="6">
        <v>143</v>
      </c>
      <c r="I14" s="5">
        <v>1.8960487934234951</v>
      </c>
      <c r="J14" s="5"/>
      <c r="K14" s="6">
        <v>8</v>
      </c>
      <c r="L14" s="5">
        <v>2.1857923497267762</v>
      </c>
      <c r="N14" s="121"/>
      <c r="O14" s="121"/>
      <c r="P14" s="121"/>
      <c r="Q14" s="121"/>
    </row>
    <row r="15" spans="1:17" ht="15.95" customHeight="1" x14ac:dyDescent="0.2">
      <c r="A15" s="72" t="s">
        <v>55</v>
      </c>
      <c r="B15" s="3">
        <v>75248</v>
      </c>
      <c r="C15" s="5">
        <v>3.4296455042419351</v>
      </c>
      <c r="D15" s="5"/>
      <c r="E15" s="6">
        <v>75063</v>
      </c>
      <c r="F15" s="5">
        <v>3.4335892793593086</v>
      </c>
      <c r="G15" s="5"/>
      <c r="H15" s="6">
        <v>180</v>
      </c>
      <c r="I15" s="5">
        <v>2.3866348448687349</v>
      </c>
      <c r="J15" s="5"/>
      <c r="K15" s="6">
        <v>5</v>
      </c>
      <c r="L15" s="5">
        <v>1.3661202185792349</v>
      </c>
      <c r="N15" s="121"/>
      <c r="O15" s="121"/>
      <c r="P15" s="121"/>
      <c r="Q15" s="121"/>
    </row>
    <row r="16" spans="1:17" ht="15.95" customHeight="1" x14ac:dyDescent="0.2">
      <c r="A16" s="72" t="s">
        <v>17</v>
      </c>
      <c r="B16" s="3">
        <v>90694</v>
      </c>
      <c r="C16" s="5">
        <v>4.1336416829911498</v>
      </c>
      <c r="D16" s="5"/>
      <c r="E16" s="6">
        <v>90463</v>
      </c>
      <c r="F16" s="5">
        <v>4.1380278829607278</v>
      </c>
      <c r="G16" s="5"/>
      <c r="H16" s="6">
        <v>223</v>
      </c>
      <c r="I16" s="5">
        <v>2.9567753911429331</v>
      </c>
      <c r="J16" s="5"/>
      <c r="K16" s="6">
        <v>8</v>
      </c>
      <c r="L16" s="5">
        <v>2.1857923497267762</v>
      </c>
      <c r="N16" s="121"/>
      <c r="O16" s="121"/>
      <c r="P16" s="121"/>
      <c r="Q16" s="121"/>
    </row>
    <row r="17" spans="1:18" ht="15.95" customHeight="1" x14ac:dyDescent="0.2">
      <c r="A17" s="72" t="s">
        <v>16</v>
      </c>
      <c r="B17" s="3">
        <v>11788</v>
      </c>
      <c r="C17" s="5">
        <v>0.5372722358601415</v>
      </c>
      <c r="D17" s="5"/>
      <c r="E17" s="6">
        <v>11761</v>
      </c>
      <c r="F17" s="5">
        <v>0.53798067642573344</v>
      </c>
      <c r="G17" s="5"/>
      <c r="H17" s="6">
        <v>27</v>
      </c>
      <c r="I17" s="5">
        <v>0.35799522673031026</v>
      </c>
      <c r="J17" s="5"/>
      <c r="K17" s="3" t="s">
        <v>96</v>
      </c>
      <c r="L17" s="3" t="s">
        <v>96</v>
      </c>
      <c r="N17" s="121"/>
      <c r="O17" s="121"/>
      <c r="P17" s="121"/>
      <c r="Q17" s="121"/>
    </row>
    <row r="18" spans="1:18" ht="15.95" customHeight="1" x14ac:dyDescent="0.2">
      <c r="A18" s="72" t="s">
        <v>15</v>
      </c>
      <c r="B18" s="3">
        <v>36519</v>
      </c>
      <c r="C18" s="5">
        <v>1.6644591772460557</v>
      </c>
      <c r="D18" s="5"/>
      <c r="E18" s="6">
        <v>36378</v>
      </c>
      <c r="F18" s="5">
        <v>1.6640303585592493</v>
      </c>
      <c r="G18" s="5"/>
      <c r="H18" s="6">
        <v>140</v>
      </c>
      <c r="I18" s="5">
        <v>1.856271546009016</v>
      </c>
      <c r="J18" s="5"/>
      <c r="K18" s="6">
        <v>1</v>
      </c>
      <c r="L18" s="5">
        <v>0.27322404371584702</v>
      </c>
      <c r="N18" s="121"/>
      <c r="O18" s="121"/>
      <c r="P18" s="121"/>
      <c r="Q18" s="121"/>
    </row>
    <row r="19" spans="1:18" ht="15.95" customHeight="1" x14ac:dyDescent="0.2">
      <c r="A19" s="72" t="s">
        <v>14</v>
      </c>
      <c r="B19" s="3">
        <v>59414</v>
      </c>
      <c r="C19" s="5">
        <v>2.7079651019167326</v>
      </c>
      <c r="D19" s="5"/>
      <c r="E19" s="6">
        <v>59142</v>
      </c>
      <c r="F19" s="5">
        <v>2.7053186944282563</v>
      </c>
      <c r="G19" s="5"/>
      <c r="H19" s="6">
        <v>267</v>
      </c>
      <c r="I19" s="5">
        <v>3.5401750198886237</v>
      </c>
      <c r="J19" s="5"/>
      <c r="K19" s="6">
        <v>5</v>
      </c>
      <c r="L19" s="5">
        <v>1.3661202185792349</v>
      </c>
      <c r="N19" s="121"/>
      <c r="O19" s="121"/>
      <c r="P19" s="121"/>
      <c r="Q19" s="121"/>
    </row>
    <row r="20" spans="1:18" ht="15.95" customHeight="1" x14ac:dyDescent="0.2">
      <c r="A20" s="72" t="s">
        <v>13</v>
      </c>
      <c r="B20" s="3">
        <v>85858</v>
      </c>
      <c r="C20" s="5">
        <v>3.9132269788327139</v>
      </c>
      <c r="D20" s="5"/>
      <c r="E20" s="6">
        <v>85613</v>
      </c>
      <c r="F20" s="5">
        <v>3.9161754655927488</v>
      </c>
      <c r="G20" s="5"/>
      <c r="H20" s="6">
        <v>238</v>
      </c>
      <c r="I20" s="5">
        <v>3.1556616282153276</v>
      </c>
      <c r="J20" s="5"/>
      <c r="K20" s="6">
        <v>7</v>
      </c>
      <c r="L20" s="5">
        <v>1.9125683060109291</v>
      </c>
      <c r="N20" s="121"/>
      <c r="O20" s="121"/>
      <c r="P20" s="121"/>
      <c r="Q20" s="121"/>
    </row>
    <row r="21" spans="1:18" ht="15.95" customHeight="1" x14ac:dyDescent="0.2">
      <c r="A21" s="72" t="s">
        <v>12</v>
      </c>
      <c r="B21" s="3">
        <v>123104</v>
      </c>
      <c r="C21" s="5">
        <v>5.5108212863358386</v>
      </c>
      <c r="D21" s="5"/>
      <c r="E21" s="6">
        <v>122492</v>
      </c>
      <c r="F21" s="5">
        <v>5.6031229501522777</v>
      </c>
      <c r="G21" s="5"/>
      <c r="H21" s="6">
        <v>586</v>
      </c>
      <c r="I21" s="5">
        <v>7.7698223282948815</v>
      </c>
      <c r="J21" s="5"/>
      <c r="K21" s="6">
        <v>26</v>
      </c>
      <c r="L21" s="5">
        <v>7.1038251366120218</v>
      </c>
      <c r="N21" s="121"/>
      <c r="O21" s="121"/>
      <c r="P21" s="121"/>
      <c r="Q21" s="121"/>
    </row>
    <row r="22" spans="1:18" ht="15.95" customHeight="1" x14ac:dyDescent="0.2">
      <c r="A22" s="72" t="s">
        <v>11</v>
      </c>
      <c r="B22" s="3">
        <v>84663</v>
      </c>
      <c r="C22" s="5">
        <v>3.8587613933345062</v>
      </c>
      <c r="D22" s="5"/>
      <c r="E22" s="6">
        <v>84444</v>
      </c>
      <c r="F22" s="5">
        <v>3.8627021715920953</v>
      </c>
      <c r="G22" s="5"/>
      <c r="H22" s="6">
        <v>208</v>
      </c>
      <c r="I22" s="5">
        <v>2.7578891540705386</v>
      </c>
      <c r="J22" s="5"/>
      <c r="K22" s="6">
        <v>11</v>
      </c>
      <c r="L22" s="5">
        <v>3.0054644808743167</v>
      </c>
      <c r="N22" s="121"/>
      <c r="O22" s="121"/>
      <c r="P22" s="121"/>
      <c r="Q22" s="121"/>
    </row>
    <row r="23" spans="1:18" s="160" customFormat="1" ht="15.95" customHeight="1" x14ac:dyDescent="0.2">
      <c r="A23" s="72" t="s">
        <v>71</v>
      </c>
      <c r="B23" s="16">
        <v>925728</v>
      </c>
      <c r="C23" s="16">
        <v>42.192734336472434</v>
      </c>
      <c r="D23" s="16"/>
      <c r="E23" s="3">
        <v>922840</v>
      </c>
      <c r="F23" s="16">
        <v>42.213254606982723</v>
      </c>
      <c r="G23" s="16"/>
      <c r="H23" s="3">
        <v>2789</v>
      </c>
      <c r="I23" s="16">
        <v>36.979581012993897</v>
      </c>
      <c r="J23" s="16"/>
      <c r="K23" s="89">
        <v>99</v>
      </c>
      <c r="L23" s="16">
        <v>27.049180327868854</v>
      </c>
      <c r="N23" s="121"/>
      <c r="O23" s="121"/>
      <c r="P23" s="121"/>
      <c r="Q23" s="121"/>
      <c r="R23" s="18"/>
    </row>
    <row r="24" spans="1:18" ht="15.95" customHeight="1" x14ac:dyDescent="0.2">
      <c r="A24" s="72" t="s">
        <v>10</v>
      </c>
      <c r="B24" s="3">
        <v>44398</v>
      </c>
      <c r="C24" s="5">
        <v>2.0235674183677097</v>
      </c>
      <c r="D24" s="5"/>
      <c r="E24" s="6">
        <v>44223</v>
      </c>
      <c r="F24" s="5">
        <v>2.0228823614977647</v>
      </c>
      <c r="G24" s="5"/>
      <c r="H24" s="6">
        <v>170</v>
      </c>
      <c r="I24" s="5">
        <v>2.2540440201538052</v>
      </c>
      <c r="J24" s="5"/>
      <c r="K24" s="6">
        <v>5</v>
      </c>
      <c r="L24" s="5">
        <v>1.3661202185792349</v>
      </c>
      <c r="N24" s="121"/>
      <c r="O24" s="121"/>
      <c r="P24" s="121"/>
      <c r="Q24" s="121"/>
    </row>
    <row r="25" spans="1:18" ht="15.95" customHeight="1" x14ac:dyDescent="0.2">
      <c r="A25" s="72" t="s">
        <v>9</v>
      </c>
      <c r="B25" s="3">
        <v>19001</v>
      </c>
      <c r="C25" s="5">
        <v>0.86602559836940518</v>
      </c>
      <c r="D25" s="5"/>
      <c r="E25" s="6">
        <v>18851</v>
      </c>
      <c r="F25" s="5">
        <v>0.86229689068119209</v>
      </c>
      <c r="G25" s="5"/>
      <c r="H25" s="6">
        <v>137</v>
      </c>
      <c r="I25" s="5">
        <v>1.8164942985945374</v>
      </c>
      <c r="J25" s="5"/>
      <c r="K25" s="6">
        <v>13</v>
      </c>
      <c r="L25" s="5">
        <v>3.5519125683060109</v>
      </c>
      <c r="N25" s="121"/>
      <c r="O25" s="121"/>
      <c r="P25" s="121"/>
      <c r="Q25" s="121"/>
    </row>
    <row r="26" spans="1:18" ht="15.95" customHeight="1" x14ac:dyDescent="0.2">
      <c r="A26" s="72" t="s">
        <v>8</v>
      </c>
      <c r="B26" s="3">
        <v>13658</v>
      </c>
      <c r="C26" s="5">
        <v>0.6225029010330686</v>
      </c>
      <c r="D26" s="5"/>
      <c r="E26" s="6">
        <v>13630</v>
      </c>
      <c r="F26" s="5">
        <v>0.62347390695372384</v>
      </c>
      <c r="G26" s="5"/>
      <c r="H26" s="6">
        <v>28</v>
      </c>
      <c r="I26" s="5">
        <v>0.37125430920180325</v>
      </c>
      <c r="J26" s="5"/>
      <c r="K26" s="3" t="s">
        <v>96</v>
      </c>
      <c r="L26" s="3" t="s">
        <v>96</v>
      </c>
      <c r="N26" s="121"/>
      <c r="O26" s="121"/>
      <c r="P26" s="121"/>
      <c r="Q26" s="121"/>
    </row>
    <row r="27" spans="1:18" ht="15.95" customHeight="1" x14ac:dyDescent="0.2">
      <c r="A27" s="72" t="s">
        <v>7</v>
      </c>
      <c r="B27" s="3">
        <v>13429</v>
      </c>
      <c r="C27" s="5">
        <v>0.6120655628915711</v>
      </c>
      <c r="D27" s="5"/>
      <c r="E27" s="6">
        <v>13389</v>
      </c>
      <c r="F27" s="5">
        <v>0.61244990023502632</v>
      </c>
      <c r="G27" s="5"/>
      <c r="H27" s="6">
        <v>40</v>
      </c>
      <c r="I27" s="5">
        <v>0.53036329885971889</v>
      </c>
      <c r="J27" s="5"/>
      <c r="K27" s="3" t="s">
        <v>96</v>
      </c>
      <c r="L27" s="3" t="s">
        <v>96</v>
      </c>
      <c r="N27" s="121"/>
      <c r="O27" s="121"/>
      <c r="P27" s="121"/>
      <c r="Q27" s="121"/>
    </row>
    <row r="28" spans="1:18" ht="15.95" customHeight="1" x14ac:dyDescent="0.2">
      <c r="A28" s="72" t="s">
        <v>6</v>
      </c>
      <c r="B28" s="3">
        <v>106831</v>
      </c>
      <c r="C28" s="5">
        <v>4.8691321877481144</v>
      </c>
      <c r="D28" s="5"/>
      <c r="E28" s="6">
        <v>106377</v>
      </c>
      <c r="F28" s="5">
        <v>4.8659782685265069</v>
      </c>
      <c r="G28" s="5"/>
      <c r="H28" s="6">
        <v>442</v>
      </c>
      <c r="I28" s="5">
        <v>5.8605144523998938</v>
      </c>
      <c r="J28" s="5"/>
      <c r="K28" s="6">
        <v>12</v>
      </c>
      <c r="L28" s="5">
        <v>3.278688524590164</v>
      </c>
      <c r="N28" s="121"/>
      <c r="O28" s="121"/>
      <c r="P28" s="121"/>
      <c r="Q28" s="121"/>
    </row>
    <row r="29" spans="1:18" ht="15.95" customHeight="1" x14ac:dyDescent="0.2">
      <c r="A29" s="72" t="s">
        <v>5</v>
      </c>
      <c r="B29" s="3">
        <v>58012</v>
      </c>
      <c r="C29" s="5">
        <v>2.6440648919849448</v>
      </c>
      <c r="D29" s="5"/>
      <c r="E29" s="6">
        <v>57368</v>
      </c>
      <c r="F29" s="5">
        <v>2.6241710267146905</v>
      </c>
      <c r="G29" s="5"/>
      <c r="H29" s="6">
        <v>535</v>
      </c>
      <c r="I29" s="5">
        <v>7.0936091222487407</v>
      </c>
      <c r="J29" s="5"/>
      <c r="K29" s="6">
        <v>109</v>
      </c>
      <c r="L29" s="5">
        <v>29.681420765027319</v>
      </c>
      <c r="N29" s="121"/>
      <c r="O29" s="121"/>
      <c r="P29" s="121"/>
      <c r="Q29" s="121"/>
    </row>
    <row r="30" spans="1:18" ht="15.95" customHeight="1" x14ac:dyDescent="0.2">
      <c r="A30" s="72" t="s">
        <v>4</v>
      </c>
      <c r="B30" s="3">
        <v>48298</v>
      </c>
      <c r="C30" s="5">
        <v>2.2013212120438679</v>
      </c>
      <c r="D30" s="5"/>
      <c r="E30" s="6">
        <v>48101</v>
      </c>
      <c r="F30" s="5">
        <v>2.200272809859213</v>
      </c>
      <c r="G30" s="5"/>
      <c r="H30" s="6">
        <v>189</v>
      </c>
      <c r="I30" s="5">
        <v>2.5059665871121717</v>
      </c>
      <c r="J30" s="5"/>
      <c r="K30" s="6">
        <v>8</v>
      </c>
      <c r="L30" s="5">
        <v>2.1857923497267762</v>
      </c>
      <c r="N30" s="121"/>
      <c r="O30" s="121"/>
      <c r="P30" s="121"/>
      <c r="Q30" s="121"/>
    </row>
    <row r="31" spans="1:18" ht="15.95" customHeight="1" x14ac:dyDescent="0.2">
      <c r="A31" s="72" t="s">
        <v>3</v>
      </c>
      <c r="B31" s="3">
        <v>34049</v>
      </c>
      <c r="C31" s="5">
        <v>1.5518817745844893</v>
      </c>
      <c r="D31" s="5"/>
      <c r="E31" s="6">
        <v>33978</v>
      </c>
      <c r="F31" s="5">
        <v>1.5542477190369501</v>
      </c>
      <c r="G31" s="5"/>
      <c r="H31" s="6">
        <v>71</v>
      </c>
      <c r="I31" s="5">
        <v>0.9413948554760011</v>
      </c>
      <c r="J31" s="5"/>
      <c r="K31" s="3" t="s">
        <v>96</v>
      </c>
      <c r="L31" s="3" t="s">
        <v>96</v>
      </c>
      <c r="N31" s="121"/>
      <c r="O31" s="121"/>
      <c r="P31" s="121"/>
      <c r="Q31" s="121"/>
    </row>
    <row r="32" spans="1:18" ht="15.95" customHeight="1" x14ac:dyDescent="0.2">
      <c r="A32" s="72" t="s">
        <v>2</v>
      </c>
      <c r="B32" s="3">
        <v>19505</v>
      </c>
      <c r="C32" s="5">
        <v>0.8889968578598626</v>
      </c>
      <c r="D32" s="5"/>
      <c r="E32" s="6">
        <v>19459</v>
      </c>
      <c r="F32" s="5">
        <v>0.89010849269350789</v>
      </c>
      <c r="G32" s="5"/>
      <c r="H32" s="6">
        <v>43</v>
      </c>
      <c r="I32" s="5">
        <v>0.57014054627419786</v>
      </c>
      <c r="J32" s="5"/>
      <c r="K32" s="6">
        <v>3</v>
      </c>
      <c r="L32" s="5">
        <v>0.81967213114754101</v>
      </c>
      <c r="N32" s="121"/>
      <c r="O32" s="121"/>
      <c r="P32" s="121"/>
      <c r="Q32" s="121"/>
    </row>
    <row r="33" spans="1:17" ht="15.95" customHeight="1" x14ac:dyDescent="0.2">
      <c r="A33" s="72" t="s">
        <v>1</v>
      </c>
      <c r="B33" s="3">
        <v>35901</v>
      </c>
      <c r="C33" s="5">
        <v>1.636292037632757</v>
      </c>
      <c r="D33" s="5"/>
      <c r="E33" s="6">
        <v>35701</v>
      </c>
      <c r="F33" s="5">
        <v>1.6330625056606671</v>
      </c>
      <c r="G33" s="5"/>
      <c r="H33" s="6">
        <v>194</v>
      </c>
      <c r="I33" s="5">
        <v>2.5722619994696365</v>
      </c>
      <c r="J33" s="5"/>
      <c r="K33" s="6">
        <v>6</v>
      </c>
      <c r="L33" s="5">
        <v>1.639344262295082</v>
      </c>
      <c r="N33" s="121"/>
      <c r="O33" s="121"/>
      <c r="P33" s="121"/>
      <c r="Q33" s="121"/>
    </row>
    <row r="34" spans="1:17" ht="13.5" x14ac:dyDescent="0.25">
      <c r="A34" s="73"/>
      <c r="B34" s="3"/>
      <c r="C34" s="2"/>
      <c r="D34" s="2"/>
      <c r="E34" s="3"/>
      <c r="F34" s="16"/>
      <c r="G34" s="16"/>
      <c r="H34" s="3"/>
      <c r="I34" s="2"/>
      <c r="J34" s="2"/>
      <c r="K34" s="3"/>
      <c r="L34" s="2"/>
      <c r="N34" s="121"/>
      <c r="O34" s="121"/>
      <c r="P34" s="121"/>
      <c r="Q34" s="121"/>
    </row>
    <row r="35" spans="1:17" ht="15.95" customHeight="1" x14ac:dyDescent="0.2">
      <c r="A35" s="72" t="s">
        <v>76</v>
      </c>
      <c r="B35" s="6">
        <v>862863</v>
      </c>
      <c r="C35" s="5">
        <v>39.327479916100209</v>
      </c>
      <c r="D35" s="5"/>
      <c r="E35" s="6">
        <v>860166</v>
      </c>
      <c r="F35" s="5">
        <v>39.346372461390814</v>
      </c>
      <c r="G35" s="5"/>
      <c r="H35" s="6">
        <v>2601</v>
      </c>
      <c r="I35" s="5">
        <v>34.48687350835322</v>
      </c>
      <c r="J35" s="5"/>
      <c r="K35" s="6">
        <v>96</v>
      </c>
      <c r="L35" s="5">
        <v>26.229508196721312</v>
      </c>
      <c r="N35" s="121"/>
      <c r="O35" s="121"/>
      <c r="P35" s="121"/>
      <c r="Q35" s="121"/>
    </row>
    <row r="36" spans="1:17" ht="15.95" customHeight="1" x14ac:dyDescent="0.2">
      <c r="A36" s="72" t="s">
        <v>77</v>
      </c>
      <c r="B36" s="6">
        <v>62865</v>
      </c>
      <c r="C36" s="5">
        <v>2.8652544203722257</v>
      </c>
      <c r="D36" s="5"/>
      <c r="E36" s="6">
        <v>62674</v>
      </c>
      <c r="F36" s="5">
        <v>2.8668821455919069</v>
      </c>
      <c r="G36" s="5"/>
      <c r="H36" s="6">
        <v>188</v>
      </c>
      <c r="I36" s="5">
        <v>2.4927075046406788</v>
      </c>
      <c r="J36" s="5"/>
      <c r="K36" s="6">
        <v>3</v>
      </c>
      <c r="L36" s="5">
        <v>0.81967213114754101</v>
      </c>
      <c r="N36" s="121"/>
      <c r="O36" s="121"/>
      <c r="P36" s="121"/>
      <c r="Q36" s="121"/>
    </row>
    <row r="37" spans="1:17" ht="6.75" customHeight="1" thickBot="1" x14ac:dyDescent="0.3">
      <c r="A37" s="74"/>
      <c r="B37" s="55"/>
      <c r="C37" s="56"/>
      <c r="D37" s="56"/>
      <c r="E37" s="55"/>
      <c r="F37" s="56"/>
      <c r="G37" s="56"/>
      <c r="H37" s="55"/>
      <c r="I37" s="56"/>
      <c r="J37" s="56"/>
      <c r="K37" s="55"/>
      <c r="L37" s="56"/>
    </row>
    <row r="38" spans="1:17" ht="52.5" customHeight="1" x14ac:dyDescent="0.2">
      <c r="A38" s="183" t="s">
        <v>80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</row>
    <row r="39" spans="1:17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7" ht="13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7" ht="13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52" spans="13:18" x14ac:dyDescent="0.2">
      <c r="M52" s="19"/>
      <c r="N52" s="19"/>
      <c r="O52" s="19"/>
      <c r="P52" s="19"/>
      <c r="Q52" s="19"/>
      <c r="R52" s="19"/>
    </row>
  </sheetData>
  <mergeCells count="9">
    <mergeCell ref="A38:L38"/>
    <mergeCell ref="A1:L1"/>
    <mergeCell ref="A2:L2"/>
    <mergeCell ref="A4:A6"/>
    <mergeCell ref="B4:C5"/>
    <mergeCell ref="E5:F5"/>
    <mergeCell ref="H5:I5"/>
    <mergeCell ref="K5:L5"/>
    <mergeCell ref="E4:L4"/>
  </mergeCells>
  <pageMargins left="0.9055118110236221" right="0.70866141732283472" top="0.94488188976377963" bottom="0.94488188976377963" header="0.31496062992125984" footer="0.31496062992125984"/>
  <pageSetup paperSize="9" scale="83" orientation="portrait" r:id="rId1"/>
  <colBreaks count="1" manualBreakCount="1">
    <brk id="12" max="3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24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44.7109375" style="1" customWidth="1"/>
    <col min="2" max="2" width="7.7109375" style="125" customWidth="1"/>
    <col min="3" max="3" width="4.5703125" style="1" customWidth="1"/>
    <col min="4" max="4" width="1.7109375" style="1" customWidth="1"/>
    <col min="5" max="5" width="7.7109375" style="125" customWidth="1"/>
    <col min="6" max="6" width="4.5703125" style="1" customWidth="1"/>
    <col min="7" max="7" width="2.140625" style="1" customWidth="1"/>
    <col min="8" max="8" width="7.7109375" style="1" customWidth="1"/>
    <col min="9" max="9" width="4.5703125" style="1" customWidth="1"/>
    <col min="10" max="10" width="1.42578125" style="1" customWidth="1"/>
    <col min="11" max="11" width="7.7109375" style="1" customWidth="1"/>
    <col min="12" max="12" width="8.5703125" style="1" customWidth="1"/>
    <col min="13" max="13" width="11.42578125" style="99"/>
    <col min="14" max="17" width="0" style="99" hidden="1" customWidth="1"/>
    <col min="18" max="16384" width="11.42578125" style="1"/>
  </cols>
  <sheetData>
    <row r="1" spans="1:21" ht="13.5" x14ac:dyDescent="0.25">
      <c r="A1" s="163" t="s">
        <v>50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21" ht="26.25" customHeight="1" x14ac:dyDescent="0.25">
      <c r="A2" s="163" t="s">
        <v>99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21" ht="6" customHeight="1" thickBot="1" x14ac:dyDescent="0.3">
      <c r="A3" s="13"/>
      <c r="B3" s="124"/>
      <c r="C3" s="13"/>
      <c r="D3" s="13"/>
      <c r="E3" s="124"/>
      <c r="F3" s="13"/>
      <c r="G3" s="13"/>
      <c r="H3" s="13"/>
      <c r="I3" s="13"/>
      <c r="J3" s="13"/>
      <c r="K3" s="13"/>
      <c r="L3" s="13"/>
    </row>
    <row r="4" spans="1:21" ht="15.95" customHeight="1" thickBot="1" x14ac:dyDescent="0.3">
      <c r="A4" s="164" t="s">
        <v>74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</row>
    <row r="5" spans="1:21" ht="27.75" customHeight="1" thickBot="1" x14ac:dyDescent="0.3">
      <c r="A5" s="165"/>
      <c r="B5" s="179"/>
      <c r="C5" s="179"/>
      <c r="D5" s="66"/>
      <c r="E5" s="179" t="s">
        <v>25</v>
      </c>
      <c r="F5" s="179"/>
      <c r="G5" s="66"/>
      <c r="H5" s="179" t="s">
        <v>54</v>
      </c>
      <c r="I5" s="179"/>
      <c r="J5" s="66"/>
      <c r="K5" s="179" t="s">
        <v>65</v>
      </c>
      <c r="L5" s="179"/>
    </row>
    <row r="6" spans="1:21" ht="15.95" customHeight="1" thickBot="1" x14ac:dyDescent="0.3">
      <c r="A6" s="166"/>
      <c r="B6" s="50" t="s">
        <v>24</v>
      </c>
      <c r="C6" s="49" t="s">
        <v>23</v>
      </c>
      <c r="D6" s="49"/>
      <c r="E6" s="126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</row>
    <row r="7" spans="1:21" ht="21.75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</row>
    <row r="8" spans="1:21" ht="14.1" customHeight="1" x14ac:dyDescent="0.25">
      <c r="A8" s="46" t="s">
        <v>26</v>
      </c>
      <c r="B8" s="9">
        <v>2194046</v>
      </c>
      <c r="C8" s="15">
        <v>100</v>
      </c>
      <c r="D8" s="15"/>
      <c r="E8" s="9">
        <v>2186138</v>
      </c>
      <c r="F8" s="15">
        <v>100</v>
      </c>
      <c r="G8" s="15"/>
      <c r="H8" s="9">
        <v>7542</v>
      </c>
      <c r="I8" s="15">
        <v>100</v>
      </c>
      <c r="J8" s="15"/>
      <c r="K8" s="9">
        <v>366</v>
      </c>
      <c r="L8" s="15">
        <v>100</v>
      </c>
      <c r="M8" s="100"/>
      <c r="R8" s="37"/>
      <c r="S8" s="37"/>
      <c r="T8" s="37"/>
      <c r="U8" s="37"/>
    </row>
    <row r="9" spans="1:21" ht="14.1" customHeight="1" x14ac:dyDescent="0.25">
      <c r="A9" s="61" t="s">
        <v>57</v>
      </c>
      <c r="B9" s="6">
        <v>24789</v>
      </c>
      <c r="C9" s="5">
        <v>1.1298304593431496</v>
      </c>
      <c r="D9" s="5"/>
      <c r="E9" s="6">
        <v>24446</v>
      </c>
      <c r="F9" s="5">
        <v>1.1182276690675519</v>
      </c>
      <c r="G9" s="5"/>
      <c r="H9" s="6">
        <v>332</v>
      </c>
      <c r="I9" s="5">
        <v>4.4020153805356665</v>
      </c>
      <c r="J9" s="5"/>
      <c r="K9" s="6">
        <v>11</v>
      </c>
      <c r="L9" s="5">
        <v>3.0054644808743167</v>
      </c>
      <c r="R9" s="37"/>
      <c r="S9" s="37"/>
      <c r="T9" s="37"/>
      <c r="U9" s="37"/>
    </row>
    <row r="10" spans="1:21" ht="14.1" customHeight="1" x14ac:dyDescent="0.25">
      <c r="A10" s="61" t="s">
        <v>29</v>
      </c>
      <c r="B10" s="6">
        <v>20359</v>
      </c>
      <c r="C10" s="5">
        <v>0.92792038088535966</v>
      </c>
      <c r="D10" s="5"/>
      <c r="E10" s="6">
        <v>19568</v>
      </c>
      <c r="F10" s="5">
        <v>0.895094454238479</v>
      </c>
      <c r="G10" s="5"/>
      <c r="H10" s="6">
        <v>679</v>
      </c>
      <c r="I10" s="5">
        <v>9.0029169981437285</v>
      </c>
      <c r="J10" s="5"/>
      <c r="K10" s="6">
        <v>112</v>
      </c>
      <c r="L10" s="5">
        <v>30.601092896174865</v>
      </c>
      <c r="R10" s="37"/>
      <c r="S10" s="37"/>
      <c r="T10" s="37"/>
      <c r="U10" s="37"/>
    </row>
    <row r="11" spans="1:21" ht="14.1" customHeight="1" x14ac:dyDescent="0.25">
      <c r="A11" s="61" t="s">
        <v>30</v>
      </c>
      <c r="B11" s="6">
        <v>156756</v>
      </c>
      <c r="C11" s="5">
        <v>7.14460863628201</v>
      </c>
      <c r="D11" s="5"/>
      <c r="E11" s="6">
        <v>156410</v>
      </c>
      <c r="F11" s="5">
        <v>7.1546261032011698</v>
      </c>
      <c r="G11" s="5"/>
      <c r="H11" s="6">
        <v>337</v>
      </c>
      <c r="I11" s="5">
        <v>4.4683107928931323</v>
      </c>
      <c r="J11" s="5"/>
      <c r="K11" s="6">
        <v>9</v>
      </c>
      <c r="L11" s="5">
        <v>2.459016393442623</v>
      </c>
      <c r="R11" s="37"/>
      <c r="S11" s="37"/>
      <c r="T11" s="37"/>
      <c r="U11" s="37"/>
    </row>
    <row r="12" spans="1:21" ht="14.1" customHeight="1" x14ac:dyDescent="0.25">
      <c r="A12" s="61" t="s">
        <v>31</v>
      </c>
      <c r="B12" s="6">
        <v>2967</v>
      </c>
      <c r="C12" s="5">
        <v>0.13522961688132334</v>
      </c>
      <c r="D12" s="5"/>
      <c r="E12" s="6">
        <v>2947</v>
      </c>
      <c r="F12" s="5">
        <v>0.13480393278008984</v>
      </c>
      <c r="G12" s="5"/>
      <c r="H12" s="6">
        <v>19</v>
      </c>
      <c r="I12" s="5">
        <v>0.25192256695836651</v>
      </c>
      <c r="J12" s="5"/>
      <c r="K12" s="6">
        <v>1</v>
      </c>
      <c r="L12" s="5">
        <v>0.27322404371584702</v>
      </c>
      <c r="R12" s="37"/>
      <c r="S12" s="37"/>
      <c r="T12" s="37"/>
      <c r="U12" s="37"/>
    </row>
    <row r="13" spans="1:21" ht="14.1" customHeight="1" x14ac:dyDescent="0.25">
      <c r="A13" s="61" t="s">
        <v>32</v>
      </c>
      <c r="B13" s="6">
        <v>19543</v>
      </c>
      <c r="C13" s="5">
        <v>0.89072881790080971</v>
      </c>
      <c r="D13" s="5"/>
      <c r="E13" s="6">
        <v>19383</v>
      </c>
      <c r="F13" s="5">
        <v>0.88663204244196836</v>
      </c>
      <c r="G13" s="5"/>
      <c r="H13" s="6">
        <v>153</v>
      </c>
      <c r="I13" s="5">
        <v>2.028639618138425</v>
      </c>
      <c r="J13" s="5"/>
      <c r="K13" s="6">
        <v>7</v>
      </c>
      <c r="L13" s="5">
        <v>1.9125683060109291</v>
      </c>
      <c r="R13" s="37"/>
      <c r="S13" s="37"/>
      <c r="T13" s="37"/>
      <c r="U13" s="37"/>
    </row>
    <row r="14" spans="1:21" ht="14.1" customHeight="1" x14ac:dyDescent="0.25">
      <c r="A14" s="61" t="s">
        <v>33</v>
      </c>
      <c r="B14" s="6">
        <v>1107556</v>
      </c>
      <c r="C14" s="5">
        <v>50.580071976613077</v>
      </c>
      <c r="D14" s="5"/>
      <c r="E14" s="6">
        <v>1103133</v>
      </c>
      <c r="F14" s="5">
        <v>50.360355201730179</v>
      </c>
      <c r="G14" s="5"/>
      <c r="H14" s="6">
        <v>4249</v>
      </c>
      <c r="I14" s="5">
        <v>56.337841421373639</v>
      </c>
      <c r="J14" s="5"/>
      <c r="K14" s="6">
        <v>174</v>
      </c>
      <c r="L14" s="5">
        <v>47.540983606557376</v>
      </c>
      <c r="R14" s="37"/>
      <c r="S14" s="37"/>
      <c r="T14" s="37"/>
      <c r="U14" s="37"/>
    </row>
    <row r="15" spans="1:21" ht="14.1" customHeight="1" x14ac:dyDescent="0.25">
      <c r="A15" s="61" t="s">
        <v>34</v>
      </c>
      <c r="B15" s="6">
        <v>120247</v>
      </c>
      <c r="C15" s="5">
        <v>5.4806052379940979</v>
      </c>
      <c r="D15" s="5"/>
      <c r="E15" s="6">
        <v>119383</v>
      </c>
      <c r="F15" s="5">
        <v>5.460908689204433</v>
      </c>
      <c r="G15" s="5"/>
      <c r="H15" s="6">
        <v>830</v>
      </c>
      <c r="I15" s="5">
        <v>11.005038451339168</v>
      </c>
      <c r="J15" s="5"/>
      <c r="K15" s="6">
        <v>34</v>
      </c>
      <c r="L15" s="5">
        <v>9.2896174863387984</v>
      </c>
      <c r="R15" s="37"/>
      <c r="S15" s="37"/>
      <c r="T15" s="37"/>
      <c r="U15" s="37"/>
    </row>
    <row r="16" spans="1:21" ht="14.1" customHeight="1" x14ac:dyDescent="0.25">
      <c r="A16" s="61" t="s">
        <v>67</v>
      </c>
      <c r="B16" s="6">
        <v>21966</v>
      </c>
      <c r="C16" s="5">
        <v>1.0011640594590998</v>
      </c>
      <c r="D16" s="5"/>
      <c r="E16" s="6">
        <v>21937</v>
      </c>
      <c r="F16" s="5">
        <v>1.0034590680002817</v>
      </c>
      <c r="G16" s="5"/>
      <c r="H16" s="6">
        <v>29</v>
      </c>
      <c r="I16" s="5">
        <v>0.38451339167329623</v>
      </c>
      <c r="J16" s="5"/>
      <c r="K16" s="3" t="s">
        <v>96</v>
      </c>
      <c r="L16" s="3" t="s">
        <v>96</v>
      </c>
      <c r="R16" s="37"/>
      <c r="S16" s="37"/>
      <c r="T16" s="37"/>
      <c r="U16" s="37"/>
    </row>
    <row r="17" spans="1:21" ht="14.1" customHeight="1" x14ac:dyDescent="0.25">
      <c r="A17" s="61" t="s">
        <v>70</v>
      </c>
      <c r="B17" s="6">
        <v>212103</v>
      </c>
      <c r="C17" s="5">
        <v>9.6672084359215802</v>
      </c>
      <c r="D17" s="5"/>
      <c r="E17" s="6">
        <v>211983</v>
      </c>
      <c r="F17" s="5">
        <v>9.6966888641064752</v>
      </c>
      <c r="G17" s="5"/>
      <c r="H17" s="6">
        <v>118</v>
      </c>
      <c r="I17" s="5">
        <v>1.5645717316361707</v>
      </c>
      <c r="J17" s="5"/>
      <c r="K17" s="3">
        <v>2</v>
      </c>
      <c r="L17" s="5">
        <v>0.54644808743169404</v>
      </c>
      <c r="R17" s="37"/>
      <c r="S17" s="37"/>
      <c r="T17" s="37"/>
      <c r="U17" s="37"/>
    </row>
    <row r="18" spans="1:21" ht="14.1" customHeight="1" x14ac:dyDescent="0.25">
      <c r="A18" s="61" t="s">
        <v>35</v>
      </c>
      <c r="B18" s="6">
        <v>33928</v>
      </c>
      <c r="C18" s="5">
        <v>1.5463668491909468</v>
      </c>
      <c r="D18" s="5"/>
      <c r="E18" s="6">
        <v>33895</v>
      </c>
      <c r="F18" s="5">
        <v>1.5504510694201372</v>
      </c>
      <c r="G18" s="5"/>
      <c r="H18" s="6">
        <v>33</v>
      </c>
      <c r="I18" s="5">
        <v>0.43754972155926808</v>
      </c>
      <c r="J18" s="5"/>
      <c r="K18" s="3" t="s">
        <v>96</v>
      </c>
      <c r="L18" s="3" t="s">
        <v>96</v>
      </c>
      <c r="R18" s="37"/>
      <c r="S18" s="37"/>
      <c r="T18" s="37"/>
      <c r="U18" s="37"/>
    </row>
    <row r="19" spans="1:21" ht="14.1" customHeight="1" x14ac:dyDescent="0.25">
      <c r="A19" s="61" t="s">
        <v>36</v>
      </c>
      <c r="B19" s="6">
        <v>149997</v>
      </c>
      <c r="C19" s="5">
        <v>6.8365476384724841</v>
      </c>
      <c r="D19" s="5"/>
      <c r="E19" s="6">
        <v>149512</v>
      </c>
      <c r="F19" s="5">
        <v>6.8390925001074949</v>
      </c>
      <c r="G19" s="5"/>
      <c r="H19" s="6">
        <v>474</v>
      </c>
      <c r="I19" s="5">
        <v>6.2848050914876694</v>
      </c>
      <c r="J19" s="5"/>
      <c r="K19" s="6">
        <v>11</v>
      </c>
      <c r="L19" s="5">
        <v>3.0054644808743167</v>
      </c>
      <c r="R19" s="37"/>
      <c r="S19" s="37"/>
      <c r="T19" s="37"/>
      <c r="U19" s="37"/>
    </row>
    <row r="20" spans="1:21" ht="14.1" customHeight="1" x14ac:dyDescent="0.25">
      <c r="A20" s="61" t="s">
        <v>37</v>
      </c>
      <c r="B20" s="6">
        <v>323835</v>
      </c>
      <c r="C20" s="5">
        <v>14.759717891056068</v>
      </c>
      <c r="D20" s="5"/>
      <c r="E20" s="6">
        <v>323541</v>
      </c>
      <c r="F20" s="5">
        <v>14.799660405701745</v>
      </c>
      <c r="G20" s="5"/>
      <c r="H20" s="6">
        <v>289</v>
      </c>
      <c r="I20" s="5">
        <v>3.8318748342614692</v>
      </c>
      <c r="J20" s="5"/>
      <c r="K20" s="6">
        <v>5</v>
      </c>
      <c r="L20" s="5">
        <v>1.3661202185792349</v>
      </c>
      <c r="R20" s="37"/>
      <c r="S20" s="37"/>
      <c r="T20" s="37"/>
      <c r="U20" s="37"/>
    </row>
    <row r="21" spans="1:21" ht="14.1" customHeight="1" x14ac:dyDescent="0.25">
      <c r="A21" s="61"/>
      <c r="B21" s="6"/>
      <c r="C21" s="5"/>
      <c r="D21" s="5"/>
      <c r="E21" s="6"/>
      <c r="F21" s="5"/>
      <c r="G21" s="5"/>
      <c r="H21" s="6"/>
      <c r="I21" s="5"/>
      <c r="J21" s="5"/>
      <c r="K21" s="6"/>
      <c r="L21" s="5"/>
      <c r="R21" s="37"/>
      <c r="S21" s="37"/>
      <c r="T21" s="37"/>
      <c r="U21" s="37"/>
    </row>
    <row r="22" spans="1:21" ht="14.1" customHeight="1" x14ac:dyDescent="0.25">
      <c r="A22" s="63" t="s">
        <v>21</v>
      </c>
      <c r="B22" s="9">
        <v>14715</v>
      </c>
      <c r="C22" s="15">
        <v>100</v>
      </c>
      <c r="D22" s="15"/>
      <c r="E22" s="9">
        <v>14659</v>
      </c>
      <c r="F22" s="15">
        <v>100</v>
      </c>
      <c r="G22" s="15"/>
      <c r="H22" s="9">
        <v>55</v>
      </c>
      <c r="I22" s="15">
        <v>100</v>
      </c>
      <c r="J22" s="15"/>
      <c r="K22" s="9">
        <v>1</v>
      </c>
      <c r="L22" s="15">
        <v>100</v>
      </c>
      <c r="N22" s="100">
        <f>SUM(N23:N34)</f>
        <v>100</v>
      </c>
      <c r="O22" s="100">
        <f t="shared" ref="O22:Q22" si="0">SUM(O23:O34)</f>
        <v>100</v>
      </c>
      <c r="P22" s="100" t="e">
        <f t="shared" si="0"/>
        <v>#VALUE!</v>
      </c>
      <c r="Q22" s="100" t="e">
        <f t="shared" si="0"/>
        <v>#VALUE!</v>
      </c>
      <c r="R22" s="37"/>
      <c r="S22" s="37"/>
      <c r="T22" s="37"/>
      <c r="U22" s="37"/>
    </row>
    <row r="23" spans="1:21" ht="14.1" customHeight="1" x14ac:dyDescent="0.25">
      <c r="A23" s="61" t="s">
        <v>57</v>
      </c>
      <c r="B23" s="6">
        <v>224</v>
      </c>
      <c r="C23" s="5">
        <v>1.5222562011552836</v>
      </c>
      <c r="D23" s="5"/>
      <c r="E23" s="6">
        <v>224</v>
      </c>
      <c r="F23" s="5">
        <v>1.5280714919162288</v>
      </c>
      <c r="G23" s="5"/>
      <c r="H23" s="3" t="s">
        <v>96</v>
      </c>
      <c r="I23" s="16" t="s">
        <v>96</v>
      </c>
      <c r="J23" s="3"/>
      <c r="K23" s="3" t="s">
        <v>96</v>
      </c>
      <c r="L23" s="16" t="s">
        <v>96</v>
      </c>
      <c r="N23" s="100">
        <f>ROUND(C23,1)</f>
        <v>1.5</v>
      </c>
      <c r="O23" s="100">
        <f>ROUND(F23,1)</f>
        <v>1.5</v>
      </c>
      <c r="P23" s="100" t="e">
        <f>ROUND(I23,1)</f>
        <v>#VALUE!</v>
      </c>
      <c r="Q23" s="100" t="e">
        <f>ROUND(L23,1)</f>
        <v>#VALUE!</v>
      </c>
      <c r="R23" s="37"/>
      <c r="S23" s="37"/>
      <c r="T23" s="37"/>
      <c r="U23" s="37"/>
    </row>
    <row r="24" spans="1:21" ht="14.1" customHeight="1" x14ac:dyDescent="0.25">
      <c r="A24" s="61" t="s">
        <v>29</v>
      </c>
      <c r="B24" s="6">
        <v>62</v>
      </c>
      <c r="C24" s="5">
        <v>0.42133876996262321</v>
      </c>
      <c r="D24" s="5"/>
      <c r="E24" s="6">
        <v>61</v>
      </c>
      <c r="F24" s="5">
        <v>0.4161266116379016</v>
      </c>
      <c r="G24" s="5"/>
      <c r="H24" s="3">
        <v>1</v>
      </c>
      <c r="I24" s="16">
        <v>1.8181818181818181</v>
      </c>
      <c r="J24" s="3"/>
      <c r="K24" s="3" t="s">
        <v>96</v>
      </c>
      <c r="L24" s="16" t="s">
        <v>96</v>
      </c>
      <c r="N24" s="100">
        <f t="shared" ref="N24:N87" si="1">ROUND(C24,1)</f>
        <v>0.4</v>
      </c>
      <c r="O24" s="100">
        <f t="shared" ref="O24:O87" si="2">ROUND(F24,1)</f>
        <v>0.4</v>
      </c>
      <c r="P24" s="100">
        <f t="shared" ref="P24:P87" si="3">ROUND(I24,1)</f>
        <v>1.8</v>
      </c>
      <c r="Q24" s="100" t="e">
        <f t="shared" ref="Q24:Q87" si="4">ROUND(L24,1)</f>
        <v>#VALUE!</v>
      </c>
      <c r="R24" s="37"/>
      <c r="S24" s="37"/>
      <c r="T24" s="37"/>
      <c r="U24" s="37"/>
    </row>
    <row r="25" spans="1:21" ht="14.1" customHeight="1" x14ac:dyDescent="0.25">
      <c r="A25" s="61" t="s">
        <v>30</v>
      </c>
      <c r="B25" s="6">
        <v>991</v>
      </c>
      <c r="C25" s="5">
        <v>6.7346245327896712</v>
      </c>
      <c r="D25" s="5"/>
      <c r="E25" s="6">
        <v>989</v>
      </c>
      <c r="F25" s="5">
        <v>6.7467085067194219</v>
      </c>
      <c r="G25" s="5"/>
      <c r="H25" s="3">
        <v>2</v>
      </c>
      <c r="I25" s="16">
        <v>3.6363636363636362</v>
      </c>
      <c r="J25" s="3"/>
      <c r="K25" s="3" t="s">
        <v>96</v>
      </c>
      <c r="L25" s="16" t="s">
        <v>96</v>
      </c>
      <c r="N25" s="100">
        <f t="shared" si="1"/>
        <v>6.7</v>
      </c>
      <c r="O25" s="100">
        <f t="shared" si="2"/>
        <v>6.7</v>
      </c>
      <c r="P25" s="100">
        <f t="shared" si="3"/>
        <v>3.6</v>
      </c>
      <c r="Q25" s="100" t="e">
        <f t="shared" si="4"/>
        <v>#VALUE!</v>
      </c>
      <c r="R25" s="37"/>
      <c r="S25" s="37"/>
      <c r="T25" s="37"/>
      <c r="U25" s="37"/>
    </row>
    <row r="26" spans="1:21" ht="14.1" customHeight="1" x14ac:dyDescent="0.25">
      <c r="A26" s="61" t="s">
        <v>31</v>
      </c>
      <c r="B26" s="6">
        <v>9</v>
      </c>
      <c r="C26" s="5">
        <v>6.1162079510703363E-2</v>
      </c>
      <c r="D26" s="5"/>
      <c r="E26" s="6">
        <v>9</v>
      </c>
      <c r="F26" s="5">
        <v>6.139572958591992E-2</v>
      </c>
      <c r="G26" s="5"/>
      <c r="H26" s="3" t="s">
        <v>96</v>
      </c>
      <c r="I26" s="16" t="s">
        <v>96</v>
      </c>
      <c r="J26" s="3"/>
      <c r="K26" s="3" t="s">
        <v>96</v>
      </c>
      <c r="L26" s="16" t="s">
        <v>96</v>
      </c>
      <c r="N26" s="100">
        <f t="shared" si="1"/>
        <v>0.1</v>
      </c>
      <c r="O26" s="100">
        <f t="shared" si="2"/>
        <v>0.1</v>
      </c>
      <c r="P26" s="100" t="e">
        <f t="shared" si="3"/>
        <v>#VALUE!</v>
      </c>
      <c r="Q26" s="100" t="e">
        <f t="shared" si="4"/>
        <v>#VALUE!</v>
      </c>
      <c r="R26" s="37"/>
      <c r="S26" s="37"/>
      <c r="T26" s="37"/>
      <c r="U26" s="37"/>
    </row>
    <row r="27" spans="1:21" ht="14.1" customHeight="1" x14ac:dyDescent="0.25">
      <c r="A27" s="61" t="s">
        <v>32</v>
      </c>
      <c r="B27" s="6">
        <v>179</v>
      </c>
      <c r="C27" s="5">
        <v>1.2164458036017669</v>
      </c>
      <c r="D27" s="5"/>
      <c r="E27" s="6">
        <v>179</v>
      </c>
      <c r="F27" s="5">
        <v>1.2210928439866293</v>
      </c>
      <c r="G27" s="5"/>
      <c r="H27" s="3" t="s">
        <v>96</v>
      </c>
      <c r="I27" s="16" t="s">
        <v>96</v>
      </c>
      <c r="J27" s="3"/>
      <c r="K27" s="3" t="s">
        <v>96</v>
      </c>
      <c r="L27" s="16" t="s">
        <v>96</v>
      </c>
      <c r="N27" s="100">
        <f t="shared" si="1"/>
        <v>1.2</v>
      </c>
      <c r="O27" s="100">
        <f t="shared" si="2"/>
        <v>1.2</v>
      </c>
      <c r="P27" s="100" t="e">
        <f t="shared" si="3"/>
        <v>#VALUE!</v>
      </c>
      <c r="Q27" s="100" t="e">
        <f t="shared" si="4"/>
        <v>#VALUE!</v>
      </c>
      <c r="R27" s="37"/>
      <c r="S27" s="37"/>
      <c r="T27" s="37"/>
      <c r="U27" s="37"/>
    </row>
    <row r="28" spans="1:21" ht="14.1" customHeight="1" x14ac:dyDescent="0.25">
      <c r="A28" s="61" t="s">
        <v>33</v>
      </c>
      <c r="B28" s="6">
        <v>5935</v>
      </c>
      <c r="C28" s="5">
        <v>40.43299354400272</v>
      </c>
      <c r="D28" s="5"/>
      <c r="E28" s="6">
        <v>5894</v>
      </c>
      <c r="F28" s="5">
        <v>40.307381131045773</v>
      </c>
      <c r="G28" s="5"/>
      <c r="H28" s="3">
        <v>40</v>
      </c>
      <c r="I28" s="16">
        <v>72.827272727272728</v>
      </c>
      <c r="J28" s="3"/>
      <c r="K28" s="3">
        <v>1</v>
      </c>
      <c r="L28" s="16">
        <v>100</v>
      </c>
      <c r="N28" s="100">
        <f t="shared" si="1"/>
        <v>40.4</v>
      </c>
      <c r="O28" s="100">
        <f t="shared" si="2"/>
        <v>40.299999999999997</v>
      </c>
      <c r="P28" s="100">
        <f t="shared" si="3"/>
        <v>72.8</v>
      </c>
      <c r="Q28" s="100">
        <f t="shared" si="4"/>
        <v>100</v>
      </c>
      <c r="R28" s="37"/>
      <c r="S28" s="37"/>
      <c r="T28" s="37"/>
      <c r="U28" s="37"/>
    </row>
    <row r="29" spans="1:21" ht="14.1" customHeight="1" x14ac:dyDescent="0.25">
      <c r="A29" s="61" t="s">
        <v>34</v>
      </c>
      <c r="B29" s="6">
        <v>1022</v>
      </c>
      <c r="C29" s="5">
        <v>6.9452939177709823</v>
      </c>
      <c r="D29" s="5"/>
      <c r="E29" s="6">
        <v>1015</v>
      </c>
      <c r="F29" s="5">
        <v>6.9240739477454127</v>
      </c>
      <c r="G29" s="5"/>
      <c r="H29" s="3">
        <v>7</v>
      </c>
      <c r="I29" s="16">
        <v>12.727272727272727</v>
      </c>
      <c r="J29" s="3"/>
      <c r="K29" s="3" t="s">
        <v>96</v>
      </c>
      <c r="L29" s="16" t="s">
        <v>96</v>
      </c>
      <c r="N29" s="100">
        <f t="shared" si="1"/>
        <v>6.9</v>
      </c>
      <c r="O29" s="100">
        <f t="shared" si="2"/>
        <v>6.9</v>
      </c>
      <c r="P29" s="100">
        <f t="shared" si="3"/>
        <v>12.7</v>
      </c>
      <c r="Q29" s="100" t="e">
        <f t="shared" si="4"/>
        <v>#VALUE!</v>
      </c>
      <c r="R29" s="37"/>
      <c r="S29" s="37"/>
      <c r="T29" s="37"/>
      <c r="U29" s="37"/>
    </row>
    <row r="30" spans="1:21" ht="14.1" customHeight="1" x14ac:dyDescent="0.25">
      <c r="A30" s="61" t="s">
        <v>67</v>
      </c>
      <c r="B30" s="6">
        <v>335</v>
      </c>
      <c r="C30" s="5">
        <v>2.2765885151206251</v>
      </c>
      <c r="D30" s="5"/>
      <c r="E30" s="6">
        <v>335</v>
      </c>
      <c r="F30" s="5">
        <v>2.2852854901425745</v>
      </c>
      <c r="G30" s="5"/>
      <c r="H30" s="3" t="s">
        <v>96</v>
      </c>
      <c r="I30" s="16" t="s">
        <v>96</v>
      </c>
      <c r="J30" s="3"/>
      <c r="K30" s="3" t="s">
        <v>96</v>
      </c>
      <c r="L30" s="16" t="s">
        <v>96</v>
      </c>
      <c r="N30" s="100">
        <f t="shared" si="1"/>
        <v>2.2999999999999998</v>
      </c>
      <c r="O30" s="100">
        <f t="shared" si="2"/>
        <v>2.2999999999999998</v>
      </c>
      <c r="P30" s="100" t="e">
        <f t="shared" si="3"/>
        <v>#VALUE!</v>
      </c>
      <c r="Q30" s="100" t="e">
        <f t="shared" si="4"/>
        <v>#VALUE!</v>
      </c>
      <c r="R30" s="37"/>
      <c r="S30" s="37"/>
      <c r="T30" s="37"/>
      <c r="U30" s="37"/>
    </row>
    <row r="31" spans="1:21" ht="14.1" customHeight="1" x14ac:dyDescent="0.25">
      <c r="A31" s="61" t="s">
        <v>70</v>
      </c>
      <c r="B31" s="6">
        <v>2117</v>
      </c>
      <c r="C31" s="5">
        <v>14.386680258239892</v>
      </c>
      <c r="D31" s="5"/>
      <c r="E31" s="6">
        <v>2117</v>
      </c>
      <c r="F31" s="5">
        <v>14.441639948154716</v>
      </c>
      <c r="G31" s="5"/>
      <c r="H31" s="3" t="s">
        <v>96</v>
      </c>
      <c r="I31" s="16" t="s">
        <v>96</v>
      </c>
      <c r="J31" s="3"/>
      <c r="K31" s="3" t="s">
        <v>96</v>
      </c>
      <c r="L31" s="16" t="s">
        <v>96</v>
      </c>
      <c r="N31" s="100">
        <f t="shared" si="1"/>
        <v>14.4</v>
      </c>
      <c r="O31" s="100">
        <f t="shared" si="2"/>
        <v>14.4</v>
      </c>
      <c r="P31" s="100" t="e">
        <f t="shared" si="3"/>
        <v>#VALUE!</v>
      </c>
      <c r="Q31" s="100" t="e">
        <f t="shared" si="4"/>
        <v>#VALUE!</v>
      </c>
      <c r="R31" s="37"/>
      <c r="S31" s="37"/>
      <c r="T31" s="37"/>
      <c r="U31" s="37"/>
    </row>
    <row r="32" spans="1:21" ht="14.1" customHeight="1" x14ac:dyDescent="0.25">
      <c r="A32" s="61" t="s">
        <v>35</v>
      </c>
      <c r="B32" s="6">
        <v>211</v>
      </c>
      <c r="C32" s="5">
        <v>1.4339109751953789</v>
      </c>
      <c r="D32" s="5"/>
      <c r="E32" s="6">
        <v>211</v>
      </c>
      <c r="F32" s="5">
        <v>1.4393887714032334</v>
      </c>
      <c r="G32" s="5"/>
      <c r="H32" s="3" t="s">
        <v>96</v>
      </c>
      <c r="I32" s="16" t="s">
        <v>96</v>
      </c>
      <c r="J32" s="3"/>
      <c r="K32" s="3" t="s">
        <v>96</v>
      </c>
      <c r="L32" s="16" t="s">
        <v>96</v>
      </c>
      <c r="N32" s="100">
        <f t="shared" si="1"/>
        <v>1.4</v>
      </c>
      <c r="O32" s="100">
        <f t="shared" si="2"/>
        <v>1.4</v>
      </c>
      <c r="P32" s="100" t="e">
        <f t="shared" si="3"/>
        <v>#VALUE!</v>
      </c>
      <c r="Q32" s="100" t="e">
        <f t="shared" si="4"/>
        <v>#VALUE!</v>
      </c>
      <c r="R32" s="37"/>
      <c r="S32" s="37"/>
      <c r="T32" s="37"/>
      <c r="U32" s="37"/>
    </row>
    <row r="33" spans="1:21" ht="14.1" customHeight="1" x14ac:dyDescent="0.25">
      <c r="A33" s="61" t="s">
        <v>36</v>
      </c>
      <c r="B33" s="6">
        <v>917</v>
      </c>
      <c r="C33" s="5">
        <v>6.231736323479443</v>
      </c>
      <c r="D33" s="5"/>
      <c r="E33" s="6">
        <v>912</v>
      </c>
      <c r="F33" s="5">
        <v>6.2214339313732179</v>
      </c>
      <c r="G33" s="5"/>
      <c r="H33" s="3">
        <v>5</v>
      </c>
      <c r="I33" s="16">
        <v>9.0909090909090917</v>
      </c>
      <c r="J33" s="3"/>
      <c r="K33" s="3" t="s">
        <v>96</v>
      </c>
      <c r="L33" s="16" t="s">
        <v>96</v>
      </c>
      <c r="N33" s="100">
        <f t="shared" si="1"/>
        <v>6.2</v>
      </c>
      <c r="O33" s="100">
        <f t="shared" si="2"/>
        <v>6.2</v>
      </c>
      <c r="P33" s="100">
        <f t="shared" si="3"/>
        <v>9.1</v>
      </c>
      <c r="Q33" s="100" t="e">
        <f t="shared" si="4"/>
        <v>#VALUE!</v>
      </c>
      <c r="R33" s="37"/>
      <c r="S33" s="37"/>
      <c r="T33" s="37"/>
      <c r="U33" s="37"/>
    </row>
    <row r="34" spans="1:21" ht="14.1" customHeight="1" x14ac:dyDescent="0.25">
      <c r="A34" s="61" t="s">
        <v>37</v>
      </c>
      <c r="B34" s="6">
        <v>2713</v>
      </c>
      <c r="C34" s="5">
        <v>18.486969079170915</v>
      </c>
      <c r="D34" s="5"/>
      <c r="E34" s="6">
        <v>2713</v>
      </c>
      <c r="F34" s="5">
        <v>18.60740159628897</v>
      </c>
      <c r="G34" s="5"/>
      <c r="H34" s="3" t="s">
        <v>96</v>
      </c>
      <c r="I34" s="16" t="s">
        <v>96</v>
      </c>
      <c r="J34" s="3"/>
      <c r="K34" s="3" t="s">
        <v>96</v>
      </c>
      <c r="L34" s="16" t="s">
        <v>96</v>
      </c>
      <c r="N34" s="100">
        <f t="shared" si="1"/>
        <v>18.5</v>
      </c>
      <c r="O34" s="100">
        <f t="shared" si="2"/>
        <v>18.600000000000001</v>
      </c>
      <c r="P34" s="100" t="e">
        <f t="shared" si="3"/>
        <v>#VALUE!</v>
      </c>
      <c r="Q34" s="100" t="e">
        <f t="shared" si="4"/>
        <v>#VALUE!</v>
      </c>
      <c r="R34" s="37"/>
      <c r="S34" s="37"/>
      <c r="T34" s="37"/>
      <c r="U34" s="37"/>
    </row>
    <row r="35" spans="1:21" ht="14.1" customHeight="1" x14ac:dyDescent="0.25">
      <c r="A35" s="61"/>
      <c r="B35" s="6"/>
      <c r="C35" s="5"/>
      <c r="D35" s="5"/>
      <c r="E35" s="6"/>
      <c r="F35" s="5"/>
      <c r="G35" s="5"/>
      <c r="H35" s="6"/>
      <c r="I35" s="5"/>
      <c r="J35" s="5"/>
      <c r="K35" s="6"/>
      <c r="L35" s="5"/>
      <c r="N35" s="100">
        <f t="shared" si="1"/>
        <v>0</v>
      </c>
      <c r="O35" s="100">
        <f t="shared" si="2"/>
        <v>0</v>
      </c>
      <c r="P35" s="100">
        <f t="shared" si="3"/>
        <v>0</v>
      </c>
      <c r="Q35" s="100">
        <f t="shared" si="4"/>
        <v>0</v>
      </c>
      <c r="R35" s="37"/>
      <c r="S35" s="37"/>
      <c r="T35" s="37"/>
      <c r="U35" s="37"/>
    </row>
    <row r="36" spans="1:21" ht="14.1" customHeight="1" x14ac:dyDescent="0.25">
      <c r="A36" s="63" t="s">
        <v>56</v>
      </c>
      <c r="B36" s="9">
        <v>65220</v>
      </c>
      <c r="C36" s="15">
        <v>100</v>
      </c>
      <c r="D36" s="9"/>
      <c r="E36" s="9">
        <v>65015</v>
      </c>
      <c r="F36" s="15">
        <v>100</v>
      </c>
      <c r="G36" s="15"/>
      <c r="H36" s="9">
        <v>200</v>
      </c>
      <c r="I36" s="15">
        <v>100</v>
      </c>
      <c r="J36" s="15"/>
      <c r="K36" s="9">
        <v>5</v>
      </c>
      <c r="L36" s="15">
        <v>100</v>
      </c>
      <c r="N36" s="100">
        <f>SUM(N37:N48)</f>
        <v>100</v>
      </c>
      <c r="O36" s="100">
        <f t="shared" ref="O36:Q36" si="5">SUM(O37:O48)</f>
        <v>100</v>
      </c>
      <c r="P36" s="100" t="e">
        <f t="shared" si="5"/>
        <v>#VALUE!</v>
      </c>
      <c r="Q36" s="100" t="e">
        <f t="shared" si="5"/>
        <v>#VALUE!</v>
      </c>
      <c r="R36" s="37"/>
      <c r="S36" s="37"/>
      <c r="T36" s="37"/>
      <c r="U36" s="37"/>
    </row>
    <row r="37" spans="1:21" ht="14.1" customHeight="1" x14ac:dyDescent="0.25">
      <c r="A37" s="61" t="s">
        <v>57</v>
      </c>
      <c r="B37" s="6">
        <v>825</v>
      </c>
      <c r="C37" s="5">
        <v>1.2649494020239191</v>
      </c>
      <c r="D37" s="5"/>
      <c r="E37" s="6">
        <v>808</v>
      </c>
      <c r="F37" s="5">
        <v>1.2427901253556872</v>
      </c>
      <c r="G37" s="5"/>
      <c r="H37" s="6">
        <v>16</v>
      </c>
      <c r="I37" s="5">
        <v>8</v>
      </c>
      <c r="J37" s="5"/>
      <c r="K37" s="6">
        <v>1</v>
      </c>
      <c r="L37" s="5">
        <v>20</v>
      </c>
      <c r="N37" s="100">
        <f t="shared" si="1"/>
        <v>1.3</v>
      </c>
      <c r="O37" s="100">
        <f t="shared" si="2"/>
        <v>1.2</v>
      </c>
      <c r="P37" s="100">
        <f t="shared" si="3"/>
        <v>8</v>
      </c>
      <c r="Q37" s="100">
        <f t="shared" si="4"/>
        <v>20</v>
      </c>
      <c r="R37" s="37"/>
      <c r="S37" s="37"/>
      <c r="T37" s="37"/>
      <c r="U37" s="37"/>
    </row>
    <row r="38" spans="1:21" ht="14.1" customHeight="1" x14ac:dyDescent="0.25">
      <c r="A38" s="61" t="s">
        <v>29</v>
      </c>
      <c r="B38" s="6">
        <v>588</v>
      </c>
      <c r="C38" s="5">
        <v>0.90156393744250229</v>
      </c>
      <c r="D38" s="5"/>
      <c r="E38" s="6">
        <v>584</v>
      </c>
      <c r="F38" s="5">
        <v>0.89825424901945705</v>
      </c>
      <c r="G38" s="5"/>
      <c r="H38" s="6">
        <v>4</v>
      </c>
      <c r="I38" s="5">
        <v>2</v>
      </c>
      <c r="J38" s="5"/>
      <c r="K38" s="3" t="s">
        <v>96</v>
      </c>
      <c r="L38" s="16" t="s">
        <v>96</v>
      </c>
      <c r="N38" s="100">
        <f t="shared" si="1"/>
        <v>0.9</v>
      </c>
      <c r="O38" s="100">
        <f t="shared" si="2"/>
        <v>0.9</v>
      </c>
      <c r="P38" s="100">
        <f t="shared" si="3"/>
        <v>2</v>
      </c>
      <c r="Q38" s="100" t="e">
        <f t="shared" si="4"/>
        <v>#VALUE!</v>
      </c>
      <c r="R38" s="37"/>
      <c r="S38" s="37"/>
      <c r="T38" s="37"/>
      <c r="U38" s="37"/>
    </row>
    <row r="39" spans="1:21" ht="14.1" customHeight="1" x14ac:dyDescent="0.25">
      <c r="A39" s="61" t="s">
        <v>30</v>
      </c>
      <c r="B39" s="6">
        <v>3444</v>
      </c>
      <c r="C39" s="5">
        <v>5.2805887764489423</v>
      </c>
      <c r="D39" s="5"/>
      <c r="E39" s="6">
        <v>3433</v>
      </c>
      <c r="F39" s="5">
        <v>5.2803199261708835</v>
      </c>
      <c r="G39" s="5"/>
      <c r="H39" s="6">
        <v>11</v>
      </c>
      <c r="I39" s="5">
        <v>5.5</v>
      </c>
      <c r="J39" s="5"/>
      <c r="K39" s="3" t="s">
        <v>96</v>
      </c>
      <c r="L39" s="16" t="s">
        <v>96</v>
      </c>
      <c r="N39" s="100">
        <f t="shared" si="1"/>
        <v>5.3</v>
      </c>
      <c r="O39" s="100">
        <f t="shared" si="2"/>
        <v>5.3</v>
      </c>
      <c r="P39" s="100">
        <f t="shared" si="3"/>
        <v>5.5</v>
      </c>
      <c r="Q39" s="100" t="e">
        <f t="shared" si="4"/>
        <v>#VALUE!</v>
      </c>
      <c r="R39" s="37"/>
      <c r="S39" s="37"/>
      <c r="T39" s="37"/>
      <c r="U39" s="37"/>
    </row>
    <row r="40" spans="1:21" ht="14.1" customHeight="1" x14ac:dyDescent="0.25">
      <c r="A40" s="61" t="s">
        <v>31</v>
      </c>
      <c r="B40" s="6">
        <v>49</v>
      </c>
      <c r="C40" s="5">
        <v>7.513032812020852E-2</v>
      </c>
      <c r="D40" s="5"/>
      <c r="E40" s="6">
        <v>48</v>
      </c>
      <c r="F40" s="5">
        <v>7.3829116357763583E-2</v>
      </c>
      <c r="G40" s="5"/>
      <c r="H40" s="6">
        <v>1</v>
      </c>
      <c r="I40" s="5">
        <v>0.5</v>
      </c>
      <c r="J40" s="5"/>
      <c r="K40" s="3" t="s">
        <v>96</v>
      </c>
      <c r="L40" s="16" t="s">
        <v>96</v>
      </c>
      <c r="N40" s="100">
        <f t="shared" si="1"/>
        <v>0.1</v>
      </c>
      <c r="O40" s="100">
        <f t="shared" si="2"/>
        <v>0.1</v>
      </c>
      <c r="P40" s="100">
        <f t="shared" si="3"/>
        <v>0.5</v>
      </c>
      <c r="Q40" s="100" t="e">
        <f t="shared" si="4"/>
        <v>#VALUE!</v>
      </c>
      <c r="R40" s="37"/>
      <c r="S40" s="37"/>
      <c r="T40" s="37"/>
      <c r="U40" s="37"/>
    </row>
    <row r="41" spans="1:21" ht="14.1" customHeight="1" x14ac:dyDescent="0.25">
      <c r="A41" s="61" t="s">
        <v>32</v>
      </c>
      <c r="B41" s="6">
        <v>543</v>
      </c>
      <c r="C41" s="5">
        <v>0.83256669733210664</v>
      </c>
      <c r="D41" s="5"/>
      <c r="E41" s="6">
        <v>540</v>
      </c>
      <c r="F41" s="5">
        <v>0.83057755902484032</v>
      </c>
      <c r="G41" s="5"/>
      <c r="H41" s="6">
        <v>3</v>
      </c>
      <c r="I41" s="5">
        <v>1.5</v>
      </c>
      <c r="J41" s="5"/>
      <c r="K41" s="3" t="s">
        <v>96</v>
      </c>
      <c r="L41" s="16" t="s">
        <v>96</v>
      </c>
      <c r="N41" s="100">
        <f t="shared" si="1"/>
        <v>0.8</v>
      </c>
      <c r="O41" s="100">
        <f t="shared" si="2"/>
        <v>0.8</v>
      </c>
      <c r="P41" s="100">
        <f t="shared" si="3"/>
        <v>1.5</v>
      </c>
      <c r="Q41" s="100" t="e">
        <f t="shared" si="4"/>
        <v>#VALUE!</v>
      </c>
      <c r="R41" s="37"/>
      <c r="S41" s="37"/>
      <c r="T41" s="37"/>
      <c r="U41" s="37"/>
    </row>
    <row r="42" spans="1:21" ht="14.1" customHeight="1" x14ac:dyDescent="0.25">
      <c r="A42" s="61" t="s">
        <v>33</v>
      </c>
      <c r="B42" s="6">
        <v>34491</v>
      </c>
      <c r="C42" s="5">
        <v>52.884084636614539</v>
      </c>
      <c r="D42" s="5"/>
      <c r="E42" s="6">
        <v>34358</v>
      </c>
      <c r="F42" s="5">
        <v>52.946266246250865</v>
      </c>
      <c r="G42" s="5"/>
      <c r="H42" s="6">
        <v>130</v>
      </c>
      <c r="I42" s="5">
        <v>65.010000000000005</v>
      </c>
      <c r="J42" s="5"/>
      <c r="K42" s="3">
        <v>3</v>
      </c>
      <c r="L42" s="16">
        <v>60</v>
      </c>
      <c r="N42" s="100">
        <f t="shared" si="1"/>
        <v>52.9</v>
      </c>
      <c r="O42" s="100">
        <f t="shared" si="2"/>
        <v>52.9</v>
      </c>
      <c r="P42" s="100">
        <f t="shared" si="3"/>
        <v>65</v>
      </c>
      <c r="Q42" s="100">
        <f t="shared" si="4"/>
        <v>60</v>
      </c>
      <c r="R42" s="37"/>
      <c r="S42" s="37"/>
      <c r="T42" s="37"/>
      <c r="U42" s="37"/>
    </row>
    <row r="43" spans="1:21" ht="14.1" customHeight="1" x14ac:dyDescent="0.25">
      <c r="A43" s="61" t="s">
        <v>34</v>
      </c>
      <c r="B43" s="6">
        <v>2949</v>
      </c>
      <c r="C43" s="5">
        <v>4.5216191352345909</v>
      </c>
      <c r="D43" s="5"/>
      <c r="E43" s="6">
        <v>2924</v>
      </c>
      <c r="F43" s="5">
        <v>4.4974236714604316</v>
      </c>
      <c r="G43" s="5"/>
      <c r="H43" s="6">
        <v>24</v>
      </c>
      <c r="I43" s="5">
        <v>12</v>
      </c>
      <c r="J43" s="5"/>
      <c r="K43" s="3">
        <v>1</v>
      </c>
      <c r="L43" s="16">
        <v>20</v>
      </c>
      <c r="N43" s="100">
        <f t="shared" si="1"/>
        <v>4.5</v>
      </c>
      <c r="O43" s="100">
        <f t="shared" si="2"/>
        <v>4.5</v>
      </c>
      <c r="P43" s="100">
        <f t="shared" si="3"/>
        <v>12</v>
      </c>
      <c r="Q43" s="100">
        <f t="shared" si="4"/>
        <v>20</v>
      </c>
      <c r="R43" s="37"/>
      <c r="S43" s="37"/>
      <c r="T43" s="37"/>
      <c r="U43" s="37"/>
    </row>
    <row r="44" spans="1:21" ht="14.1" customHeight="1" x14ac:dyDescent="0.25">
      <c r="A44" s="61" t="s">
        <v>67</v>
      </c>
      <c r="B44" s="6">
        <v>775</v>
      </c>
      <c r="C44" s="5">
        <v>1.1882858019012572</v>
      </c>
      <c r="D44" s="5"/>
      <c r="E44" s="6">
        <v>774</v>
      </c>
      <c r="F44" s="5">
        <v>1.1904945012689379</v>
      </c>
      <c r="G44" s="5"/>
      <c r="H44" s="6">
        <v>1</v>
      </c>
      <c r="I44" s="5">
        <v>0.5</v>
      </c>
      <c r="J44" s="5"/>
      <c r="K44" s="3" t="s">
        <v>96</v>
      </c>
      <c r="L44" s="16" t="s">
        <v>96</v>
      </c>
      <c r="N44" s="100">
        <f t="shared" si="1"/>
        <v>1.2</v>
      </c>
      <c r="O44" s="100">
        <f t="shared" si="2"/>
        <v>1.2</v>
      </c>
      <c r="P44" s="100">
        <f t="shared" si="3"/>
        <v>0.5</v>
      </c>
      <c r="Q44" s="100" t="e">
        <f t="shared" si="4"/>
        <v>#VALUE!</v>
      </c>
      <c r="R44" s="37"/>
      <c r="S44" s="37"/>
      <c r="T44" s="37"/>
      <c r="U44" s="37"/>
    </row>
    <row r="45" spans="1:21" ht="14.1" customHeight="1" x14ac:dyDescent="0.25">
      <c r="A45" s="61" t="s">
        <v>70</v>
      </c>
      <c r="B45" s="6">
        <v>8963</v>
      </c>
      <c r="C45" s="5">
        <v>13.742716957988346</v>
      </c>
      <c r="D45" s="5"/>
      <c r="E45" s="6">
        <v>8963</v>
      </c>
      <c r="F45" s="5">
        <v>13.786049373221566</v>
      </c>
      <c r="G45" s="5"/>
      <c r="H45" s="3" t="s">
        <v>96</v>
      </c>
      <c r="I45" s="3" t="s">
        <v>96</v>
      </c>
      <c r="J45" s="5"/>
      <c r="K45" s="3" t="s">
        <v>96</v>
      </c>
      <c r="L45" s="16" t="s">
        <v>96</v>
      </c>
      <c r="N45" s="100">
        <f t="shared" si="1"/>
        <v>13.7</v>
      </c>
      <c r="O45" s="100">
        <f t="shared" si="2"/>
        <v>13.8</v>
      </c>
      <c r="P45" s="100" t="e">
        <f t="shared" si="3"/>
        <v>#VALUE!</v>
      </c>
      <c r="Q45" s="100" t="e">
        <f t="shared" si="4"/>
        <v>#VALUE!</v>
      </c>
      <c r="R45" s="37"/>
      <c r="S45" s="37"/>
      <c r="T45" s="37"/>
      <c r="U45" s="37"/>
    </row>
    <row r="46" spans="1:21" ht="14.1" customHeight="1" x14ac:dyDescent="0.25">
      <c r="A46" s="61" t="s">
        <v>35</v>
      </c>
      <c r="B46" s="6">
        <v>979</v>
      </c>
      <c r="C46" s="5">
        <v>1.5010732904017172</v>
      </c>
      <c r="D46" s="5"/>
      <c r="E46" s="6">
        <v>979</v>
      </c>
      <c r="F46" s="5">
        <v>1.5058063523802199</v>
      </c>
      <c r="G46" s="5"/>
      <c r="H46" s="3" t="s">
        <v>96</v>
      </c>
      <c r="I46" s="3" t="s">
        <v>96</v>
      </c>
      <c r="J46" s="5"/>
      <c r="K46" s="3" t="s">
        <v>96</v>
      </c>
      <c r="L46" s="16" t="s">
        <v>96</v>
      </c>
      <c r="N46" s="100">
        <f t="shared" si="1"/>
        <v>1.5</v>
      </c>
      <c r="O46" s="100">
        <f t="shared" si="2"/>
        <v>1.5</v>
      </c>
      <c r="P46" s="100" t="e">
        <f t="shared" si="3"/>
        <v>#VALUE!</v>
      </c>
      <c r="Q46" s="100" t="e">
        <f t="shared" si="4"/>
        <v>#VALUE!</v>
      </c>
      <c r="R46" s="37"/>
      <c r="S46" s="37"/>
      <c r="T46" s="37"/>
      <c r="U46" s="37"/>
    </row>
    <row r="47" spans="1:21" ht="14.1" customHeight="1" x14ac:dyDescent="0.25">
      <c r="A47" s="61" t="s">
        <v>36</v>
      </c>
      <c r="B47" s="6">
        <v>4387</v>
      </c>
      <c r="C47" s="5">
        <v>6.7264642747623435</v>
      </c>
      <c r="D47" s="5"/>
      <c r="E47" s="6">
        <v>4378</v>
      </c>
      <c r="F47" s="5">
        <v>6.733830654464354</v>
      </c>
      <c r="G47" s="5"/>
      <c r="H47" s="6">
        <v>9</v>
      </c>
      <c r="I47" s="5">
        <v>4.5</v>
      </c>
      <c r="J47" s="5"/>
      <c r="K47" s="3" t="s">
        <v>96</v>
      </c>
      <c r="L47" s="16" t="s">
        <v>96</v>
      </c>
      <c r="N47" s="100">
        <f t="shared" si="1"/>
        <v>6.7</v>
      </c>
      <c r="O47" s="100">
        <f t="shared" si="2"/>
        <v>6.7</v>
      </c>
      <c r="P47" s="100">
        <f t="shared" si="3"/>
        <v>4.5</v>
      </c>
      <c r="Q47" s="100" t="e">
        <f t="shared" si="4"/>
        <v>#VALUE!</v>
      </c>
      <c r="R47" s="37"/>
      <c r="S47" s="37"/>
      <c r="T47" s="37"/>
      <c r="U47" s="37"/>
    </row>
    <row r="48" spans="1:21" ht="14.1" customHeight="1" x14ac:dyDescent="0.25">
      <c r="A48" s="61" t="s">
        <v>37</v>
      </c>
      <c r="B48" s="6">
        <v>7227</v>
      </c>
      <c r="C48" s="5">
        <v>11.080956761729531</v>
      </c>
      <c r="D48" s="5"/>
      <c r="E48" s="6">
        <v>7226</v>
      </c>
      <c r="F48" s="5">
        <v>11.114358225024993</v>
      </c>
      <c r="G48" s="5"/>
      <c r="H48" s="6">
        <v>1</v>
      </c>
      <c r="I48" s="5">
        <v>0.5</v>
      </c>
      <c r="J48" s="5"/>
      <c r="K48" s="3" t="s">
        <v>96</v>
      </c>
      <c r="L48" s="16" t="s">
        <v>96</v>
      </c>
      <c r="N48" s="100">
        <f t="shared" si="1"/>
        <v>11.1</v>
      </c>
      <c r="O48" s="100">
        <f t="shared" si="2"/>
        <v>11.1</v>
      </c>
      <c r="P48" s="100">
        <f t="shared" si="3"/>
        <v>0.5</v>
      </c>
      <c r="Q48" s="100" t="e">
        <f t="shared" si="4"/>
        <v>#VALUE!</v>
      </c>
      <c r="R48" s="37"/>
      <c r="S48" s="37"/>
      <c r="T48" s="37"/>
      <c r="U48" s="37"/>
    </row>
    <row r="49" spans="1:21" ht="14.1" customHeight="1" x14ac:dyDescent="0.25">
      <c r="A49" s="61"/>
      <c r="B49" s="6"/>
      <c r="C49" s="5"/>
      <c r="D49" s="5"/>
      <c r="E49" s="6"/>
      <c r="F49" s="5"/>
      <c r="G49" s="5"/>
      <c r="H49" s="6"/>
      <c r="I49" s="5"/>
      <c r="J49" s="5"/>
      <c r="K49" s="6"/>
      <c r="L49" s="5"/>
      <c r="N49" s="100">
        <f t="shared" si="1"/>
        <v>0</v>
      </c>
      <c r="O49" s="100">
        <f t="shared" si="2"/>
        <v>0</v>
      </c>
      <c r="P49" s="100">
        <f t="shared" si="3"/>
        <v>0</v>
      </c>
      <c r="Q49" s="100">
        <f t="shared" si="4"/>
        <v>0</v>
      </c>
      <c r="R49" s="37"/>
      <c r="S49" s="37"/>
      <c r="T49" s="37"/>
      <c r="U49" s="37"/>
    </row>
    <row r="50" spans="1:21" ht="14.1" customHeight="1" x14ac:dyDescent="0.25">
      <c r="A50" s="63" t="s">
        <v>49</v>
      </c>
      <c r="B50" s="9">
        <v>23642</v>
      </c>
      <c r="C50" s="15">
        <v>100</v>
      </c>
      <c r="D50" s="15"/>
      <c r="E50" s="9">
        <v>23521</v>
      </c>
      <c r="F50" s="15">
        <v>100</v>
      </c>
      <c r="G50" s="15"/>
      <c r="H50" s="9">
        <v>119</v>
      </c>
      <c r="I50" s="15">
        <v>100</v>
      </c>
      <c r="J50" s="15"/>
      <c r="K50" s="9">
        <v>2</v>
      </c>
      <c r="L50" s="15">
        <v>100</v>
      </c>
      <c r="N50" s="100">
        <f>SUM(N51:N62)</f>
        <v>100</v>
      </c>
      <c r="O50" s="100">
        <f t="shared" ref="O50:Q50" si="6">SUM(O51:O62)</f>
        <v>100.00000000000001</v>
      </c>
      <c r="P50" s="100" t="e">
        <f t="shared" si="6"/>
        <v>#VALUE!</v>
      </c>
      <c r="Q50" s="100" t="e">
        <f t="shared" si="6"/>
        <v>#VALUE!</v>
      </c>
      <c r="R50" s="37"/>
      <c r="S50" s="37"/>
      <c r="T50" s="37"/>
      <c r="U50" s="37"/>
    </row>
    <row r="51" spans="1:21" ht="14.1" customHeight="1" x14ac:dyDescent="0.25">
      <c r="A51" s="61" t="s">
        <v>57</v>
      </c>
      <c r="B51" s="6">
        <v>446</v>
      </c>
      <c r="C51" s="5">
        <v>1.8864732256154302</v>
      </c>
      <c r="D51" s="5"/>
      <c r="E51" s="6">
        <v>446</v>
      </c>
      <c r="F51" s="5">
        <v>1.8961778835933845</v>
      </c>
      <c r="G51" s="5"/>
      <c r="H51" s="3" t="s">
        <v>96</v>
      </c>
      <c r="I51" s="16" t="s">
        <v>96</v>
      </c>
      <c r="J51" s="5"/>
      <c r="K51" s="3" t="s">
        <v>96</v>
      </c>
      <c r="L51" s="16" t="s">
        <v>96</v>
      </c>
      <c r="N51" s="100">
        <f t="shared" si="1"/>
        <v>1.9</v>
      </c>
      <c r="O51" s="100">
        <f t="shared" si="2"/>
        <v>1.9</v>
      </c>
      <c r="P51" s="100" t="e">
        <f t="shared" si="3"/>
        <v>#VALUE!</v>
      </c>
      <c r="Q51" s="100" t="e">
        <f t="shared" si="4"/>
        <v>#VALUE!</v>
      </c>
      <c r="R51" s="37"/>
      <c r="S51" s="37"/>
      <c r="T51" s="37"/>
      <c r="U51" s="37"/>
    </row>
    <row r="52" spans="1:21" ht="14.1" customHeight="1" x14ac:dyDescent="0.25">
      <c r="A52" s="61" t="s">
        <v>29</v>
      </c>
      <c r="B52" s="6">
        <v>1365</v>
      </c>
      <c r="C52" s="5">
        <v>5.7736232129261484</v>
      </c>
      <c r="D52" s="5"/>
      <c r="E52" s="6">
        <v>1352</v>
      </c>
      <c r="F52" s="5">
        <v>5.7480549296373455</v>
      </c>
      <c r="G52" s="5"/>
      <c r="H52" s="3">
        <v>13</v>
      </c>
      <c r="I52" s="16">
        <v>10.92436974789916</v>
      </c>
      <c r="J52" s="5"/>
      <c r="K52" s="3" t="s">
        <v>96</v>
      </c>
      <c r="L52" s="16" t="s">
        <v>96</v>
      </c>
      <c r="N52" s="100">
        <f t="shared" si="1"/>
        <v>5.8</v>
      </c>
      <c r="O52" s="100">
        <f t="shared" si="2"/>
        <v>5.7</v>
      </c>
      <c r="P52" s="100">
        <f t="shared" si="3"/>
        <v>10.9</v>
      </c>
      <c r="Q52" s="100" t="e">
        <f t="shared" si="4"/>
        <v>#VALUE!</v>
      </c>
      <c r="R52" s="37"/>
      <c r="S52" s="37"/>
      <c r="T52" s="37"/>
      <c r="U52" s="37"/>
    </row>
    <row r="53" spans="1:21" ht="14.1" customHeight="1" x14ac:dyDescent="0.25">
      <c r="A53" s="61" t="s">
        <v>30</v>
      </c>
      <c r="B53" s="6">
        <v>1623</v>
      </c>
      <c r="C53" s="5">
        <v>6.8649014465781244</v>
      </c>
      <c r="D53" s="5"/>
      <c r="E53" s="6">
        <v>1621</v>
      </c>
      <c r="F53" s="5">
        <v>6.8917137876790946</v>
      </c>
      <c r="G53" s="5"/>
      <c r="H53" s="3">
        <v>2</v>
      </c>
      <c r="I53" s="16">
        <v>1.680672268907563</v>
      </c>
      <c r="J53" s="5"/>
      <c r="K53" s="3" t="s">
        <v>96</v>
      </c>
      <c r="L53" s="16" t="s">
        <v>96</v>
      </c>
      <c r="N53" s="100">
        <f t="shared" si="1"/>
        <v>6.9</v>
      </c>
      <c r="O53" s="100">
        <f t="shared" si="2"/>
        <v>6.9</v>
      </c>
      <c r="P53" s="100">
        <f t="shared" si="3"/>
        <v>1.7</v>
      </c>
      <c r="Q53" s="100" t="e">
        <f t="shared" si="4"/>
        <v>#VALUE!</v>
      </c>
      <c r="R53" s="37"/>
      <c r="S53" s="37"/>
      <c r="T53" s="37"/>
      <c r="U53" s="37"/>
    </row>
    <row r="54" spans="1:21" ht="14.1" customHeight="1" x14ac:dyDescent="0.25">
      <c r="A54" s="61" t="s">
        <v>31</v>
      </c>
      <c r="B54" s="6">
        <v>14</v>
      </c>
      <c r="C54" s="5">
        <v>5.9216648337704084E-2</v>
      </c>
      <c r="D54" s="5"/>
      <c r="E54" s="6">
        <v>14</v>
      </c>
      <c r="F54" s="5">
        <v>5.9521278857191447E-2</v>
      </c>
      <c r="G54" s="5"/>
      <c r="H54" s="3" t="s">
        <v>96</v>
      </c>
      <c r="I54" s="16" t="s">
        <v>96</v>
      </c>
      <c r="J54" s="5"/>
      <c r="K54" s="3" t="s">
        <v>96</v>
      </c>
      <c r="L54" s="16" t="s">
        <v>96</v>
      </c>
      <c r="N54" s="100">
        <f t="shared" si="1"/>
        <v>0.1</v>
      </c>
      <c r="O54" s="100">
        <f t="shared" si="2"/>
        <v>0.1</v>
      </c>
      <c r="P54" s="100" t="e">
        <f t="shared" si="3"/>
        <v>#VALUE!</v>
      </c>
      <c r="Q54" s="100" t="e">
        <f t="shared" si="4"/>
        <v>#VALUE!</v>
      </c>
      <c r="R54" s="37"/>
      <c r="S54" s="37"/>
      <c r="T54" s="37"/>
      <c r="U54" s="37"/>
    </row>
    <row r="55" spans="1:21" ht="14.1" customHeight="1" x14ac:dyDescent="0.25">
      <c r="A55" s="61" t="s">
        <v>32</v>
      </c>
      <c r="B55" s="6">
        <v>309</v>
      </c>
      <c r="C55" s="5">
        <v>1.3069960240250402</v>
      </c>
      <c r="D55" s="5"/>
      <c r="E55" s="6">
        <v>302</v>
      </c>
      <c r="F55" s="5">
        <v>1.283959015347987</v>
      </c>
      <c r="G55" s="5"/>
      <c r="H55" s="3">
        <v>7</v>
      </c>
      <c r="I55" s="16">
        <v>5.8823529411764701</v>
      </c>
      <c r="J55" s="5"/>
      <c r="K55" s="3" t="s">
        <v>96</v>
      </c>
      <c r="L55" s="16" t="s">
        <v>96</v>
      </c>
      <c r="N55" s="100">
        <f t="shared" si="1"/>
        <v>1.3</v>
      </c>
      <c r="O55" s="100">
        <f t="shared" si="2"/>
        <v>1.3</v>
      </c>
      <c r="P55" s="100">
        <f t="shared" si="3"/>
        <v>5.9</v>
      </c>
      <c r="Q55" s="100" t="e">
        <f t="shared" si="4"/>
        <v>#VALUE!</v>
      </c>
      <c r="R55" s="37"/>
      <c r="S55" s="37"/>
      <c r="T55" s="37"/>
      <c r="U55" s="37"/>
    </row>
    <row r="56" spans="1:21" ht="14.1" customHeight="1" x14ac:dyDescent="0.25">
      <c r="A56" s="61" t="s">
        <v>33</v>
      </c>
      <c r="B56" s="6">
        <v>9976</v>
      </c>
      <c r="C56" s="5">
        <v>42.096091701209708</v>
      </c>
      <c r="D56" s="5"/>
      <c r="E56" s="6">
        <v>9897</v>
      </c>
      <c r="F56" s="5">
        <v>41.977292632115983</v>
      </c>
      <c r="G56" s="5"/>
      <c r="H56" s="3">
        <v>77</v>
      </c>
      <c r="I56" s="16">
        <v>64.805882352941168</v>
      </c>
      <c r="J56" s="5"/>
      <c r="K56" s="3">
        <v>2</v>
      </c>
      <c r="L56" s="16">
        <v>100</v>
      </c>
      <c r="N56" s="100">
        <f t="shared" si="1"/>
        <v>42.1</v>
      </c>
      <c r="O56" s="100">
        <f t="shared" si="2"/>
        <v>42</v>
      </c>
      <c r="P56" s="100">
        <f t="shared" si="3"/>
        <v>64.8</v>
      </c>
      <c r="Q56" s="100">
        <f t="shared" si="4"/>
        <v>100</v>
      </c>
      <c r="R56" s="37"/>
      <c r="S56" s="37"/>
      <c r="T56" s="37"/>
      <c r="U56" s="37"/>
    </row>
    <row r="57" spans="1:21" ht="14.1" customHeight="1" x14ac:dyDescent="0.25">
      <c r="A57" s="61" t="s">
        <v>34</v>
      </c>
      <c r="B57" s="6">
        <v>1742</v>
      </c>
      <c r="C57" s="5">
        <v>7.3682429574486079</v>
      </c>
      <c r="D57" s="5"/>
      <c r="E57" s="6">
        <v>1729</v>
      </c>
      <c r="F57" s="5">
        <v>7.3508779388631424</v>
      </c>
      <c r="G57" s="5"/>
      <c r="H57" s="3">
        <v>13</v>
      </c>
      <c r="I57" s="16">
        <v>10.92436974789916</v>
      </c>
      <c r="J57" s="5"/>
      <c r="K57" s="3" t="s">
        <v>96</v>
      </c>
      <c r="L57" s="16" t="s">
        <v>96</v>
      </c>
      <c r="N57" s="100">
        <f t="shared" si="1"/>
        <v>7.4</v>
      </c>
      <c r="O57" s="100">
        <f t="shared" si="2"/>
        <v>7.4</v>
      </c>
      <c r="P57" s="100">
        <f t="shared" si="3"/>
        <v>10.9</v>
      </c>
      <c r="Q57" s="100" t="e">
        <f t="shared" si="4"/>
        <v>#VALUE!</v>
      </c>
      <c r="R57" s="37"/>
      <c r="S57" s="37"/>
      <c r="T57" s="37"/>
      <c r="U57" s="37"/>
    </row>
    <row r="58" spans="1:21" ht="14.1" customHeight="1" x14ac:dyDescent="0.25">
      <c r="A58" s="61" t="s">
        <v>67</v>
      </c>
      <c r="B58" s="6">
        <v>711</v>
      </c>
      <c r="C58" s="5">
        <v>3.0073597834362578</v>
      </c>
      <c r="D58" s="5"/>
      <c r="E58" s="6">
        <v>710</v>
      </c>
      <c r="F58" s="5">
        <v>3.0185791420432802</v>
      </c>
      <c r="G58" s="5"/>
      <c r="H58" s="3">
        <v>1</v>
      </c>
      <c r="I58" s="16">
        <v>0.84033613445378152</v>
      </c>
      <c r="J58" s="5"/>
      <c r="K58" s="3" t="s">
        <v>96</v>
      </c>
      <c r="L58" s="16" t="s">
        <v>96</v>
      </c>
      <c r="N58" s="100">
        <f t="shared" si="1"/>
        <v>3</v>
      </c>
      <c r="O58" s="100">
        <f t="shared" si="2"/>
        <v>3</v>
      </c>
      <c r="P58" s="100">
        <f t="shared" si="3"/>
        <v>0.8</v>
      </c>
      <c r="Q58" s="100" t="e">
        <f t="shared" si="4"/>
        <v>#VALUE!</v>
      </c>
      <c r="R58" s="37"/>
      <c r="S58" s="37"/>
      <c r="T58" s="37"/>
      <c r="U58" s="37"/>
    </row>
    <row r="59" spans="1:21" ht="14.1" customHeight="1" x14ac:dyDescent="0.25">
      <c r="A59" s="61" t="s">
        <v>70</v>
      </c>
      <c r="B59" s="6">
        <v>2712</v>
      </c>
      <c r="C59" s="5">
        <v>11.471110735132392</v>
      </c>
      <c r="D59" s="5"/>
      <c r="E59" s="6">
        <v>2712</v>
      </c>
      <c r="F59" s="5">
        <v>11.530122018621656</v>
      </c>
      <c r="G59" s="5"/>
      <c r="H59" s="3" t="s">
        <v>96</v>
      </c>
      <c r="I59" s="16" t="s">
        <v>96</v>
      </c>
      <c r="J59" s="5"/>
      <c r="K59" s="3" t="s">
        <v>96</v>
      </c>
      <c r="L59" s="16" t="s">
        <v>96</v>
      </c>
      <c r="N59" s="100">
        <f t="shared" si="1"/>
        <v>11.5</v>
      </c>
      <c r="O59" s="100">
        <f t="shared" si="2"/>
        <v>11.5</v>
      </c>
      <c r="P59" s="100" t="e">
        <f t="shared" si="3"/>
        <v>#VALUE!</v>
      </c>
      <c r="Q59" s="100" t="e">
        <f t="shared" si="4"/>
        <v>#VALUE!</v>
      </c>
      <c r="R59" s="37"/>
      <c r="S59" s="37"/>
      <c r="T59" s="37"/>
      <c r="U59" s="37"/>
    </row>
    <row r="60" spans="1:21" ht="14.1" customHeight="1" x14ac:dyDescent="0.25">
      <c r="A60" s="61" t="s">
        <v>35</v>
      </c>
      <c r="B60" s="6">
        <v>337</v>
      </c>
      <c r="C60" s="5">
        <v>1.4254293207004485</v>
      </c>
      <c r="D60" s="5"/>
      <c r="E60" s="6">
        <v>337</v>
      </c>
      <c r="F60" s="5">
        <v>1.4327622124909656</v>
      </c>
      <c r="G60" s="5"/>
      <c r="H60" s="3" t="s">
        <v>96</v>
      </c>
      <c r="I60" s="16" t="s">
        <v>96</v>
      </c>
      <c r="J60" s="5"/>
      <c r="K60" s="3" t="s">
        <v>96</v>
      </c>
      <c r="L60" s="16" t="s">
        <v>96</v>
      </c>
      <c r="N60" s="100">
        <f t="shared" si="1"/>
        <v>1.4</v>
      </c>
      <c r="O60" s="100">
        <f t="shared" si="2"/>
        <v>1.4</v>
      </c>
      <c r="P60" s="100" t="e">
        <f t="shared" si="3"/>
        <v>#VALUE!</v>
      </c>
      <c r="Q60" s="100" t="e">
        <f t="shared" si="4"/>
        <v>#VALUE!</v>
      </c>
      <c r="R60" s="37"/>
      <c r="S60" s="37"/>
      <c r="T60" s="37"/>
      <c r="U60" s="37"/>
    </row>
    <row r="61" spans="1:21" ht="14.1" customHeight="1" x14ac:dyDescent="0.25">
      <c r="A61" s="61" t="s">
        <v>36</v>
      </c>
      <c r="B61" s="6">
        <v>1736</v>
      </c>
      <c r="C61" s="5">
        <v>7.3428643938753062</v>
      </c>
      <c r="D61" s="5"/>
      <c r="E61" s="6">
        <v>1730</v>
      </c>
      <c r="F61" s="5">
        <v>7.3551294587815148</v>
      </c>
      <c r="G61" s="5"/>
      <c r="H61" s="3">
        <v>6</v>
      </c>
      <c r="I61" s="16">
        <v>5.0420168067226889</v>
      </c>
      <c r="J61" s="5"/>
      <c r="K61" s="3" t="s">
        <v>96</v>
      </c>
      <c r="L61" s="16" t="s">
        <v>96</v>
      </c>
      <c r="N61" s="100">
        <f t="shared" si="1"/>
        <v>7.3</v>
      </c>
      <c r="O61" s="100">
        <f t="shared" si="2"/>
        <v>7.4</v>
      </c>
      <c r="P61" s="100">
        <f t="shared" si="3"/>
        <v>5</v>
      </c>
      <c r="Q61" s="100" t="e">
        <f t="shared" si="4"/>
        <v>#VALUE!</v>
      </c>
      <c r="R61" s="37"/>
      <c r="S61" s="37"/>
      <c r="T61" s="37"/>
      <c r="U61" s="37"/>
    </row>
    <row r="62" spans="1:21" ht="14.1" customHeight="1" x14ac:dyDescent="0.25">
      <c r="A62" s="61" t="s">
        <v>37</v>
      </c>
      <c r="B62" s="6">
        <v>2671</v>
      </c>
      <c r="C62" s="5">
        <v>11.29769055071483</v>
      </c>
      <c r="D62" s="5"/>
      <c r="E62" s="6">
        <v>2671</v>
      </c>
      <c r="F62" s="5">
        <v>11.355809701968454</v>
      </c>
      <c r="G62" s="5"/>
      <c r="H62" s="3" t="s">
        <v>96</v>
      </c>
      <c r="I62" s="16" t="s">
        <v>96</v>
      </c>
      <c r="J62" s="5"/>
      <c r="K62" s="3" t="s">
        <v>96</v>
      </c>
      <c r="L62" s="16" t="s">
        <v>96</v>
      </c>
      <c r="N62" s="100">
        <f t="shared" si="1"/>
        <v>11.3</v>
      </c>
      <c r="O62" s="100">
        <f t="shared" si="2"/>
        <v>11.4</v>
      </c>
      <c r="P62" s="100" t="e">
        <f t="shared" si="3"/>
        <v>#VALUE!</v>
      </c>
      <c r="Q62" s="100" t="e">
        <f t="shared" si="4"/>
        <v>#VALUE!</v>
      </c>
      <c r="R62" s="37"/>
      <c r="S62" s="37"/>
      <c r="T62" s="37"/>
      <c r="U62" s="37"/>
    </row>
    <row r="63" spans="1:21" ht="14.1" customHeight="1" x14ac:dyDescent="0.25">
      <c r="A63" s="61"/>
      <c r="B63" s="6"/>
      <c r="C63" s="5"/>
      <c r="D63" s="5"/>
      <c r="E63" s="6"/>
      <c r="F63" s="5"/>
      <c r="G63" s="5"/>
      <c r="H63" s="6"/>
      <c r="I63" s="5"/>
      <c r="J63" s="5"/>
      <c r="K63" s="6"/>
      <c r="L63" s="5"/>
      <c r="N63" s="100">
        <f t="shared" si="1"/>
        <v>0</v>
      </c>
      <c r="O63" s="100">
        <f t="shared" si="2"/>
        <v>0</v>
      </c>
      <c r="P63" s="100">
        <f t="shared" si="3"/>
        <v>0</v>
      </c>
      <c r="Q63" s="100">
        <f t="shared" si="4"/>
        <v>0</v>
      </c>
      <c r="R63" s="37"/>
      <c r="S63" s="37"/>
      <c r="T63" s="37"/>
      <c r="U63" s="37"/>
    </row>
    <row r="64" spans="1:21" ht="14.1" customHeight="1" x14ac:dyDescent="0.25">
      <c r="A64" s="63" t="s">
        <v>20</v>
      </c>
      <c r="B64" s="9">
        <v>121771</v>
      </c>
      <c r="C64" s="15">
        <v>100</v>
      </c>
      <c r="D64" s="15"/>
      <c r="E64" s="9">
        <v>121369</v>
      </c>
      <c r="F64" s="15">
        <v>100</v>
      </c>
      <c r="G64" s="15"/>
      <c r="H64" s="9">
        <v>380</v>
      </c>
      <c r="I64" s="15">
        <v>100</v>
      </c>
      <c r="J64" s="15"/>
      <c r="K64" s="9">
        <v>22</v>
      </c>
      <c r="L64" s="15">
        <v>100</v>
      </c>
      <c r="N64" s="100">
        <f>SUM(N65:N76)</f>
        <v>99.999999999999986</v>
      </c>
      <c r="O64" s="100">
        <f t="shared" ref="O64:Q64" si="7">SUM(O65:O76)</f>
        <v>99.999999999999986</v>
      </c>
      <c r="P64" s="100" t="e">
        <f t="shared" si="7"/>
        <v>#VALUE!</v>
      </c>
      <c r="Q64" s="100" t="e">
        <f t="shared" si="7"/>
        <v>#VALUE!</v>
      </c>
      <c r="R64" s="37"/>
      <c r="S64" s="37"/>
      <c r="T64" s="37"/>
      <c r="U64" s="37"/>
    </row>
    <row r="65" spans="1:21" ht="14.1" customHeight="1" x14ac:dyDescent="0.25">
      <c r="A65" s="61" t="s">
        <v>57</v>
      </c>
      <c r="B65" s="6">
        <v>1423</v>
      </c>
      <c r="C65" s="5">
        <v>1.1685869377766465</v>
      </c>
      <c r="D65" s="5"/>
      <c r="E65" s="6">
        <v>1400</v>
      </c>
      <c r="F65" s="5">
        <v>1.1535070734701611</v>
      </c>
      <c r="G65" s="5"/>
      <c r="H65" s="6">
        <v>23</v>
      </c>
      <c r="I65" s="5">
        <v>6.0526315789473681</v>
      </c>
      <c r="J65" s="5"/>
      <c r="K65" s="3" t="s">
        <v>96</v>
      </c>
      <c r="L65" s="16" t="s">
        <v>96</v>
      </c>
      <c r="N65" s="100">
        <f t="shared" si="1"/>
        <v>1.2</v>
      </c>
      <c r="O65" s="100">
        <f t="shared" si="2"/>
        <v>1.2</v>
      </c>
      <c r="P65" s="100">
        <f t="shared" si="3"/>
        <v>6.1</v>
      </c>
      <c r="Q65" s="100" t="e">
        <f t="shared" si="4"/>
        <v>#VALUE!</v>
      </c>
      <c r="R65" s="37"/>
      <c r="S65" s="37"/>
      <c r="T65" s="37"/>
      <c r="U65" s="37"/>
    </row>
    <row r="66" spans="1:21" ht="14.1" customHeight="1" x14ac:dyDescent="0.25">
      <c r="A66" s="61" t="s">
        <v>29</v>
      </c>
      <c r="B66" s="6">
        <v>3266</v>
      </c>
      <c r="C66" s="5">
        <v>2.6820835831191334</v>
      </c>
      <c r="D66" s="5"/>
      <c r="E66" s="6">
        <v>3219</v>
      </c>
      <c r="F66" s="5">
        <v>2.6522423353574633</v>
      </c>
      <c r="G66" s="5"/>
      <c r="H66" s="6">
        <v>40</v>
      </c>
      <c r="I66" s="5">
        <v>10.526315789473683</v>
      </c>
      <c r="J66" s="5"/>
      <c r="K66" s="3">
        <v>7</v>
      </c>
      <c r="L66" s="16">
        <v>31.818181818181817</v>
      </c>
      <c r="N66" s="100">
        <f t="shared" si="1"/>
        <v>2.7</v>
      </c>
      <c r="O66" s="100">
        <f t="shared" si="2"/>
        <v>2.7</v>
      </c>
      <c r="P66" s="100">
        <f t="shared" si="3"/>
        <v>10.5</v>
      </c>
      <c r="Q66" s="100">
        <f t="shared" si="4"/>
        <v>31.8</v>
      </c>
      <c r="R66" s="37"/>
      <c r="S66" s="37"/>
      <c r="T66" s="37"/>
      <c r="U66" s="37"/>
    </row>
    <row r="67" spans="1:21" ht="14.1" customHeight="1" x14ac:dyDescent="0.25">
      <c r="A67" s="61" t="s">
        <v>30</v>
      </c>
      <c r="B67" s="6">
        <v>8754</v>
      </c>
      <c r="C67" s="5">
        <v>7.1889037619794536</v>
      </c>
      <c r="D67" s="5"/>
      <c r="E67" s="6">
        <v>8740</v>
      </c>
      <c r="F67" s="5">
        <v>7.2011798729494352</v>
      </c>
      <c r="G67" s="5"/>
      <c r="H67" s="6">
        <v>13</v>
      </c>
      <c r="I67" s="5">
        <v>3.4210526315789478</v>
      </c>
      <c r="J67" s="5"/>
      <c r="K67" s="3">
        <v>1</v>
      </c>
      <c r="L67" s="16">
        <v>4.5454545454545459</v>
      </c>
      <c r="N67" s="100">
        <f t="shared" si="1"/>
        <v>7.2</v>
      </c>
      <c r="O67" s="100">
        <f t="shared" si="2"/>
        <v>7.2</v>
      </c>
      <c r="P67" s="100">
        <f t="shared" si="3"/>
        <v>3.4</v>
      </c>
      <c r="Q67" s="100">
        <f t="shared" si="4"/>
        <v>4.5</v>
      </c>
      <c r="R67" s="37"/>
      <c r="S67" s="37"/>
      <c r="T67" s="37"/>
      <c r="U67" s="37"/>
    </row>
    <row r="68" spans="1:21" ht="14.1" customHeight="1" x14ac:dyDescent="0.25">
      <c r="A68" s="61" t="s">
        <v>31</v>
      </c>
      <c r="B68" s="6">
        <v>112</v>
      </c>
      <c r="C68" s="5">
        <v>9.1975922017557554E-2</v>
      </c>
      <c r="D68" s="5"/>
      <c r="E68" s="6">
        <v>112</v>
      </c>
      <c r="F68" s="5">
        <v>9.2280565877612894E-2</v>
      </c>
      <c r="G68" s="5"/>
      <c r="H68" s="3" t="s">
        <v>96</v>
      </c>
      <c r="I68" s="16" t="s">
        <v>96</v>
      </c>
      <c r="J68" s="3"/>
      <c r="K68" s="3" t="s">
        <v>96</v>
      </c>
      <c r="L68" s="16" t="s">
        <v>96</v>
      </c>
      <c r="N68" s="100">
        <f t="shared" si="1"/>
        <v>0.1</v>
      </c>
      <c r="O68" s="100">
        <f t="shared" si="2"/>
        <v>0.1</v>
      </c>
      <c r="P68" s="100" t="e">
        <f t="shared" si="3"/>
        <v>#VALUE!</v>
      </c>
      <c r="Q68" s="100" t="e">
        <f t="shared" si="4"/>
        <v>#VALUE!</v>
      </c>
      <c r="R68" s="37"/>
      <c r="S68" s="37"/>
      <c r="T68" s="37"/>
      <c r="U68" s="37"/>
    </row>
    <row r="69" spans="1:21" ht="14.1" customHeight="1" x14ac:dyDescent="0.25">
      <c r="A69" s="61" t="s">
        <v>32</v>
      </c>
      <c r="B69" s="6">
        <v>674</v>
      </c>
      <c r="C69" s="5">
        <v>0.55349795928423018</v>
      </c>
      <c r="D69" s="5"/>
      <c r="E69" s="6">
        <v>665</v>
      </c>
      <c r="F69" s="5">
        <v>0.54791585989832658</v>
      </c>
      <c r="G69" s="5"/>
      <c r="H69" s="3">
        <v>9</v>
      </c>
      <c r="I69" s="16">
        <v>2.3684210526315792</v>
      </c>
      <c r="J69" s="3"/>
      <c r="K69" s="3" t="s">
        <v>96</v>
      </c>
      <c r="L69" s="16" t="s">
        <v>96</v>
      </c>
      <c r="N69" s="100">
        <f t="shared" si="1"/>
        <v>0.6</v>
      </c>
      <c r="O69" s="100">
        <f t="shared" si="2"/>
        <v>0.5</v>
      </c>
      <c r="P69" s="100">
        <f t="shared" si="3"/>
        <v>2.4</v>
      </c>
      <c r="Q69" s="100" t="e">
        <f t="shared" si="4"/>
        <v>#VALUE!</v>
      </c>
      <c r="R69" s="37"/>
      <c r="S69" s="37"/>
      <c r="T69" s="37"/>
      <c r="U69" s="37"/>
    </row>
    <row r="70" spans="1:21" ht="14.1" customHeight="1" x14ac:dyDescent="0.25">
      <c r="A70" s="61" t="s">
        <v>33</v>
      </c>
      <c r="B70" s="6">
        <v>61016</v>
      </c>
      <c r="C70" s="5">
        <v>50.007168373422239</v>
      </c>
      <c r="D70" s="5"/>
      <c r="E70" s="6">
        <v>60805</v>
      </c>
      <c r="F70" s="5">
        <v>49.99928400168082</v>
      </c>
      <c r="G70" s="5"/>
      <c r="H70" s="3">
        <v>199</v>
      </c>
      <c r="I70" s="16">
        <v>52.268421052631574</v>
      </c>
      <c r="J70" s="3"/>
      <c r="K70" s="3">
        <v>12</v>
      </c>
      <c r="L70" s="16">
        <v>54.645454545454541</v>
      </c>
      <c r="N70" s="100">
        <f t="shared" si="1"/>
        <v>50</v>
      </c>
      <c r="O70" s="100">
        <f t="shared" si="2"/>
        <v>50</v>
      </c>
      <c r="P70" s="100">
        <f t="shared" si="3"/>
        <v>52.3</v>
      </c>
      <c r="Q70" s="100">
        <f t="shared" si="4"/>
        <v>54.6</v>
      </c>
      <c r="R70" s="37"/>
      <c r="S70" s="37"/>
      <c r="T70" s="37"/>
      <c r="U70" s="37"/>
    </row>
    <row r="71" spans="1:21" ht="14.1" customHeight="1" x14ac:dyDescent="0.25">
      <c r="A71" s="61" t="s">
        <v>34</v>
      </c>
      <c r="B71" s="6">
        <v>5768</v>
      </c>
      <c r="C71" s="5">
        <v>4.7367599839042134</v>
      </c>
      <c r="D71" s="5"/>
      <c r="E71" s="6">
        <v>5697</v>
      </c>
      <c r="F71" s="5">
        <v>4.6939498553996488</v>
      </c>
      <c r="G71" s="5"/>
      <c r="H71" s="3">
        <v>69</v>
      </c>
      <c r="I71" s="16">
        <v>18.157894736842106</v>
      </c>
      <c r="J71" s="3"/>
      <c r="K71" s="3">
        <v>2</v>
      </c>
      <c r="L71" s="16">
        <v>9.0909090909090917</v>
      </c>
      <c r="N71" s="100">
        <f t="shared" si="1"/>
        <v>4.7</v>
      </c>
      <c r="O71" s="100">
        <f t="shared" si="2"/>
        <v>4.7</v>
      </c>
      <c r="P71" s="100">
        <f t="shared" si="3"/>
        <v>18.2</v>
      </c>
      <c r="Q71" s="100">
        <f t="shared" si="4"/>
        <v>9.1</v>
      </c>
      <c r="R71" s="37"/>
      <c r="S71" s="37"/>
      <c r="T71" s="37"/>
      <c r="U71" s="37"/>
    </row>
    <row r="72" spans="1:21" ht="14.1" customHeight="1" x14ac:dyDescent="0.25">
      <c r="A72" s="61" t="s">
        <v>67</v>
      </c>
      <c r="B72" s="6">
        <v>1486</v>
      </c>
      <c r="C72" s="5">
        <v>1.2203233939115223</v>
      </c>
      <c r="D72" s="5"/>
      <c r="E72" s="6">
        <v>1486</v>
      </c>
      <c r="F72" s="5">
        <v>1.2243653651261854</v>
      </c>
      <c r="G72" s="5"/>
      <c r="H72" s="3" t="s">
        <v>96</v>
      </c>
      <c r="I72" s="16" t="s">
        <v>96</v>
      </c>
      <c r="J72" s="3"/>
      <c r="K72" s="3" t="s">
        <v>96</v>
      </c>
      <c r="L72" s="16" t="s">
        <v>96</v>
      </c>
      <c r="N72" s="100">
        <f t="shared" si="1"/>
        <v>1.2</v>
      </c>
      <c r="O72" s="100">
        <f t="shared" si="2"/>
        <v>1.2</v>
      </c>
      <c r="P72" s="100" t="e">
        <f t="shared" si="3"/>
        <v>#VALUE!</v>
      </c>
      <c r="Q72" s="100" t="e">
        <f t="shared" si="4"/>
        <v>#VALUE!</v>
      </c>
      <c r="R72" s="37"/>
      <c r="S72" s="37"/>
      <c r="T72" s="37"/>
      <c r="U72" s="37"/>
    </row>
    <row r="73" spans="1:21" ht="14.1" customHeight="1" x14ac:dyDescent="0.25">
      <c r="A73" s="61" t="s">
        <v>70</v>
      </c>
      <c r="B73" s="6">
        <v>12222</v>
      </c>
      <c r="C73" s="5">
        <v>10.036872490165967</v>
      </c>
      <c r="D73" s="5"/>
      <c r="E73" s="6">
        <v>12217</v>
      </c>
      <c r="F73" s="5">
        <v>10.065997083274972</v>
      </c>
      <c r="G73" s="5"/>
      <c r="H73" s="3">
        <v>5</v>
      </c>
      <c r="I73" s="16">
        <v>1.3157894736842104</v>
      </c>
      <c r="J73" s="3"/>
      <c r="K73" s="3" t="s">
        <v>96</v>
      </c>
      <c r="L73" s="16" t="s">
        <v>96</v>
      </c>
      <c r="N73" s="100">
        <f t="shared" si="1"/>
        <v>10</v>
      </c>
      <c r="O73" s="100">
        <f t="shared" si="2"/>
        <v>10.1</v>
      </c>
      <c r="P73" s="100">
        <f t="shared" si="3"/>
        <v>1.3</v>
      </c>
      <c r="Q73" s="100" t="e">
        <f t="shared" si="4"/>
        <v>#VALUE!</v>
      </c>
      <c r="R73" s="37"/>
      <c r="S73" s="37"/>
      <c r="T73" s="37"/>
      <c r="U73" s="37"/>
    </row>
    <row r="74" spans="1:21" ht="14.1" customHeight="1" x14ac:dyDescent="0.25">
      <c r="A74" s="61" t="s">
        <v>35</v>
      </c>
      <c r="B74" s="6">
        <v>1896</v>
      </c>
      <c r="C74" s="5">
        <v>1.5570209655829386</v>
      </c>
      <c r="D74" s="5"/>
      <c r="E74" s="6">
        <v>1895</v>
      </c>
      <c r="F74" s="5">
        <v>1.5613542173042541</v>
      </c>
      <c r="G74" s="5"/>
      <c r="H74" s="3">
        <v>1</v>
      </c>
      <c r="I74" s="16">
        <v>0.26315789473684209</v>
      </c>
      <c r="J74" s="3"/>
      <c r="K74" s="3" t="s">
        <v>96</v>
      </c>
      <c r="L74" s="16" t="s">
        <v>96</v>
      </c>
      <c r="N74" s="100">
        <f t="shared" si="1"/>
        <v>1.6</v>
      </c>
      <c r="O74" s="100">
        <f t="shared" si="2"/>
        <v>1.6</v>
      </c>
      <c r="P74" s="100">
        <f t="shared" si="3"/>
        <v>0.3</v>
      </c>
      <c r="Q74" s="100" t="e">
        <f t="shared" si="4"/>
        <v>#VALUE!</v>
      </c>
      <c r="R74" s="37"/>
      <c r="S74" s="37"/>
      <c r="T74" s="37"/>
      <c r="U74" s="37"/>
    </row>
    <row r="75" spans="1:21" ht="14.1" customHeight="1" x14ac:dyDescent="0.25">
      <c r="A75" s="61" t="s">
        <v>36</v>
      </c>
      <c r="B75" s="6">
        <v>6205</v>
      </c>
      <c r="C75" s="5">
        <v>5.0956303224905772</v>
      </c>
      <c r="D75" s="5"/>
      <c r="E75" s="6">
        <v>6190</v>
      </c>
      <c r="F75" s="5">
        <v>5.1001491319859271</v>
      </c>
      <c r="G75" s="5"/>
      <c r="H75" s="3">
        <v>15</v>
      </c>
      <c r="I75" s="16">
        <v>3.9473684210526314</v>
      </c>
      <c r="J75" s="3"/>
      <c r="K75" s="3" t="s">
        <v>96</v>
      </c>
      <c r="L75" s="16" t="s">
        <v>96</v>
      </c>
      <c r="N75" s="100">
        <f t="shared" si="1"/>
        <v>5.0999999999999996</v>
      </c>
      <c r="O75" s="100">
        <f t="shared" si="2"/>
        <v>5.0999999999999996</v>
      </c>
      <c r="P75" s="100">
        <f t="shared" si="3"/>
        <v>3.9</v>
      </c>
      <c r="Q75" s="100" t="e">
        <f t="shared" si="4"/>
        <v>#VALUE!</v>
      </c>
      <c r="R75" s="37"/>
      <c r="S75" s="37"/>
      <c r="T75" s="37"/>
      <c r="U75" s="37"/>
    </row>
    <row r="76" spans="1:21" ht="14.1" customHeight="1" x14ac:dyDescent="0.25">
      <c r="A76" s="61" t="s">
        <v>37</v>
      </c>
      <c r="B76" s="6">
        <v>18949</v>
      </c>
      <c r="C76" s="5">
        <v>15.561176306345518</v>
      </c>
      <c r="D76" s="5"/>
      <c r="E76" s="6">
        <v>18943</v>
      </c>
      <c r="F76" s="5">
        <v>15.60777463767519</v>
      </c>
      <c r="G76" s="5"/>
      <c r="H76" s="3">
        <v>6</v>
      </c>
      <c r="I76" s="16">
        <v>1.5789473684210527</v>
      </c>
      <c r="J76" s="3"/>
      <c r="K76" s="3" t="s">
        <v>96</v>
      </c>
      <c r="L76" s="16" t="s">
        <v>96</v>
      </c>
      <c r="N76" s="100">
        <f t="shared" si="1"/>
        <v>15.6</v>
      </c>
      <c r="O76" s="100">
        <f t="shared" si="2"/>
        <v>15.6</v>
      </c>
      <c r="P76" s="100">
        <f t="shared" si="3"/>
        <v>1.6</v>
      </c>
      <c r="Q76" s="100" t="e">
        <f t="shared" si="4"/>
        <v>#VALUE!</v>
      </c>
      <c r="R76" s="37"/>
      <c r="S76" s="37"/>
      <c r="T76" s="37"/>
      <c r="U76" s="37"/>
    </row>
    <row r="77" spans="1:21" ht="14.1" customHeight="1" x14ac:dyDescent="0.25">
      <c r="A77" s="61"/>
      <c r="B77" s="6"/>
      <c r="C77" s="5"/>
      <c r="D77" s="5"/>
      <c r="E77" s="6"/>
      <c r="F77" s="5"/>
      <c r="G77" s="5"/>
      <c r="H77" s="6"/>
      <c r="I77" s="5"/>
      <c r="J77" s="5"/>
      <c r="K77" s="6"/>
      <c r="L77" s="5"/>
      <c r="N77" s="100">
        <f t="shared" si="1"/>
        <v>0</v>
      </c>
      <c r="O77" s="100">
        <f t="shared" si="2"/>
        <v>0</v>
      </c>
      <c r="P77" s="100">
        <f t="shared" si="3"/>
        <v>0</v>
      </c>
      <c r="Q77" s="100">
        <f t="shared" si="4"/>
        <v>0</v>
      </c>
      <c r="R77" s="37"/>
      <c r="S77" s="37"/>
      <c r="T77" s="37"/>
      <c r="U77" s="37"/>
    </row>
    <row r="78" spans="1:21" ht="14.1" customHeight="1" x14ac:dyDescent="0.25">
      <c r="A78" s="63" t="s">
        <v>19</v>
      </c>
      <c r="B78" s="9">
        <v>30996</v>
      </c>
      <c r="C78" s="15">
        <v>100</v>
      </c>
      <c r="D78" s="15"/>
      <c r="E78" s="9">
        <v>30848</v>
      </c>
      <c r="F78" s="15">
        <v>100</v>
      </c>
      <c r="G78" s="15"/>
      <c r="H78" s="9">
        <v>138</v>
      </c>
      <c r="I78" s="15">
        <v>100</v>
      </c>
      <c r="J78" s="15"/>
      <c r="K78" s="9">
        <v>10</v>
      </c>
      <c r="L78" s="15">
        <v>100</v>
      </c>
      <c r="N78" s="100">
        <f>SUM(N79:N90)</f>
        <v>100</v>
      </c>
      <c r="O78" s="100">
        <f t="shared" ref="O78:Q78" si="8">SUM(O79:O90)</f>
        <v>100</v>
      </c>
      <c r="P78" s="100" t="e">
        <f t="shared" si="8"/>
        <v>#VALUE!</v>
      </c>
      <c r="Q78" s="100" t="e">
        <f t="shared" si="8"/>
        <v>#VALUE!</v>
      </c>
      <c r="R78" s="37"/>
      <c r="S78" s="37"/>
      <c r="T78" s="37"/>
      <c r="U78" s="37"/>
    </row>
    <row r="79" spans="1:21" ht="14.1" customHeight="1" x14ac:dyDescent="0.25">
      <c r="A79" s="61" t="s">
        <v>57</v>
      </c>
      <c r="B79" s="6">
        <v>409</v>
      </c>
      <c r="C79" s="5">
        <v>1.3195251000129049</v>
      </c>
      <c r="D79" s="5"/>
      <c r="E79" s="6">
        <v>407</v>
      </c>
      <c r="F79" s="5">
        <v>1.3193724066390042</v>
      </c>
      <c r="G79" s="5"/>
      <c r="H79" s="6">
        <v>2</v>
      </c>
      <c r="I79" s="5">
        <v>1.4492753623188406</v>
      </c>
      <c r="J79" s="5"/>
      <c r="K79" s="3" t="s">
        <v>96</v>
      </c>
      <c r="L79" s="16" t="s">
        <v>96</v>
      </c>
      <c r="N79" s="100">
        <f t="shared" si="1"/>
        <v>1.3</v>
      </c>
      <c r="O79" s="100">
        <f t="shared" si="2"/>
        <v>1.3</v>
      </c>
      <c r="P79" s="100">
        <f t="shared" si="3"/>
        <v>1.4</v>
      </c>
      <c r="Q79" s="100" t="e">
        <f t="shared" si="4"/>
        <v>#VALUE!</v>
      </c>
      <c r="R79" s="37"/>
      <c r="S79" s="37"/>
      <c r="T79" s="37"/>
      <c r="U79" s="37"/>
    </row>
    <row r="80" spans="1:21" ht="14.1" customHeight="1" x14ac:dyDescent="0.25">
      <c r="A80" s="61" t="s">
        <v>29</v>
      </c>
      <c r="B80" s="6">
        <v>516</v>
      </c>
      <c r="C80" s="5">
        <v>1.664730933023616</v>
      </c>
      <c r="D80" s="5"/>
      <c r="E80" s="6">
        <v>511</v>
      </c>
      <c r="F80" s="5">
        <v>1.6565093360995851</v>
      </c>
      <c r="G80" s="5"/>
      <c r="H80" s="6">
        <v>5</v>
      </c>
      <c r="I80" s="5">
        <v>3.6231884057971016</v>
      </c>
      <c r="J80" s="5"/>
      <c r="K80" s="3" t="s">
        <v>96</v>
      </c>
      <c r="L80" s="16" t="s">
        <v>96</v>
      </c>
      <c r="N80" s="100">
        <f t="shared" si="1"/>
        <v>1.7</v>
      </c>
      <c r="O80" s="100">
        <f t="shared" si="2"/>
        <v>1.7</v>
      </c>
      <c r="P80" s="100">
        <f t="shared" si="3"/>
        <v>3.6</v>
      </c>
      <c r="Q80" s="100" t="e">
        <f t="shared" si="4"/>
        <v>#VALUE!</v>
      </c>
      <c r="R80" s="37"/>
      <c r="S80" s="37"/>
      <c r="T80" s="37"/>
      <c r="U80" s="37"/>
    </row>
    <row r="81" spans="1:21" ht="14.1" customHeight="1" x14ac:dyDescent="0.25">
      <c r="A81" s="61" t="s">
        <v>30</v>
      </c>
      <c r="B81" s="6">
        <v>2052</v>
      </c>
      <c r="C81" s="5">
        <v>6.6202090592334493</v>
      </c>
      <c r="D81" s="5"/>
      <c r="E81" s="6">
        <v>2049</v>
      </c>
      <c r="F81" s="5">
        <v>6.6422458506224062</v>
      </c>
      <c r="G81" s="5"/>
      <c r="H81" s="6">
        <v>3</v>
      </c>
      <c r="I81" s="5">
        <v>2.1739130434782608</v>
      </c>
      <c r="J81" s="5"/>
      <c r="K81" s="3" t="s">
        <v>96</v>
      </c>
      <c r="L81" s="16" t="s">
        <v>96</v>
      </c>
      <c r="N81" s="100">
        <f t="shared" si="1"/>
        <v>6.6</v>
      </c>
      <c r="O81" s="100">
        <f t="shared" si="2"/>
        <v>6.6</v>
      </c>
      <c r="P81" s="100">
        <f t="shared" si="3"/>
        <v>2.2000000000000002</v>
      </c>
      <c r="Q81" s="100" t="e">
        <f t="shared" si="4"/>
        <v>#VALUE!</v>
      </c>
      <c r="R81" s="37"/>
      <c r="S81" s="37"/>
      <c r="T81" s="37"/>
      <c r="U81" s="37"/>
    </row>
    <row r="82" spans="1:21" ht="14.1" customHeight="1" x14ac:dyDescent="0.25">
      <c r="A82" s="61" t="s">
        <v>31</v>
      </c>
      <c r="B82" s="6">
        <v>19</v>
      </c>
      <c r="C82" s="5">
        <v>6.1298232029939344E-2</v>
      </c>
      <c r="D82" s="5"/>
      <c r="E82" s="6">
        <v>19</v>
      </c>
      <c r="F82" s="5">
        <v>6.1592323651452278E-2</v>
      </c>
      <c r="G82" s="5"/>
      <c r="H82" s="3" t="s">
        <v>96</v>
      </c>
      <c r="I82" s="16" t="s">
        <v>96</v>
      </c>
      <c r="J82" s="5"/>
      <c r="K82" s="3" t="s">
        <v>96</v>
      </c>
      <c r="L82" s="16" t="s">
        <v>96</v>
      </c>
      <c r="N82" s="100">
        <f t="shared" si="1"/>
        <v>0.1</v>
      </c>
      <c r="O82" s="100">
        <f t="shared" si="2"/>
        <v>0.1</v>
      </c>
      <c r="P82" s="100" t="e">
        <f t="shared" si="3"/>
        <v>#VALUE!</v>
      </c>
      <c r="Q82" s="100" t="e">
        <f t="shared" si="4"/>
        <v>#VALUE!</v>
      </c>
      <c r="R82" s="37"/>
      <c r="S82" s="37"/>
      <c r="T82" s="37"/>
      <c r="U82" s="37"/>
    </row>
    <row r="83" spans="1:21" ht="14.1" customHeight="1" x14ac:dyDescent="0.25">
      <c r="A83" s="61" t="s">
        <v>32</v>
      </c>
      <c r="B83" s="6">
        <v>153</v>
      </c>
      <c r="C83" s="5">
        <v>0.49361207897793263</v>
      </c>
      <c r="D83" s="5"/>
      <c r="E83" s="6">
        <v>148</v>
      </c>
      <c r="F83" s="5">
        <v>0.47977178423236516</v>
      </c>
      <c r="G83" s="5"/>
      <c r="H83" s="3">
        <v>3</v>
      </c>
      <c r="I83" s="16">
        <v>2.1739130434782608</v>
      </c>
      <c r="J83" s="5"/>
      <c r="K83" s="3">
        <v>2</v>
      </c>
      <c r="L83" s="16">
        <v>20</v>
      </c>
      <c r="N83" s="100">
        <f t="shared" si="1"/>
        <v>0.5</v>
      </c>
      <c r="O83" s="100">
        <f t="shared" si="2"/>
        <v>0.5</v>
      </c>
      <c r="P83" s="100">
        <f t="shared" si="3"/>
        <v>2.2000000000000002</v>
      </c>
      <c r="Q83" s="100">
        <f t="shared" si="4"/>
        <v>20</v>
      </c>
      <c r="R83" s="37"/>
      <c r="S83" s="37"/>
      <c r="T83" s="37"/>
      <c r="U83" s="37"/>
    </row>
    <row r="84" spans="1:21" ht="14.1" customHeight="1" x14ac:dyDescent="0.25">
      <c r="A84" s="61" t="s">
        <v>33</v>
      </c>
      <c r="B84" s="6">
        <v>14213</v>
      </c>
      <c r="C84" s="5">
        <v>45.854303781133048</v>
      </c>
      <c r="D84" s="5"/>
      <c r="E84" s="6">
        <v>14114</v>
      </c>
      <c r="F84" s="5">
        <v>45.653371369294604</v>
      </c>
      <c r="G84" s="5"/>
      <c r="H84" s="3">
        <v>95</v>
      </c>
      <c r="I84" s="16">
        <v>68.940579710144917</v>
      </c>
      <c r="J84" s="5"/>
      <c r="K84" s="3">
        <v>4</v>
      </c>
      <c r="L84" s="16">
        <v>40</v>
      </c>
      <c r="N84" s="100">
        <f t="shared" si="1"/>
        <v>45.9</v>
      </c>
      <c r="O84" s="100">
        <f t="shared" si="2"/>
        <v>45.7</v>
      </c>
      <c r="P84" s="100">
        <f t="shared" si="3"/>
        <v>68.900000000000006</v>
      </c>
      <c r="Q84" s="100">
        <f t="shared" si="4"/>
        <v>40</v>
      </c>
      <c r="R84" s="37"/>
      <c r="S84" s="37"/>
      <c r="T84" s="37"/>
      <c r="U84" s="37"/>
    </row>
    <row r="85" spans="1:21" ht="14.1" customHeight="1" x14ac:dyDescent="0.25">
      <c r="A85" s="61" t="s">
        <v>34</v>
      </c>
      <c r="B85" s="6">
        <v>1554</v>
      </c>
      <c r="C85" s="5">
        <v>5.0135501355013554</v>
      </c>
      <c r="D85" s="5"/>
      <c r="E85" s="6">
        <v>1530</v>
      </c>
      <c r="F85" s="5">
        <v>4.9598029045643148</v>
      </c>
      <c r="G85" s="5"/>
      <c r="H85" s="3">
        <v>20</v>
      </c>
      <c r="I85" s="16">
        <v>14.492753623188406</v>
      </c>
      <c r="J85" s="5"/>
      <c r="K85" s="3">
        <v>4</v>
      </c>
      <c r="L85" s="16">
        <v>40</v>
      </c>
      <c r="N85" s="100">
        <f t="shared" si="1"/>
        <v>5</v>
      </c>
      <c r="O85" s="100">
        <f t="shared" si="2"/>
        <v>5</v>
      </c>
      <c r="P85" s="100">
        <f t="shared" si="3"/>
        <v>14.5</v>
      </c>
      <c r="Q85" s="100">
        <f t="shared" si="4"/>
        <v>40</v>
      </c>
      <c r="R85" s="37"/>
      <c r="S85" s="37"/>
      <c r="T85" s="37"/>
      <c r="U85" s="37"/>
    </row>
    <row r="86" spans="1:21" ht="14.1" customHeight="1" x14ac:dyDescent="0.25">
      <c r="A86" s="61" t="s">
        <v>67</v>
      </c>
      <c r="B86" s="6">
        <v>604</v>
      </c>
      <c r="C86" s="5">
        <v>1.9486385340043877</v>
      </c>
      <c r="D86" s="5"/>
      <c r="E86" s="6">
        <v>604</v>
      </c>
      <c r="F86" s="5">
        <v>1.9579875518672198</v>
      </c>
      <c r="G86" s="5"/>
      <c r="H86" s="3" t="s">
        <v>96</v>
      </c>
      <c r="I86" s="16" t="s">
        <v>96</v>
      </c>
      <c r="J86" s="5"/>
      <c r="K86" s="3" t="s">
        <v>96</v>
      </c>
      <c r="L86" s="16" t="s">
        <v>96</v>
      </c>
      <c r="N86" s="100">
        <f t="shared" si="1"/>
        <v>1.9</v>
      </c>
      <c r="O86" s="100">
        <f t="shared" si="2"/>
        <v>2</v>
      </c>
      <c r="P86" s="100" t="e">
        <f t="shared" si="3"/>
        <v>#VALUE!</v>
      </c>
      <c r="Q86" s="100" t="e">
        <f t="shared" si="4"/>
        <v>#VALUE!</v>
      </c>
      <c r="R86" s="37"/>
      <c r="S86" s="37"/>
      <c r="T86" s="37"/>
      <c r="U86" s="37"/>
    </row>
    <row r="87" spans="1:21" ht="14.1" customHeight="1" x14ac:dyDescent="0.25">
      <c r="A87" s="61" t="s">
        <v>70</v>
      </c>
      <c r="B87" s="6">
        <v>3295</v>
      </c>
      <c r="C87" s="5">
        <v>10.630403923086849</v>
      </c>
      <c r="D87" s="5"/>
      <c r="E87" s="6">
        <v>3294</v>
      </c>
      <c r="F87" s="5">
        <v>10.678163900414937</v>
      </c>
      <c r="G87" s="5"/>
      <c r="H87" s="3">
        <v>1</v>
      </c>
      <c r="I87" s="16">
        <v>0.72463768115942029</v>
      </c>
      <c r="J87" s="5"/>
      <c r="K87" s="3" t="s">
        <v>96</v>
      </c>
      <c r="L87" s="16" t="s">
        <v>96</v>
      </c>
      <c r="N87" s="100">
        <f t="shared" si="1"/>
        <v>10.6</v>
      </c>
      <c r="O87" s="100">
        <f t="shared" si="2"/>
        <v>10.7</v>
      </c>
      <c r="P87" s="100">
        <f t="shared" si="3"/>
        <v>0.7</v>
      </c>
      <c r="Q87" s="100" t="e">
        <f t="shared" si="4"/>
        <v>#VALUE!</v>
      </c>
      <c r="R87" s="37"/>
      <c r="S87" s="37"/>
      <c r="T87" s="37"/>
      <c r="U87" s="37"/>
    </row>
    <row r="88" spans="1:21" ht="14.1" customHeight="1" x14ac:dyDescent="0.25">
      <c r="A88" s="61" t="s">
        <v>35</v>
      </c>
      <c r="B88" s="6">
        <v>369</v>
      </c>
      <c r="C88" s="5">
        <v>1.1904761904761905</v>
      </c>
      <c r="D88" s="5"/>
      <c r="E88" s="6">
        <v>369</v>
      </c>
      <c r="F88" s="5">
        <v>1.1961877593360994</v>
      </c>
      <c r="G88" s="5"/>
      <c r="H88" s="3" t="s">
        <v>96</v>
      </c>
      <c r="I88" s="16" t="s">
        <v>96</v>
      </c>
      <c r="J88" s="5"/>
      <c r="K88" s="3" t="s">
        <v>96</v>
      </c>
      <c r="L88" s="16" t="s">
        <v>96</v>
      </c>
      <c r="N88" s="100">
        <f t="shared" ref="N88:N151" si="9">ROUND(C88,1)</f>
        <v>1.2</v>
      </c>
      <c r="O88" s="100">
        <f t="shared" ref="O88:O151" si="10">ROUND(F88,1)</f>
        <v>1.2</v>
      </c>
      <c r="P88" s="100" t="e">
        <f t="shared" ref="P88:P151" si="11">ROUND(I88,1)</f>
        <v>#VALUE!</v>
      </c>
      <c r="Q88" s="100" t="e">
        <f t="shared" ref="Q88:Q151" si="12">ROUND(L88,1)</f>
        <v>#VALUE!</v>
      </c>
      <c r="R88" s="37"/>
      <c r="S88" s="37"/>
      <c r="T88" s="37"/>
      <c r="U88" s="37"/>
    </row>
    <row r="89" spans="1:21" ht="14.1" customHeight="1" x14ac:dyDescent="0.25">
      <c r="A89" s="61" t="s">
        <v>36</v>
      </c>
      <c r="B89" s="6">
        <v>2094</v>
      </c>
      <c r="C89" s="5">
        <v>6.7557104142469999</v>
      </c>
      <c r="D89" s="5"/>
      <c r="E89" s="6">
        <v>2086</v>
      </c>
      <c r="F89" s="5">
        <v>6.7621887966804977</v>
      </c>
      <c r="G89" s="5"/>
      <c r="H89" s="6">
        <v>8</v>
      </c>
      <c r="I89" s="5">
        <v>5.7971014492753623</v>
      </c>
      <c r="J89" s="5"/>
      <c r="K89" s="3" t="s">
        <v>96</v>
      </c>
      <c r="L89" s="16" t="s">
        <v>96</v>
      </c>
      <c r="N89" s="100">
        <f t="shared" si="9"/>
        <v>6.8</v>
      </c>
      <c r="O89" s="100">
        <f t="shared" si="10"/>
        <v>6.8</v>
      </c>
      <c r="P89" s="100">
        <f t="shared" si="11"/>
        <v>5.8</v>
      </c>
      <c r="Q89" s="100" t="e">
        <f t="shared" si="12"/>
        <v>#VALUE!</v>
      </c>
      <c r="R89" s="37"/>
      <c r="S89" s="37"/>
      <c r="T89" s="37"/>
      <c r="U89" s="37"/>
    </row>
    <row r="90" spans="1:21" ht="14.1" customHeight="1" x14ac:dyDescent="0.25">
      <c r="A90" s="61" t="s">
        <v>37</v>
      </c>
      <c r="B90" s="6">
        <v>5718</v>
      </c>
      <c r="C90" s="5">
        <v>18.447541618273323</v>
      </c>
      <c r="D90" s="5"/>
      <c r="E90" s="6">
        <v>5717</v>
      </c>
      <c r="F90" s="5">
        <v>18.43280601659751</v>
      </c>
      <c r="G90" s="5"/>
      <c r="H90" s="6">
        <v>1</v>
      </c>
      <c r="I90" s="5">
        <v>0.72463768115942029</v>
      </c>
      <c r="J90" s="5"/>
      <c r="K90" s="3" t="s">
        <v>96</v>
      </c>
      <c r="L90" s="16" t="s">
        <v>96</v>
      </c>
      <c r="N90" s="100">
        <f t="shared" si="9"/>
        <v>18.399999999999999</v>
      </c>
      <c r="O90" s="100">
        <f t="shared" si="10"/>
        <v>18.399999999999999</v>
      </c>
      <c r="P90" s="100">
        <f t="shared" si="11"/>
        <v>0.7</v>
      </c>
      <c r="Q90" s="100" t="e">
        <f t="shared" si="12"/>
        <v>#VALUE!</v>
      </c>
      <c r="R90" s="37"/>
      <c r="S90" s="37"/>
      <c r="T90" s="37"/>
      <c r="U90" s="37"/>
    </row>
    <row r="91" spans="1:21" ht="14.1" customHeight="1" x14ac:dyDescent="0.25">
      <c r="A91" s="61"/>
      <c r="B91" s="6"/>
      <c r="C91" s="5"/>
      <c r="D91" s="5"/>
      <c r="E91" s="6"/>
      <c r="F91" s="5"/>
      <c r="G91" s="5"/>
      <c r="H91" s="6"/>
      <c r="I91" s="5"/>
      <c r="J91" s="5"/>
      <c r="K91" s="6"/>
      <c r="L91" s="5"/>
      <c r="N91" s="100">
        <f t="shared" si="9"/>
        <v>0</v>
      </c>
      <c r="O91" s="100">
        <f t="shared" si="10"/>
        <v>0</v>
      </c>
      <c r="P91" s="100">
        <f t="shared" si="11"/>
        <v>0</v>
      </c>
      <c r="Q91" s="100">
        <f t="shared" si="12"/>
        <v>0</v>
      </c>
      <c r="R91" s="37"/>
      <c r="S91" s="37"/>
      <c r="T91" s="37"/>
      <c r="U91" s="37"/>
    </row>
    <row r="92" spans="1:21" ht="14.1" customHeight="1" x14ac:dyDescent="0.25">
      <c r="A92" s="94" t="s">
        <v>18</v>
      </c>
      <c r="B92" s="9">
        <v>51604</v>
      </c>
      <c r="C92" s="15">
        <v>100</v>
      </c>
      <c r="D92" s="15"/>
      <c r="E92" s="9">
        <v>51453</v>
      </c>
      <c r="F92" s="15">
        <v>100</v>
      </c>
      <c r="G92" s="15"/>
      <c r="H92" s="9">
        <v>143</v>
      </c>
      <c r="I92" s="15">
        <v>100</v>
      </c>
      <c r="J92" s="15"/>
      <c r="K92" s="9">
        <v>8</v>
      </c>
      <c r="L92" s="15">
        <v>100</v>
      </c>
      <c r="N92" s="100">
        <f>SUM(N93:N105)</f>
        <v>100</v>
      </c>
      <c r="O92" s="100">
        <f t="shared" ref="O92:Q92" si="13">SUM(O93:O105)</f>
        <v>100</v>
      </c>
      <c r="P92" s="100" t="e">
        <f t="shared" si="13"/>
        <v>#VALUE!</v>
      </c>
      <c r="Q92" s="100" t="e">
        <f t="shared" si="13"/>
        <v>#VALUE!</v>
      </c>
      <c r="R92" s="37"/>
      <c r="S92" s="37"/>
      <c r="T92" s="37"/>
      <c r="U92" s="37"/>
    </row>
    <row r="93" spans="1:21" ht="14.1" customHeight="1" x14ac:dyDescent="0.25">
      <c r="A93" s="61" t="s">
        <v>57</v>
      </c>
      <c r="B93" s="6">
        <v>614</v>
      </c>
      <c r="C93" s="5">
        <v>1.1898302457173862</v>
      </c>
      <c r="D93" s="5"/>
      <c r="E93" s="6">
        <v>605</v>
      </c>
      <c r="F93" s="5">
        <v>1.1758303694633938</v>
      </c>
      <c r="G93" s="5"/>
      <c r="H93" s="6">
        <v>9</v>
      </c>
      <c r="I93" s="5">
        <v>6.2937062937062942</v>
      </c>
      <c r="J93" s="5"/>
      <c r="K93" s="3" t="s">
        <v>96</v>
      </c>
      <c r="L93" s="16" t="s">
        <v>96</v>
      </c>
      <c r="N93" s="100">
        <f t="shared" si="9"/>
        <v>1.2</v>
      </c>
      <c r="O93" s="100">
        <f t="shared" si="10"/>
        <v>1.2</v>
      </c>
      <c r="P93" s="100">
        <f t="shared" si="11"/>
        <v>6.3</v>
      </c>
      <c r="Q93" s="100" t="e">
        <f t="shared" si="12"/>
        <v>#VALUE!</v>
      </c>
      <c r="R93" s="37"/>
      <c r="S93" s="37"/>
      <c r="T93" s="37"/>
      <c r="U93" s="37"/>
    </row>
    <row r="94" spans="1:21" ht="14.1" customHeight="1" x14ac:dyDescent="0.25">
      <c r="A94" s="61" t="s">
        <v>29</v>
      </c>
      <c r="B94" s="6">
        <v>421</v>
      </c>
      <c r="C94" s="5">
        <v>0.81582823036973873</v>
      </c>
      <c r="D94" s="5"/>
      <c r="E94" s="6">
        <v>413</v>
      </c>
      <c r="F94" s="5">
        <v>0.80267428527005225</v>
      </c>
      <c r="G94" s="5"/>
      <c r="H94" s="6">
        <v>8</v>
      </c>
      <c r="I94" s="5">
        <v>5.5944055944055942</v>
      </c>
      <c r="J94" s="5"/>
      <c r="K94" s="3" t="s">
        <v>96</v>
      </c>
      <c r="L94" s="16" t="s">
        <v>96</v>
      </c>
      <c r="N94" s="100">
        <f t="shared" si="9"/>
        <v>0.8</v>
      </c>
      <c r="O94" s="100">
        <f t="shared" si="10"/>
        <v>0.8</v>
      </c>
      <c r="P94" s="100">
        <f t="shared" si="11"/>
        <v>5.6</v>
      </c>
      <c r="Q94" s="100" t="e">
        <f t="shared" si="12"/>
        <v>#VALUE!</v>
      </c>
      <c r="R94" s="37"/>
      <c r="S94" s="37"/>
      <c r="T94" s="37"/>
      <c r="U94" s="37"/>
    </row>
    <row r="95" spans="1:21" ht="14.1" customHeight="1" x14ac:dyDescent="0.25">
      <c r="A95" s="61" t="s">
        <v>30</v>
      </c>
      <c r="B95" s="6">
        <v>3974</v>
      </c>
      <c r="C95" s="5">
        <v>7.7009534144639957</v>
      </c>
      <c r="D95" s="5"/>
      <c r="E95" s="6">
        <v>3971</v>
      </c>
      <c r="F95" s="5">
        <v>7.7177229704779124</v>
      </c>
      <c r="G95" s="5"/>
      <c r="H95" s="6">
        <v>3</v>
      </c>
      <c r="I95" s="5">
        <v>2.0979020979020979</v>
      </c>
      <c r="J95" s="5"/>
      <c r="K95" s="3" t="s">
        <v>96</v>
      </c>
      <c r="L95" s="16" t="s">
        <v>96</v>
      </c>
      <c r="N95" s="100">
        <f t="shared" si="9"/>
        <v>7.7</v>
      </c>
      <c r="O95" s="100">
        <f t="shared" si="10"/>
        <v>7.7</v>
      </c>
      <c r="P95" s="100">
        <f t="shared" si="11"/>
        <v>2.1</v>
      </c>
      <c r="Q95" s="100" t="e">
        <f t="shared" si="12"/>
        <v>#VALUE!</v>
      </c>
      <c r="R95" s="37"/>
      <c r="S95" s="37"/>
      <c r="T95" s="37"/>
      <c r="U95" s="37"/>
    </row>
    <row r="96" spans="1:21" ht="14.1" customHeight="1" x14ac:dyDescent="0.25">
      <c r="A96" s="61" t="s">
        <v>31</v>
      </c>
      <c r="B96" s="6">
        <v>36</v>
      </c>
      <c r="C96" s="5">
        <v>6.976203395085652E-2</v>
      </c>
      <c r="D96" s="5"/>
      <c r="E96" s="6">
        <v>36</v>
      </c>
      <c r="F96" s="5">
        <v>6.9966765786251522E-2</v>
      </c>
      <c r="G96" s="5"/>
      <c r="H96" s="3" t="s">
        <v>96</v>
      </c>
      <c r="I96" s="3" t="s">
        <v>96</v>
      </c>
      <c r="J96" s="5"/>
      <c r="K96" s="3" t="s">
        <v>96</v>
      </c>
      <c r="L96" s="16" t="s">
        <v>96</v>
      </c>
      <c r="N96" s="100">
        <f t="shared" si="9"/>
        <v>0.1</v>
      </c>
      <c r="O96" s="100">
        <f t="shared" si="10"/>
        <v>0.1</v>
      </c>
      <c r="P96" s="100" t="e">
        <f t="shared" si="11"/>
        <v>#VALUE!</v>
      </c>
      <c r="Q96" s="100" t="e">
        <f t="shared" si="12"/>
        <v>#VALUE!</v>
      </c>
      <c r="R96" s="37"/>
      <c r="S96" s="37"/>
      <c r="T96" s="37"/>
      <c r="U96" s="37"/>
    </row>
    <row r="97" spans="1:21" ht="14.1" customHeight="1" x14ac:dyDescent="0.25">
      <c r="A97" s="61" t="s">
        <v>32</v>
      </c>
      <c r="B97" s="6">
        <v>451</v>
      </c>
      <c r="C97" s="5">
        <v>0.8739632586621191</v>
      </c>
      <c r="D97" s="5"/>
      <c r="E97" s="6">
        <v>446</v>
      </c>
      <c r="F97" s="5">
        <v>0.8668104872407828</v>
      </c>
      <c r="G97" s="5"/>
      <c r="H97" s="6">
        <v>4</v>
      </c>
      <c r="I97" s="5">
        <v>2.7972027972027971</v>
      </c>
      <c r="J97" s="5"/>
      <c r="K97" s="3">
        <v>1</v>
      </c>
      <c r="L97" s="16">
        <v>12.5</v>
      </c>
      <c r="N97" s="100">
        <f t="shared" si="9"/>
        <v>0.9</v>
      </c>
      <c r="O97" s="100">
        <f t="shared" si="10"/>
        <v>0.9</v>
      </c>
      <c r="P97" s="100">
        <f t="shared" si="11"/>
        <v>2.8</v>
      </c>
      <c r="Q97" s="100">
        <f t="shared" si="12"/>
        <v>12.5</v>
      </c>
      <c r="R97" s="37"/>
      <c r="S97" s="37"/>
      <c r="T97" s="37"/>
      <c r="U97" s="37"/>
    </row>
    <row r="98" spans="1:21" ht="14.1" customHeight="1" x14ac:dyDescent="0.25">
      <c r="A98" s="61" t="s">
        <v>33</v>
      </c>
      <c r="B98" s="6">
        <v>25072</v>
      </c>
      <c r="C98" s="5">
        <v>48.485380978218743</v>
      </c>
      <c r="D98" s="5"/>
      <c r="E98" s="6">
        <v>24984</v>
      </c>
      <c r="F98" s="5">
        <v>48.456935455658559</v>
      </c>
      <c r="G98" s="5"/>
      <c r="H98" s="6">
        <v>82</v>
      </c>
      <c r="I98" s="5">
        <v>57.342657342657347</v>
      </c>
      <c r="J98" s="5"/>
      <c r="K98" s="3">
        <v>6</v>
      </c>
      <c r="L98" s="16">
        <v>75</v>
      </c>
      <c r="N98" s="100">
        <f t="shared" si="9"/>
        <v>48.5</v>
      </c>
      <c r="O98" s="100">
        <f t="shared" si="10"/>
        <v>48.5</v>
      </c>
      <c r="P98" s="100">
        <f t="shared" si="11"/>
        <v>57.3</v>
      </c>
      <c r="Q98" s="100">
        <f t="shared" si="12"/>
        <v>75</v>
      </c>
      <c r="R98" s="37"/>
      <c r="S98" s="37"/>
      <c r="T98" s="37"/>
      <c r="U98" s="37"/>
    </row>
    <row r="99" spans="1:21" ht="14.1" customHeight="1" x14ac:dyDescent="0.25">
      <c r="A99" s="61" t="s">
        <v>34</v>
      </c>
      <c r="B99" s="6">
        <v>3243</v>
      </c>
      <c r="C99" s="5">
        <v>6.2843965584063257</v>
      </c>
      <c r="D99" s="5"/>
      <c r="E99" s="6">
        <v>3223</v>
      </c>
      <c r="F99" s="5">
        <v>6.2639690591413526</v>
      </c>
      <c r="G99" s="5"/>
      <c r="H99" s="6">
        <v>20</v>
      </c>
      <c r="I99" s="5">
        <v>13.986013986013987</v>
      </c>
      <c r="J99" s="5"/>
      <c r="K99" s="3" t="s">
        <v>96</v>
      </c>
      <c r="L99" s="16" t="s">
        <v>96</v>
      </c>
      <c r="N99" s="100">
        <f t="shared" si="9"/>
        <v>6.3</v>
      </c>
      <c r="O99" s="100">
        <f t="shared" si="10"/>
        <v>6.3</v>
      </c>
      <c r="P99" s="100">
        <f t="shared" si="11"/>
        <v>14</v>
      </c>
      <c r="Q99" s="100" t="e">
        <f t="shared" si="12"/>
        <v>#VALUE!</v>
      </c>
      <c r="R99" s="37"/>
      <c r="S99" s="37"/>
      <c r="T99" s="37"/>
      <c r="U99" s="37"/>
    </row>
    <row r="100" spans="1:21" ht="14.1" customHeight="1" x14ac:dyDescent="0.25">
      <c r="A100" s="61" t="s">
        <v>67</v>
      </c>
      <c r="B100" s="6">
        <v>774</v>
      </c>
      <c r="C100" s="5">
        <v>1.4998837299434151</v>
      </c>
      <c r="D100" s="5"/>
      <c r="E100" s="6">
        <v>773</v>
      </c>
      <c r="F100" s="5">
        <v>1.5023419431325675</v>
      </c>
      <c r="G100" s="5"/>
      <c r="H100" s="6">
        <v>1</v>
      </c>
      <c r="I100" s="5">
        <v>0.69930069930069927</v>
      </c>
      <c r="J100" s="5"/>
      <c r="K100" s="3" t="s">
        <v>96</v>
      </c>
      <c r="L100" s="16" t="s">
        <v>96</v>
      </c>
      <c r="N100" s="100">
        <f t="shared" si="9"/>
        <v>1.5</v>
      </c>
      <c r="O100" s="100">
        <f t="shared" si="10"/>
        <v>1.5</v>
      </c>
      <c r="P100" s="100">
        <f t="shared" si="11"/>
        <v>0.7</v>
      </c>
      <c r="Q100" s="100" t="e">
        <f t="shared" si="12"/>
        <v>#VALUE!</v>
      </c>
      <c r="R100" s="37"/>
      <c r="S100" s="37"/>
      <c r="T100" s="37"/>
      <c r="U100" s="37"/>
    </row>
    <row r="101" spans="1:21" ht="14.1" customHeight="1" x14ac:dyDescent="0.25">
      <c r="A101" s="61" t="s">
        <v>70</v>
      </c>
      <c r="B101" s="6">
        <v>6458</v>
      </c>
      <c r="C101" s="5">
        <v>12.514533757073096</v>
      </c>
      <c r="D101" s="5"/>
      <c r="E101" s="6">
        <v>6455</v>
      </c>
      <c r="F101" s="5">
        <v>12.545429809729267</v>
      </c>
      <c r="G101" s="5"/>
      <c r="H101" s="6">
        <v>3</v>
      </c>
      <c r="I101" s="5">
        <v>2.0979020979020979</v>
      </c>
      <c r="J101" s="5"/>
      <c r="K101" s="3" t="s">
        <v>96</v>
      </c>
      <c r="L101" s="16" t="s">
        <v>96</v>
      </c>
      <c r="N101" s="100">
        <f t="shared" si="9"/>
        <v>12.5</v>
      </c>
      <c r="O101" s="100">
        <f t="shared" si="10"/>
        <v>12.5</v>
      </c>
      <c r="P101" s="100">
        <f t="shared" si="11"/>
        <v>2.1</v>
      </c>
      <c r="Q101" s="100" t="e">
        <f t="shared" si="12"/>
        <v>#VALUE!</v>
      </c>
      <c r="R101" s="37"/>
      <c r="S101" s="37"/>
      <c r="T101" s="37"/>
      <c r="U101" s="37"/>
    </row>
    <row r="102" spans="1:21" ht="14.1" customHeight="1" x14ac:dyDescent="0.25">
      <c r="A102" s="61" t="s">
        <v>35</v>
      </c>
      <c r="B102" s="6">
        <v>863</v>
      </c>
      <c r="C102" s="5">
        <v>1.6723509805441441</v>
      </c>
      <c r="D102" s="5"/>
      <c r="E102" s="6">
        <v>861</v>
      </c>
      <c r="F102" s="5">
        <v>1.6733718150545158</v>
      </c>
      <c r="G102" s="5"/>
      <c r="H102" s="6">
        <v>2</v>
      </c>
      <c r="I102" s="5">
        <v>1.3986013986013985</v>
      </c>
      <c r="J102" s="5"/>
      <c r="K102" s="3" t="s">
        <v>96</v>
      </c>
      <c r="L102" s="16" t="s">
        <v>96</v>
      </c>
      <c r="N102" s="100">
        <f t="shared" si="9"/>
        <v>1.7</v>
      </c>
      <c r="O102" s="100">
        <f t="shared" si="10"/>
        <v>1.7</v>
      </c>
      <c r="P102" s="100">
        <f t="shared" si="11"/>
        <v>1.4</v>
      </c>
      <c r="Q102" s="100" t="e">
        <f t="shared" si="12"/>
        <v>#VALUE!</v>
      </c>
      <c r="R102" s="37"/>
      <c r="S102" s="37"/>
      <c r="T102" s="37"/>
      <c r="U102" s="37"/>
    </row>
    <row r="103" spans="1:21" ht="14.1" customHeight="1" x14ac:dyDescent="0.25">
      <c r="A103" s="61" t="s">
        <v>36</v>
      </c>
      <c r="B103" s="6">
        <v>4536</v>
      </c>
      <c r="C103" s="5">
        <v>8.7900162778079221</v>
      </c>
      <c r="D103" s="5"/>
      <c r="E103" s="6">
        <v>4528</v>
      </c>
      <c r="F103" s="5">
        <v>8.8002643188929692</v>
      </c>
      <c r="G103" s="5"/>
      <c r="H103" s="6">
        <v>8</v>
      </c>
      <c r="I103" s="5">
        <v>5.5944055944055942</v>
      </c>
      <c r="J103" s="5"/>
      <c r="K103" s="3" t="s">
        <v>96</v>
      </c>
      <c r="L103" s="16" t="s">
        <v>96</v>
      </c>
      <c r="N103" s="100">
        <f t="shared" si="9"/>
        <v>8.8000000000000007</v>
      </c>
      <c r="O103" s="100">
        <f t="shared" si="10"/>
        <v>8.8000000000000007</v>
      </c>
      <c r="P103" s="100">
        <f t="shared" si="11"/>
        <v>5.6</v>
      </c>
      <c r="Q103" s="100" t="e">
        <f t="shared" si="12"/>
        <v>#VALUE!</v>
      </c>
      <c r="R103" s="37"/>
      <c r="S103" s="37"/>
      <c r="T103" s="37"/>
      <c r="U103" s="37"/>
    </row>
    <row r="104" spans="1:21" ht="14.1" customHeight="1" x14ac:dyDescent="0.25">
      <c r="A104" s="61" t="s">
        <v>37</v>
      </c>
      <c r="B104" s="6">
        <v>5162</v>
      </c>
      <c r="C104" s="5">
        <v>10.003100534842261</v>
      </c>
      <c r="D104" s="5"/>
      <c r="E104" s="6">
        <v>5158</v>
      </c>
      <c r="F104" s="5">
        <v>10.024682720152372</v>
      </c>
      <c r="G104" s="5"/>
      <c r="H104" s="6">
        <v>3</v>
      </c>
      <c r="I104" s="5">
        <v>2.0979020979020979</v>
      </c>
      <c r="J104" s="5"/>
      <c r="K104" s="3">
        <v>1</v>
      </c>
      <c r="L104" s="16">
        <v>12.5</v>
      </c>
      <c r="N104" s="100">
        <f t="shared" si="9"/>
        <v>10</v>
      </c>
      <c r="O104" s="100">
        <f t="shared" si="10"/>
        <v>10</v>
      </c>
      <c r="P104" s="100">
        <f t="shared" si="11"/>
        <v>2.1</v>
      </c>
      <c r="Q104" s="100">
        <f t="shared" si="12"/>
        <v>12.5</v>
      </c>
      <c r="R104" s="37"/>
      <c r="S104" s="37"/>
      <c r="T104" s="37"/>
      <c r="U104" s="37"/>
    </row>
    <row r="105" spans="1:21" ht="14.1" customHeight="1" x14ac:dyDescent="0.25">
      <c r="A105" s="61"/>
      <c r="B105" s="6"/>
      <c r="C105" s="5"/>
      <c r="D105" s="5"/>
      <c r="E105" s="6"/>
      <c r="F105" s="5"/>
      <c r="G105" s="5"/>
      <c r="H105" s="6"/>
      <c r="I105" s="5"/>
      <c r="J105" s="5"/>
      <c r="K105" s="6"/>
      <c r="L105" s="5"/>
      <c r="N105" s="100">
        <f t="shared" si="9"/>
        <v>0</v>
      </c>
      <c r="O105" s="100">
        <f t="shared" si="10"/>
        <v>0</v>
      </c>
      <c r="P105" s="100">
        <f t="shared" si="11"/>
        <v>0</v>
      </c>
      <c r="Q105" s="100">
        <f t="shared" si="12"/>
        <v>0</v>
      </c>
      <c r="R105" s="37"/>
      <c r="S105" s="37"/>
      <c r="T105" s="37"/>
      <c r="U105" s="37"/>
    </row>
    <row r="106" spans="1:21" ht="14.1" customHeight="1" x14ac:dyDescent="0.25">
      <c r="A106" s="63" t="s">
        <v>55</v>
      </c>
      <c r="B106" s="9">
        <v>75248</v>
      </c>
      <c r="C106" s="15">
        <v>100</v>
      </c>
      <c r="D106" s="9"/>
      <c r="E106" s="9">
        <v>75063</v>
      </c>
      <c r="F106" s="15">
        <v>100</v>
      </c>
      <c r="G106" s="15"/>
      <c r="H106" s="9">
        <v>180</v>
      </c>
      <c r="I106" s="15">
        <v>100</v>
      </c>
      <c r="J106" s="9"/>
      <c r="K106" s="9">
        <v>5</v>
      </c>
      <c r="L106" s="15">
        <v>100</v>
      </c>
      <c r="N106" s="100">
        <f>SUM(N107:N118)</f>
        <v>100</v>
      </c>
      <c r="O106" s="100">
        <f t="shared" ref="O106:Q106" si="14">SUM(O107:O118)</f>
        <v>100</v>
      </c>
      <c r="P106" s="100" t="e">
        <f t="shared" si="14"/>
        <v>#VALUE!</v>
      </c>
      <c r="Q106" s="100" t="e">
        <f t="shared" si="14"/>
        <v>#VALUE!</v>
      </c>
      <c r="R106" s="37"/>
      <c r="S106" s="37"/>
      <c r="T106" s="37"/>
      <c r="U106" s="37"/>
    </row>
    <row r="107" spans="1:21" ht="14.1" customHeight="1" x14ac:dyDescent="0.25">
      <c r="A107" s="61" t="s">
        <v>57</v>
      </c>
      <c r="B107" s="6">
        <v>139</v>
      </c>
      <c r="C107" s="5">
        <v>0.18472251754199448</v>
      </c>
      <c r="D107" s="5"/>
      <c r="E107" s="6">
        <v>130</v>
      </c>
      <c r="F107" s="5">
        <v>0.17318785553468419</v>
      </c>
      <c r="G107" s="5"/>
      <c r="H107" s="6">
        <v>8</v>
      </c>
      <c r="I107" s="5">
        <v>4.4444444444444446</v>
      </c>
      <c r="J107" s="5"/>
      <c r="K107" s="6">
        <v>1</v>
      </c>
      <c r="L107" s="5">
        <v>20</v>
      </c>
      <c r="N107" s="100">
        <f t="shared" si="9"/>
        <v>0.2</v>
      </c>
      <c r="O107" s="100">
        <f t="shared" si="10"/>
        <v>0.2</v>
      </c>
      <c r="P107" s="100">
        <f t="shared" si="11"/>
        <v>4.4000000000000004</v>
      </c>
      <c r="Q107" s="100">
        <f t="shared" si="12"/>
        <v>20</v>
      </c>
      <c r="R107" s="37"/>
      <c r="S107" s="37"/>
      <c r="T107" s="37"/>
      <c r="U107" s="37"/>
    </row>
    <row r="108" spans="1:21" ht="14.1" customHeight="1" x14ac:dyDescent="0.25">
      <c r="A108" s="61" t="s">
        <v>29</v>
      </c>
      <c r="B108" s="6">
        <v>86</v>
      </c>
      <c r="C108" s="5">
        <v>0.11428875186051456</v>
      </c>
      <c r="D108" s="5"/>
      <c r="E108" s="6">
        <v>84</v>
      </c>
      <c r="F108" s="5">
        <v>0.11190599896087286</v>
      </c>
      <c r="G108" s="5"/>
      <c r="H108" s="6">
        <v>2</v>
      </c>
      <c r="I108" s="5">
        <v>1.1111111111111112</v>
      </c>
      <c r="J108" s="5"/>
      <c r="K108" s="3" t="s">
        <v>96</v>
      </c>
      <c r="L108" s="16" t="s">
        <v>96</v>
      </c>
      <c r="N108" s="100">
        <f t="shared" si="9"/>
        <v>0.1</v>
      </c>
      <c r="O108" s="100">
        <f t="shared" si="10"/>
        <v>0.1</v>
      </c>
      <c r="P108" s="100">
        <f t="shared" si="11"/>
        <v>1.1000000000000001</v>
      </c>
      <c r="Q108" s="100" t="e">
        <f t="shared" si="12"/>
        <v>#VALUE!</v>
      </c>
      <c r="R108" s="37"/>
      <c r="S108" s="37"/>
      <c r="T108" s="37"/>
      <c r="U108" s="37"/>
    </row>
    <row r="109" spans="1:21" ht="14.1" customHeight="1" x14ac:dyDescent="0.25">
      <c r="A109" s="61" t="s">
        <v>30</v>
      </c>
      <c r="B109" s="6">
        <v>4587</v>
      </c>
      <c r="C109" s="5">
        <v>6.0958430788858173</v>
      </c>
      <c r="D109" s="5"/>
      <c r="E109" s="6">
        <v>4575</v>
      </c>
      <c r="F109" s="5">
        <v>6.0948803005475405</v>
      </c>
      <c r="G109" s="5"/>
      <c r="H109" s="6">
        <v>11</v>
      </c>
      <c r="I109" s="5">
        <v>6.1111111111111107</v>
      </c>
      <c r="J109" s="5"/>
      <c r="K109" s="3">
        <v>1</v>
      </c>
      <c r="L109" s="16">
        <v>20</v>
      </c>
      <c r="N109" s="100">
        <f t="shared" si="9"/>
        <v>6.1</v>
      </c>
      <c r="O109" s="100">
        <f t="shared" si="10"/>
        <v>6.1</v>
      </c>
      <c r="P109" s="100">
        <f t="shared" si="11"/>
        <v>6.1</v>
      </c>
      <c r="Q109" s="100">
        <f t="shared" si="12"/>
        <v>20</v>
      </c>
      <c r="R109" s="37"/>
      <c r="S109" s="37"/>
      <c r="T109" s="37"/>
      <c r="U109" s="37"/>
    </row>
    <row r="110" spans="1:21" ht="14.1" customHeight="1" x14ac:dyDescent="0.25">
      <c r="A110" s="61" t="s">
        <v>31</v>
      </c>
      <c r="B110" s="6">
        <v>169</v>
      </c>
      <c r="C110" s="5">
        <v>0.22459068679566235</v>
      </c>
      <c r="D110" s="5"/>
      <c r="E110" s="6">
        <v>164</v>
      </c>
      <c r="F110" s="5">
        <v>0.21848314082837084</v>
      </c>
      <c r="G110" s="5"/>
      <c r="H110" s="6">
        <v>5</v>
      </c>
      <c r="I110" s="5">
        <v>2.7777777777777777</v>
      </c>
      <c r="J110" s="5"/>
      <c r="K110" s="3" t="s">
        <v>96</v>
      </c>
      <c r="L110" s="16" t="s">
        <v>96</v>
      </c>
      <c r="N110" s="100">
        <f t="shared" si="9"/>
        <v>0.2</v>
      </c>
      <c r="O110" s="100">
        <f t="shared" si="10"/>
        <v>0.2</v>
      </c>
      <c r="P110" s="100">
        <f t="shared" si="11"/>
        <v>2.8</v>
      </c>
      <c r="Q110" s="100" t="e">
        <f t="shared" si="12"/>
        <v>#VALUE!</v>
      </c>
      <c r="R110" s="37"/>
      <c r="S110" s="37"/>
      <c r="T110" s="37"/>
      <c r="U110" s="37"/>
    </row>
    <row r="111" spans="1:21" ht="14.1" customHeight="1" x14ac:dyDescent="0.25">
      <c r="A111" s="61" t="s">
        <v>32</v>
      </c>
      <c r="B111" s="6">
        <v>642</v>
      </c>
      <c r="C111" s="5">
        <v>0.85317882202849238</v>
      </c>
      <c r="D111" s="5"/>
      <c r="E111" s="6">
        <v>637</v>
      </c>
      <c r="F111" s="5">
        <v>0.8486204921199525</v>
      </c>
      <c r="G111" s="5"/>
      <c r="H111" s="6">
        <v>5</v>
      </c>
      <c r="I111" s="5">
        <v>2.7777777777777777</v>
      </c>
      <c r="J111" s="5"/>
      <c r="K111" s="3" t="s">
        <v>96</v>
      </c>
      <c r="L111" s="16" t="s">
        <v>96</v>
      </c>
      <c r="N111" s="100">
        <f t="shared" si="9"/>
        <v>0.9</v>
      </c>
      <c r="O111" s="100">
        <f t="shared" si="10"/>
        <v>0.8</v>
      </c>
      <c r="P111" s="100">
        <f t="shared" si="11"/>
        <v>2.8</v>
      </c>
      <c r="Q111" s="100" t="e">
        <f t="shared" si="12"/>
        <v>#VALUE!</v>
      </c>
      <c r="R111" s="37"/>
      <c r="S111" s="37"/>
      <c r="T111" s="37"/>
      <c r="U111" s="37"/>
    </row>
    <row r="112" spans="1:21" ht="14.1" customHeight="1" x14ac:dyDescent="0.25">
      <c r="A112" s="61" t="s">
        <v>33</v>
      </c>
      <c r="B112" s="6">
        <v>35394</v>
      </c>
      <c r="C112" s="5">
        <v>46.936466085477356</v>
      </c>
      <c r="D112" s="5"/>
      <c r="E112" s="6">
        <v>35301</v>
      </c>
      <c r="F112" s="5">
        <v>47.028496063306825</v>
      </c>
      <c r="G112" s="5"/>
      <c r="H112" s="6">
        <v>91</v>
      </c>
      <c r="I112" s="5">
        <v>50.555555555555557</v>
      </c>
      <c r="J112" s="5"/>
      <c r="K112" s="3">
        <v>2</v>
      </c>
      <c r="L112" s="16">
        <v>40</v>
      </c>
      <c r="N112" s="100">
        <f t="shared" si="9"/>
        <v>46.9</v>
      </c>
      <c r="O112" s="100">
        <f t="shared" si="10"/>
        <v>47</v>
      </c>
      <c r="P112" s="100">
        <f t="shared" si="11"/>
        <v>50.6</v>
      </c>
      <c r="Q112" s="100">
        <f t="shared" si="12"/>
        <v>40</v>
      </c>
      <c r="R112" s="37"/>
      <c r="S112" s="37"/>
      <c r="T112" s="37"/>
      <c r="U112" s="37"/>
    </row>
    <row r="113" spans="1:21" ht="14.1" customHeight="1" x14ac:dyDescent="0.25">
      <c r="A113" s="61" t="s">
        <v>34</v>
      </c>
      <c r="B113" s="6">
        <v>5396</v>
      </c>
      <c r="C113" s="5">
        <v>7.1709547097597275</v>
      </c>
      <c r="D113" s="5"/>
      <c r="E113" s="6">
        <v>5370</v>
      </c>
      <c r="F113" s="5">
        <v>7.1539906478558013</v>
      </c>
      <c r="G113" s="5"/>
      <c r="H113" s="6">
        <v>26</v>
      </c>
      <c r="I113" s="5">
        <v>14.444444444444443</v>
      </c>
      <c r="J113" s="5"/>
      <c r="K113" s="3" t="s">
        <v>96</v>
      </c>
      <c r="L113" s="16" t="s">
        <v>96</v>
      </c>
      <c r="N113" s="100">
        <f t="shared" si="9"/>
        <v>7.2</v>
      </c>
      <c r="O113" s="100">
        <f t="shared" si="10"/>
        <v>7.2</v>
      </c>
      <c r="P113" s="100">
        <f t="shared" si="11"/>
        <v>14.4</v>
      </c>
      <c r="Q113" s="100" t="e">
        <f t="shared" si="12"/>
        <v>#VALUE!</v>
      </c>
      <c r="R113" s="37"/>
      <c r="S113" s="37"/>
      <c r="T113" s="37"/>
      <c r="U113" s="37"/>
    </row>
    <row r="114" spans="1:21" ht="14.1" customHeight="1" x14ac:dyDescent="0.25">
      <c r="A114" s="61" t="s">
        <v>67</v>
      </c>
      <c r="B114" s="6">
        <v>267</v>
      </c>
      <c r="C114" s="5">
        <v>0.35482670635764407</v>
      </c>
      <c r="D114" s="5"/>
      <c r="E114" s="6">
        <v>267</v>
      </c>
      <c r="F114" s="5">
        <v>0.35570121098277446</v>
      </c>
      <c r="G114" s="5"/>
      <c r="H114" s="3" t="s">
        <v>96</v>
      </c>
      <c r="I114" s="3" t="s">
        <v>96</v>
      </c>
      <c r="J114" s="5"/>
      <c r="K114" s="3" t="s">
        <v>96</v>
      </c>
      <c r="L114" s="16" t="s">
        <v>96</v>
      </c>
      <c r="N114" s="100">
        <f t="shared" si="9"/>
        <v>0.4</v>
      </c>
      <c r="O114" s="100">
        <f t="shared" si="10"/>
        <v>0.4</v>
      </c>
      <c r="P114" s="100" t="e">
        <f t="shared" si="11"/>
        <v>#VALUE!</v>
      </c>
      <c r="Q114" s="100" t="e">
        <f t="shared" si="12"/>
        <v>#VALUE!</v>
      </c>
      <c r="R114" s="37"/>
      <c r="S114" s="37"/>
      <c r="T114" s="37"/>
      <c r="U114" s="37"/>
    </row>
    <row r="115" spans="1:21" ht="14.1" customHeight="1" x14ac:dyDescent="0.25">
      <c r="A115" s="61" t="s">
        <v>70</v>
      </c>
      <c r="B115" s="6">
        <v>5960</v>
      </c>
      <c r="C115" s="5">
        <v>7.9204762917286846</v>
      </c>
      <c r="D115" s="5"/>
      <c r="E115" s="6">
        <v>5956</v>
      </c>
      <c r="F115" s="5">
        <v>7.9346682120352243</v>
      </c>
      <c r="G115" s="5"/>
      <c r="H115" s="6">
        <v>4</v>
      </c>
      <c r="I115" s="5">
        <v>2.2222222222222223</v>
      </c>
      <c r="J115" s="5"/>
      <c r="K115" s="3" t="s">
        <v>96</v>
      </c>
      <c r="L115" s="16" t="s">
        <v>96</v>
      </c>
      <c r="N115" s="100">
        <f t="shared" si="9"/>
        <v>7.9</v>
      </c>
      <c r="O115" s="100">
        <f t="shared" si="10"/>
        <v>7.9</v>
      </c>
      <c r="P115" s="100">
        <f t="shared" si="11"/>
        <v>2.2000000000000002</v>
      </c>
      <c r="Q115" s="100" t="e">
        <f t="shared" si="12"/>
        <v>#VALUE!</v>
      </c>
      <c r="R115" s="37"/>
      <c r="S115" s="37"/>
      <c r="T115" s="37"/>
      <c r="U115" s="37"/>
    </row>
    <row r="116" spans="1:21" ht="14.1" customHeight="1" x14ac:dyDescent="0.25">
      <c r="A116" s="61" t="s">
        <v>35</v>
      </c>
      <c r="B116" s="6">
        <v>1355</v>
      </c>
      <c r="C116" s="5">
        <v>1.8007123112906656</v>
      </c>
      <c r="D116" s="5"/>
      <c r="E116" s="6">
        <v>1354</v>
      </c>
      <c r="F116" s="5">
        <v>1.8038181261074031</v>
      </c>
      <c r="G116" s="5"/>
      <c r="H116" s="6">
        <v>1</v>
      </c>
      <c r="I116" s="5">
        <v>0.55555555555555558</v>
      </c>
      <c r="J116" s="5"/>
      <c r="K116" s="3" t="s">
        <v>96</v>
      </c>
      <c r="L116" s="16" t="s">
        <v>96</v>
      </c>
      <c r="N116" s="100">
        <f t="shared" si="9"/>
        <v>1.8</v>
      </c>
      <c r="O116" s="100">
        <f t="shared" si="10"/>
        <v>1.8</v>
      </c>
      <c r="P116" s="100">
        <f t="shared" si="11"/>
        <v>0.6</v>
      </c>
      <c r="Q116" s="100" t="e">
        <f t="shared" si="12"/>
        <v>#VALUE!</v>
      </c>
      <c r="R116" s="37"/>
      <c r="S116" s="37"/>
      <c r="T116" s="37"/>
      <c r="U116" s="37"/>
    </row>
    <row r="117" spans="1:21" ht="14.1" customHeight="1" x14ac:dyDescent="0.25">
      <c r="A117" s="61" t="s">
        <v>36</v>
      </c>
      <c r="B117" s="6">
        <v>5482</v>
      </c>
      <c r="C117" s="5">
        <v>7.2852434616202428</v>
      </c>
      <c r="D117" s="5"/>
      <c r="E117" s="6">
        <v>5470</v>
      </c>
      <c r="F117" s="5">
        <v>7.2872120751901734</v>
      </c>
      <c r="G117" s="5"/>
      <c r="H117" s="6">
        <v>11</v>
      </c>
      <c r="I117" s="5">
        <v>6.1111111111111107</v>
      </c>
      <c r="J117" s="5"/>
      <c r="K117" s="3">
        <v>1</v>
      </c>
      <c r="L117" s="16">
        <v>20</v>
      </c>
      <c r="N117" s="100">
        <f t="shared" si="9"/>
        <v>7.3</v>
      </c>
      <c r="O117" s="100">
        <f t="shared" si="10"/>
        <v>7.3</v>
      </c>
      <c r="P117" s="100">
        <f t="shared" si="11"/>
        <v>6.1</v>
      </c>
      <c r="Q117" s="100">
        <f t="shared" si="12"/>
        <v>20</v>
      </c>
      <c r="R117" s="37"/>
      <c r="S117" s="37"/>
      <c r="T117" s="37"/>
      <c r="U117" s="37"/>
    </row>
    <row r="118" spans="1:21" ht="14.1" customHeight="1" x14ac:dyDescent="0.25">
      <c r="A118" s="61" t="s">
        <v>37</v>
      </c>
      <c r="B118" s="6">
        <v>15771</v>
      </c>
      <c r="C118" s="5">
        <v>20.9586965766532</v>
      </c>
      <c r="D118" s="5"/>
      <c r="E118" s="6">
        <v>15755</v>
      </c>
      <c r="F118" s="5">
        <v>20.98903587653038</v>
      </c>
      <c r="G118" s="5"/>
      <c r="H118" s="6">
        <v>16</v>
      </c>
      <c r="I118" s="5">
        <v>8.8888888888888893</v>
      </c>
      <c r="J118" s="5"/>
      <c r="K118" s="3" t="s">
        <v>96</v>
      </c>
      <c r="L118" s="16" t="s">
        <v>96</v>
      </c>
      <c r="N118" s="100">
        <f t="shared" si="9"/>
        <v>21</v>
      </c>
      <c r="O118" s="100">
        <f t="shared" si="10"/>
        <v>21</v>
      </c>
      <c r="P118" s="100">
        <f t="shared" si="11"/>
        <v>8.9</v>
      </c>
      <c r="Q118" s="100" t="e">
        <f t="shared" si="12"/>
        <v>#VALUE!</v>
      </c>
      <c r="R118" s="37"/>
      <c r="S118" s="37"/>
      <c r="T118" s="37"/>
      <c r="U118" s="37"/>
    </row>
    <row r="119" spans="1:21" ht="14.1" customHeight="1" x14ac:dyDescent="0.25">
      <c r="A119" s="61"/>
      <c r="B119" s="6"/>
      <c r="C119" s="5"/>
      <c r="D119" s="5"/>
      <c r="E119" s="6"/>
      <c r="F119" s="5"/>
      <c r="G119" s="5"/>
      <c r="H119" s="6"/>
      <c r="I119" s="5"/>
      <c r="J119" s="5"/>
      <c r="K119" s="6"/>
      <c r="L119" s="5"/>
      <c r="N119" s="100">
        <f t="shared" si="9"/>
        <v>0</v>
      </c>
      <c r="O119" s="100">
        <f t="shared" si="10"/>
        <v>0</v>
      </c>
      <c r="P119" s="100">
        <f t="shared" si="11"/>
        <v>0</v>
      </c>
      <c r="Q119" s="100">
        <f t="shared" si="12"/>
        <v>0</v>
      </c>
      <c r="R119" s="37"/>
      <c r="S119" s="37"/>
      <c r="T119" s="37"/>
      <c r="U119" s="37"/>
    </row>
    <row r="120" spans="1:21" ht="14.1" customHeight="1" x14ac:dyDescent="0.25">
      <c r="A120" s="63" t="s">
        <v>17</v>
      </c>
      <c r="B120" s="9">
        <v>90694</v>
      </c>
      <c r="C120" s="15">
        <v>100</v>
      </c>
      <c r="D120" s="15"/>
      <c r="E120" s="9">
        <v>90463</v>
      </c>
      <c r="F120" s="15">
        <v>100</v>
      </c>
      <c r="G120" s="15"/>
      <c r="H120" s="9">
        <v>223</v>
      </c>
      <c r="I120" s="15">
        <v>100</v>
      </c>
      <c r="J120" s="15"/>
      <c r="K120" s="9">
        <v>8</v>
      </c>
      <c r="L120" s="15">
        <v>100</v>
      </c>
      <c r="N120" s="100">
        <f>SUM(N121:N132)</f>
        <v>100</v>
      </c>
      <c r="O120" s="100">
        <f t="shared" ref="O120:Q120" si="15">SUM(O121:O132)</f>
        <v>100.00000000000001</v>
      </c>
      <c r="P120" s="100" t="e">
        <f t="shared" si="15"/>
        <v>#VALUE!</v>
      </c>
      <c r="Q120" s="100" t="e">
        <f t="shared" si="15"/>
        <v>#VALUE!</v>
      </c>
      <c r="R120" s="37"/>
      <c r="S120" s="37"/>
      <c r="T120" s="37"/>
      <c r="U120" s="37"/>
    </row>
    <row r="121" spans="1:21" ht="14.1" customHeight="1" x14ac:dyDescent="0.25">
      <c r="A121" s="61" t="s">
        <v>57</v>
      </c>
      <c r="B121" s="6">
        <v>1022</v>
      </c>
      <c r="C121" s="5">
        <v>1.1268661653472114</v>
      </c>
      <c r="D121" s="5"/>
      <c r="E121" s="6">
        <v>1020</v>
      </c>
      <c r="F121" s="5">
        <v>1.1275328034666106</v>
      </c>
      <c r="G121" s="5"/>
      <c r="H121" s="6">
        <v>2</v>
      </c>
      <c r="I121" s="5">
        <v>0.89686098654708524</v>
      </c>
      <c r="J121" s="5"/>
      <c r="K121" s="3" t="s">
        <v>96</v>
      </c>
      <c r="L121" s="16" t="s">
        <v>96</v>
      </c>
      <c r="N121" s="100">
        <f t="shared" si="9"/>
        <v>1.1000000000000001</v>
      </c>
      <c r="O121" s="100">
        <f t="shared" si="10"/>
        <v>1.1000000000000001</v>
      </c>
      <c r="P121" s="100">
        <f t="shared" si="11"/>
        <v>0.9</v>
      </c>
      <c r="Q121" s="100" t="e">
        <f t="shared" si="12"/>
        <v>#VALUE!</v>
      </c>
      <c r="R121" s="37"/>
      <c r="S121" s="37"/>
      <c r="T121" s="37"/>
      <c r="U121" s="37"/>
    </row>
    <row r="122" spans="1:21" ht="14.1" customHeight="1" x14ac:dyDescent="0.25">
      <c r="A122" s="61" t="s">
        <v>29</v>
      </c>
      <c r="B122" s="6">
        <v>1046</v>
      </c>
      <c r="C122" s="5">
        <v>1.1533287758837409</v>
      </c>
      <c r="D122" s="5"/>
      <c r="E122" s="6">
        <v>1040</v>
      </c>
      <c r="F122" s="5">
        <v>1.1496412898090933</v>
      </c>
      <c r="G122" s="5"/>
      <c r="H122" s="6">
        <v>6</v>
      </c>
      <c r="I122" s="5">
        <v>2.6905829596412558</v>
      </c>
      <c r="J122" s="5"/>
      <c r="K122" s="3" t="s">
        <v>96</v>
      </c>
      <c r="L122" s="16" t="s">
        <v>96</v>
      </c>
      <c r="N122" s="100">
        <f t="shared" si="9"/>
        <v>1.2</v>
      </c>
      <c r="O122" s="100">
        <f t="shared" si="10"/>
        <v>1.1000000000000001</v>
      </c>
      <c r="P122" s="100">
        <f t="shared" si="11"/>
        <v>2.7</v>
      </c>
      <c r="Q122" s="100" t="e">
        <f t="shared" si="12"/>
        <v>#VALUE!</v>
      </c>
      <c r="R122" s="37"/>
      <c r="S122" s="37"/>
      <c r="T122" s="37"/>
      <c r="U122" s="37"/>
    </row>
    <row r="123" spans="1:21" ht="14.1" customHeight="1" x14ac:dyDescent="0.25">
      <c r="A123" s="61" t="s">
        <v>30</v>
      </c>
      <c r="B123" s="6">
        <v>6904</v>
      </c>
      <c r="C123" s="5">
        <v>7.6124109643416329</v>
      </c>
      <c r="D123" s="5"/>
      <c r="E123" s="6">
        <v>6899</v>
      </c>
      <c r="F123" s="5">
        <v>7.6263223638393596</v>
      </c>
      <c r="G123" s="5"/>
      <c r="H123" s="6">
        <v>5</v>
      </c>
      <c r="I123" s="5">
        <v>2.2421524663677128</v>
      </c>
      <c r="J123" s="5"/>
      <c r="K123" s="3" t="s">
        <v>96</v>
      </c>
      <c r="L123" s="16" t="s">
        <v>96</v>
      </c>
      <c r="N123" s="100">
        <f t="shared" si="9"/>
        <v>7.6</v>
      </c>
      <c r="O123" s="100">
        <f t="shared" si="10"/>
        <v>7.6</v>
      </c>
      <c r="P123" s="100">
        <f t="shared" si="11"/>
        <v>2.2000000000000002</v>
      </c>
      <c r="Q123" s="100" t="e">
        <f t="shared" si="12"/>
        <v>#VALUE!</v>
      </c>
      <c r="R123" s="37"/>
      <c r="S123" s="37"/>
      <c r="T123" s="37"/>
      <c r="U123" s="37"/>
    </row>
    <row r="124" spans="1:21" ht="14.1" customHeight="1" x14ac:dyDescent="0.25">
      <c r="A124" s="61" t="s">
        <v>31</v>
      </c>
      <c r="B124" s="6">
        <v>69</v>
      </c>
      <c r="C124" s="5">
        <v>7.608000529252211E-2</v>
      </c>
      <c r="D124" s="5"/>
      <c r="E124" s="6">
        <v>69</v>
      </c>
      <c r="F124" s="5">
        <v>7.6274277881564836E-2</v>
      </c>
      <c r="G124" s="5"/>
      <c r="H124" s="3" t="s">
        <v>96</v>
      </c>
      <c r="I124" s="3" t="s">
        <v>96</v>
      </c>
      <c r="J124" s="5"/>
      <c r="K124" s="3" t="s">
        <v>96</v>
      </c>
      <c r="L124" s="16" t="s">
        <v>96</v>
      </c>
      <c r="N124" s="100">
        <f t="shared" si="9"/>
        <v>0.1</v>
      </c>
      <c r="O124" s="100">
        <f t="shared" si="10"/>
        <v>0.1</v>
      </c>
      <c r="P124" s="100" t="e">
        <f t="shared" si="11"/>
        <v>#VALUE!</v>
      </c>
      <c r="Q124" s="100" t="e">
        <f t="shared" si="12"/>
        <v>#VALUE!</v>
      </c>
      <c r="R124" s="37"/>
      <c r="S124" s="37"/>
      <c r="T124" s="37"/>
      <c r="U124" s="37"/>
    </row>
    <row r="125" spans="1:21" ht="14.1" customHeight="1" x14ac:dyDescent="0.25">
      <c r="A125" s="61" t="s">
        <v>32</v>
      </c>
      <c r="B125" s="6">
        <v>753</v>
      </c>
      <c r="C125" s="5">
        <v>0.83026440558361081</v>
      </c>
      <c r="D125" s="5"/>
      <c r="E125" s="6">
        <v>747</v>
      </c>
      <c r="F125" s="5">
        <v>0.82575196489172376</v>
      </c>
      <c r="G125" s="5"/>
      <c r="H125" s="6">
        <v>5</v>
      </c>
      <c r="I125" s="5">
        <v>2.2421524663677128</v>
      </c>
      <c r="J125" s="5"/>
      <c r="K125" s="3">
        <v>1</v>
      </c>
      <c r="L125" s="16">
        <v>12.5</v>
      </c>
      <c r="N125" s="100">
        <f t="shared" si="9"/>
        <v>0.8</v>
      </c>
      <c r="O125" s="100">
        <f t="shared" si="10"/>
        <v>0.8</v>
      </c>
      <c r="P125" s="100">
        <f t="shared" si="11"/>
        <v>2.2000000000000002</v>
      </c>
      <c r="Q125" s="100">
        <f t="shared" si="12"/>
        <v>12.5</v>
      </c>
      <c r="R125" s="37"/>
      <c r="S125" s="37"/>
      <c r="T125" s="37"/>
      <c r="U125" s="37"/>
    </row>
    <row r="126" spans="1:21" ht="14.1" customHeight="1" x14ac:dyDescent="0.25">
      <c r="A126" s="61" t="s">
        <v>33</v>
      </c>
      <c r="B126" s="6">
        <v>46258</v>
      </c>
      <c r="C126" s="5">
        <v>51.004476591615763</v>
      </c>
      <c r="D126" s="5"/>
      <c r="E126" s="6">
        <v>46111</v>
      </c>
      <c r="F126" s="5">
        <v>51.072220686910676</v>
      </c>
      <c r="G126" s="5"/>
      <c r="H126" s="6">
        <v>141</v>
      </c>
      <c r="I126" s="5">
        <v>63.328699551569514</v>
      </c>
      <c r="J126" s="5"/>
      <c r="K126" s="3">
        <v>6</v>
      </c>
      <c r="L126" s="16">
        <v>75</v>
      </c>
      <c r="N126" s="100">
        <f t="shared" si="9"/>
        <v>51</v>
      </c>
      <c r="O126" s="100">
        <f t="shared" si="10"/>
        <v>51.1</v>
      </c>
      <c r="P126" s="100">
        <f t="shared" si="11"/>
        <v>63.3</v>
      </c>
      <c r="Q126" s="100">
        <f t="shared" si="12"/>
        <v>75</v>
      </c>
      <c r="R126" s="37"/>
      <c r="S126" s="37"/>
      <c r="T126" s="37"/>
      <c r="U126" s="37"/>
    </row>
    <row r="127" spans="1:21" ht="14.1" customHeight="1" x14ac:dyDescent="0.25">
      <c r="A127" s="61" t="s">
        <v>34</v>
      </c>
      <c r="B127" s="6">
        <v>4630</v>
      </c>
      <c r="C127" s="5">
        <v>5.1050786160054695</v>
      </c>
      <c r="D127" s="5"/>
      <c r="E127" s="6">
        <v>4594</v>
      </c>
      <c r="F127" s="5">
        <v>5.0783193128682447</v>
      </c>
      <c r="G127" s="5"/>
      <c r="H127" s="6">
        <v>35</v>
      </c>
      <c r="I127" s="5">
        <v>15.795067264573992</v>
      </c>
      <c r="J127" s="5"/>
      <c r="K127" s="3">
        <v>1</v>
      </c>
      <c r="L127" s="16">
        <v>12.5</v>
      </c>
      <c r="N127" s="100">
        <f t="shared" si="9"/>
        <v>5.0999999999999996</v>
      </c>
      <c r="O127" s="100">
        <f t="shared" si="10"/>
        <v>5.0999999999999996</v>
      </c>
      <c r="P127" s="100">
        <f t="shared" si="11"/>
        <v>15.8</v>
      </c>
      <c r="Q127" s="100">
        <f t="shared" si="12"/>
        <v>12.5</v>
      </c>
      <c r="R127" s="37"/>
      <c r="S127" s="37"/>
      <c r="T127" s="37"/>
      <c r="U127" s="37"/>
    </row>
    <row r="128" spans="1:21" ht="14.1" customHeight="1" x14ac:dyDescent="0.25">
      <c r="A128" s="61" t="s">
        <v>67</v>
      </c>
      <c r="B128" s="6">
        <v>2217</v>
      </c>
      <c r="C128" s="5">
        <v>2.4444836483119059</v>
      </c>
      <c r="D128" s="5"/>
      <c r="E128" s="6">
        <v>2216</v>
      </c>
      <c r="F128" s="5">
        <v>2.4496202867470682</v>
      </c>
      <c r="G128" s="5"/>
      <c r="H128" s="6">
        <v>1</v>
      </c>
      <c r="I128" s="5">
        <v>0.44843049327354262</v>
      </c>
      <c r="J128" s="5"/>
      <c r="K128" s="3" t="s">
        <v>96</v>
      </c>
      <c r="L128" s="16" t="s">
        <v>96</v>
      </c>
      <c r="N128" s="100">
        <f t="shared" si="9"/>
        <v>2.4</v>
      </c>
      <c r="O128" s="100">
        <f t="shared" si="10"/>
        <v>2.4</v>
      </c>
      <c r="P128" s="100">
        <f t="shared" si="11"/>
        <v>0.4</v>
      </c>
      <c r="Q128" s="100" t="e">
        <f t="shared" si="12"/>
        <v>#VALUE!</v>
      </c>
      <c r="R128" s="37"/>
      <c r="S128" s="37"/>
      <c r="T128" s="37"/>
      <c r="U128" s="37"/>
    </row>
    <row r="129" spans="1:21" ht="14.1" customHeight="1" x14ac:dyDescent="0.25">
      <c r="A129" s="61" t="s">
        <v>70</v>
      </c>
      <c r="B129" s="6">
        <v>10897</v>
      </c>
      <c r="C129" s="5">
        <v>12.015127792356715</v>
      </c>
      <c r="D129" s="5"/>
      <c r="E129" s="6">
        <v>10891</v>
      </c>
      <c r="F129" s="5">
        <v>12.039176237798879</v>
      </c>
      <c r="G129" s="5"/>
      <c r="H129" s="6">
        <v>6</v>
      </c>
      <c r="I129" s="5">
        <v>2.6905829596412558</v>
      </c>
      <c r="J129" s="5"/>
      <c r="K129" s="3" t="s">
        <v>96</v>
      </c>
      <c r="L129" s="16" t="s">
        <v>96</v>
      </c>
      <c r="N129" s="100">
        <f t="shared" si="9"/>
        <v>12</v>
      </c>
      <c r="O129" s="100">
        <f t="shared" si="10"/>
        <v>12</v>
      </c>
      <c r="P129" s="100">
        <f t="shared" si="11"/>
        <v>2.7</v>
      </c>
      <c r="Q129" s="100" t="e">
        <f t="shared" si="12"/>
        <v>#VALUE!</v>
      </c>
      <c r="R129" s="37"/>
      <c r="S129" s="37"/>
      <c r="T129" s="37"/>
      <c r="U129" s="37"/>
    </row>
    <row r="130" spans="1:21" ht="14.1" customHeight="1" x14ac:dyDescent="0.25">
      <c r="A130" s="61" t="s">
        <v>35</v>
      </c>
      <c r="B130" s="6">
        <v>1167</v>
      </c>
      <c r="C130" s="5">
        <v>1.2867444373387433</v>
      </c>
      <c r="D130" s="5"/>
      <c r="E130" s="6">
        <v>1166</v>
      </c>
      <c r="F130" s="5">
        <v>1.2889247537667334</v>
      </c>
      <c r="G130" s="5"/>
      <c r="H130" s="6">
        <v>1</v>
      </c>
      <c r="I130" s="5">
        <v>0.44843049327354262</v>
      </c>
      <c r="J130" s="5"/>
      <c r="K130" s="3" t="s">
        <v>96</v>
      </c>
      <c r="L130" s="16" t="s">
        <v>96</v>
      </c>
      <c r="N130" s="100">
        <f t="shared" si="9"/>
        <v>1.3</v>
      </c>
      <c r="O130" s="100">
        <f t="shared" si="10"/>
        <v>1.3</v>
      </c>
      <c r="P130" s="100">
        <f t="shared" si="11"/>
        <v>0.4</v>
      </c>
      <c r="Q130" s="100" t="e">
        <f t="shared" si="12"/>
        <v>#VALUE!</v>
      </c>
      <c r="R130" s="37"/>
      <c r="S130" s="37"/>
      <c r="T130" s="37"/>
      <c r="U130" s="37"/>
    </row>
    <row r="131" spans="1:21" ht="14.1" customHeight="1" x14ac:dyDescent="0.25">
      <c r="A131" s="61" t="s">
        <v>36</v>
      </c>
      <c r="B131" s="6">
        <v>6328</v>
      </c>
      <c r="C131" s="5">
        <v>6.9773083114649266</v>
      </c>
      <c r="D131" s="5"/>
      <c r="E131" s="6">
        <v>6313</v>
      </c>
      <c r="F131" s="5">
        <v>6.97854371400462</v>
      </c>
      <c r="G131" s="5"/>
      <c r="H131" s="6">
        <v>15</v>
      </c>
      <c r="I131" s="5">
        <v>6.7264573991031389</v>
      </c>
      <c r="J131" s="5"/>
      <c r="K131" s="3" t="s">
        <v>96</v>
      </c>
      <c r="L131" s="16" t="s">
        <v>96</v>
      </c>
      <c r="N131" s="100">
        <f t="shared" si="9"/>
        <v>7</v>
      </c>
      <c r="O131" s="100">
        <f t="shared" si="10"/>
        <v>7</v>
      </c>
      <c r="P131" s="100">
        <f t="shared" si="11"/>
        <v>6.7</v>
      </c>
      <c r="Q131" s="100" t="e">
        <f t="shared" si="12"/>
        <v>#VALUE!</v>
      </c>
      <c r="R131" s="37"/>
      <c r="S131" s="37"/>
      <c r="T131" s="37"/>
      <c r="U131" s="37"/>
    </row>
    <row r="132" spans="1:21" ht="14.1" customHeight="1" x14ac:dyDescent="0.25">
      <c r="A132" s="61" t="s">
        <v>37</v>
      </c>
      <c r="B132" s="6">
        <v>9403</v>
      </c>
      <c r="C132" s="5">
        <v>10.367830286457759</v>
      </c>
      <c r="D132" s="5"/>
      <c r="E132" s="6">
        <v>9397</v>
      </c>
      <c r="F132" s="5">
        <v>10.387672308015432</v>
      </c>
      <c r="G132" s="5"/>
      <c r="H132" s="6">
        <v>6</v>
      </c>
      <c r="I132" s="5">
        <v>2.6905829596412558</v>
      </c>
      <c r="J132" s="5"/>
      <c r="K132" s="3" t="s">
        <v>96</v>
      </c>
      <c r="L132" s="16" t="s">
        <v>96</v>
      </c>
      <c r="N132" s="100">
        <f t="shared" si="9"/>
        <v>10.4</v>
      </c>
      <c r="O132" s="100">
        <f t="shared" si="10"/>
        <v>10.4</v>
      </c>
      <c r="P132" s="100">
        <f t="shared" si="11"/>
        <v>2.7</v>
      </c>
      <c r="Q132" s="100" t="e">
        <f t="shared" si="12"/>
        <v>#VALUE!</v>
      </c>
      <c r="R132" s="37"/>
      <c r="S132" s="37"/>
      <c r="T132" s="37"/>
      <c r="U132" s="37"/>
    </row>
    <row r="133" spans="1:21" ht="14.1" customHeight="1" x14ac:dyDescent="0.25">
      <c r="A133" s="61"/>
      <c r="B133" s="6"/>
      <c r="C133" s="5"/>
      <c r="D133" s="5"/>
      <c r="E133" s="6"/>
      <c r="F133" s="5"/>
      <c r="G133" s="5"/>
      <c r="H133" s="6"/>
      <c r="I133" s="5"/>
      <c r="J133" s="5"/>
      <c r="K133" s="9"/>
      <c r="L133" s="15"/>
      <c r="N133" s="100">
        <f t="shared" si="9"/>
        <v>0</v>
      </c>
      <c r="O133" s="100">
        <f t="shared" si="10"/>
        <v>0</v>
      </c>
      <c r="P133" s="100">
        <f t="shared" si="11"/>
        <v>0</v>
      </c>
      <c r="Q133" s="100">
        <f t="shared" si="12"/>
        <v>0</v>
      </c>
      <c r="R133" s="37"/>
      <c r="S133" s="37"/>
      <c r="T133" s="37"/>
      <c r="U133" s="37"/>
    </row>
    <row r="134" spans="1:21" ht="14.1" customHeight="1" x14ac:dyDescent="0.25">
      <c r="A134" s="63" t="s">
        <v>16</v>
      </c>
      <c r="B134" s="9">
        <v>11788</v>
      </c>
      <c r="C134" s="15">
        <v>100</v>
      </c>
      <c r="D134" s="15"/>
      <c r="E134" s="9">
        <v>11761</v>
      </c>
      <c r="F134" s="15">
        <v>100</v>
      </c>
      <c r="G134" s="15"/>
      <c r="H134" s="9">
        <v>27</v>
      </c>
      <c r="I134" s="15">
        <v>100</v>
      </c>
      <c r="J134" s="15"/>
      <c r="K134" s="8" t="s">
        <v>96</v>
      </c>
      <c r="L134" s="8" t="s">
        <v>96</v>
      </c>
      <c r="N134" s="100">
        <f>SUM(N135:N146)</f>
        <v>100.00000000000001</v>
      </c>
      <c r="O134" s="100">
        <f>SUM(O135:O146)</f>
        <v>100</v>
      </c>
      <c r="P134" s="100" t="e">
        <f>SUM(P135:P146)</f>
        <v>#VALUE!</v>
      </c>
      <c r="Q134" s="100" t="e">
        <f>SUM(Q135:Q147)</f>
        <v>#VALUE!</v>
      </c>
      <c r="R134" s="37"/>
      <c r="S134" s="37"/>
      <c r="T134" s="37"/>
      <c r="U134" s="37"/>
    </row>
    <row r="135" spans="1:21" ht="14.1" customHeight="1" x14ac:dyDescent="0.25">
      <c r="A135" s="61" t="s">
        <v>57</v>
      </c>
      <c r="B135" s="6">
        <v>447</v>
      </c>
      <c r="C135" s="5">
        <v>3.7919918561248727</v>
      </c>
      <c r="D135" s="5"/>
      <c r="E135" s="6">
        <v>447</v>
      </c>
      <c r="F135" s="5">
        <v>3.8006972196241815</v>
      </c>
      <c r="G135" s="5"/>
      <c r="H135" s="3" t="s">
        <v>96</v>
      </c>
      <c r="I135" s="16" t="s">
        <v>96</v>
      </c>
      <c r="J135" s="5"/>
      <c r="K135" s="3" t="s">
        <v>96</v>
      </c>
      <c r="L135" s="3" t="s">
        <v>96</v>
      </c>
      <c r="M135" s="155"/>
      <c r="N135" s="100">
        <f t="shared" si="9"/>
        <v>3.8</v>
      </c>
      <c r="O135" s="100">
        <f t="shared" si="10"/>
        <v>3.8</v>
      </c>
      <c r="P135" s="100" t="e">
        <f t="shared" si="11"/>
        <v>#VALUE!</v>
      </c>
      <c r="Q135" s="100" t="e">
        <f t="shared" si="12"/>
        <v>#VALUE!</v>
      </c>
      <c r="R135" s="37"/>
      <c r="S135" s="37"/>
      <c r="T135" s="37"/>
      <c r="U135" s="37"/>
    </row>
    <row r="136" spans="1:21" ht="14.1" customHeight="1" x14ac:dyDescent="0.25">
      <c r="A136" s="61" t="s">
        <v>29</v>
      </c>
      <c r="B136" s="6">
        <v>349</v>
      </c>
      <c r="C136" s="5">
        <v>2.960637936884968</v>
      </c>
      <c r="D136" s="5"/>
      <c r="E136" s="6">
        <v>348</v>
      </c>
      <c r="F136" s="5">
        <v>2.958932063600034</v>
      </c>
      <c r="G136" s="5"/>
      <c r="H136" s="3">
        <v>1</v>
      </c>
      <c r="I136" s="16">
        <v>3.7037037037037033</v>
      </c>
      <c r="J136" s="5"/>
      <c r="K136" s="3" t="s">
        <v>96</v>
      </c>
      <c r="L136" s="3" t="s">
        <v>96</v>
      </c>
      <c r="N136" s="100">
        <f t="shared" si="9"/>
        <v>3</v>
      </c>
      <c r="O136" s="100">
        <f t="shared" si="10"/>
        <v>3</v>
      </c>
      <c r="P136" s="100">
        <f t="shared" si="11"/>
        <v>3.7</v>
      </c>
      <c r="Q136" s="100" t="e">
        <f t="shared" si="12"/>
        <v>#VALUE!</v>
      </c>
      <c r="R136" s="37"/>
      <c r="S136" s="37"/>
      <c r="T136" s="37"/>
      <c r="U136" s="37"/>
    </row>
    <row r="137" spans="1:21" ht="14.1" customHeight="1" x14ac:dyDescent="0.25">
      <c r="A137" s="61" t="s">
        <v>30</v>
      </c>
      <c r="B137" s="6">
        <v>820</v>
      </c>
      <c r="C137" s="5">
        <v>6.9562266711910414</v>
      </c>
      <c r="D137" s="5"/>
      <c r="E137" s="6">
        <v>820</v>
      </c>
      <c r="F137" s="5">
        <v>6.9721962418161727</v>
      </c>
      <c r="G137" s="5"/>
      <c r="H137" s="3" t="s">
        <v>96</v>
      </c>
      <c r="I137" s="16" t="s">
        <v>96</v>
      </c>
      <c r="J137" s="5"/>
      <c r="K137" s="3" t="s">
        <v>96</v>
      </c>
      <c r="L137" s="3" t="s">
        <v>96</v>
      </c>
      <c r="N137" s="100">
        <f t="shared" si="9"/>
        <v>7</v>
      </c>
      <c r="O137" s="100">
        <f t="shared" si="10"/>
        <v>7</v>
      </c>
      <c r="P137" s="100" t="e">
        <f t="shared" si="11"/>
        <v>#VALUE!</v>
      </c>
      <c r="Q137" s="100" t="e">
        <f t="shared" si="12"/>
        <v>#VALUE!</v>
      </c>
      <c r="R137" s="37"/>
      <c r="S137" s="37"/>
      <c r="T137" s="37"/>
      <c r="U137" s="37"/>
    </row>
    <row r="138" spans="1:21" ht="14.1" customHeight="1" x14ac:dyDescent="0.25">
      <c r="A138" s="61" t="s">
        <v>31</v>
      </c>
      <c r="B138" s="6">
        <v>6</v>
      </c>
      <c r="C138" s="5">
        <v>5.0899219545300307E-2</v>
      </c>
      <c r="D138" s="5"/>
      <c r="E138" s="6">
        <v>6</v>
      </c>
      <c r="F138" s="5">
        <v>5.1016070062069555E-2</v>
      </c>
      <c r="G138" s="5"/>
      <c r="H138" s="3" t="s">
        <v>96</v>
      </c>
      <c r="I138" s="16" t="s">
        <v>96</v>
      </c>
      <c r="J138" s="5"/>
      <c r="K138" s="3" t="s">
        <v>96</v>
      </c>
      <c r="L138" s="3" t="s">
        <v>96</v>
      </c>
      <c r="N138" s="100">
        <f t="shared" si="9"/>
        <v>0.1</v>
      </c>
      <c r="O138" s="100">
        <f t="shared" si="10"/>
        <v>0.1</v>
      </c>
      <c r="P138" s="100" t="e">
        <f t="shared" si="11"/>
        <v>#VALUE!</v>
      </c>
      <c r="Q138" s="100" t="e">
        <f t="shared" si="12"/>
        <v>#VALUE!</v>
      </c>
      <c r="R138" s="37"/>
      <c r="S138" s="37"/>
      <c r="T138" s="37"/>
      <c r="U138" s="37"/>
    </row>
    <row r="139" spans="1:21" ht="14.1" customHeight="1" x14ac:dyDescent="0.25">
      <c r="A139" s="61" t="s">
        <v>32</v>
      </c>
      <c r="B139" s="6">
        <v>165</v>
      </c>
      <c r="C139" s="5">
        <v>1.3997285374957584</v>
      </c>
      <c r="D139" s="5"/>
      <c r="E139" s="6">
        <v>164</v>
      </c>
      <c r="F139" s="5">
        <v>1.3944392483632344</v>
      </c>
      <c r="G139" s="5"/>
      <c r="H139" s="3">
        <v>1</v>
      </c>
      <c r="I139" s="16">
        <v>3.7037037037037033</v>
      </c>
      <c r="J139" s="5"/>
      <c r="K139" s="3" t="s">
        <v>96</v>
      </c>
      <c r="L139" s="3" t="s">
        <v>96</v>
      </c>
      <c r="N139" s="100">
        <f t="shared" si="9"/>
        <v>1.4</v>
      </c>
      <c r="O139" s="100">
        <f t="shared" si="10"/>
        <v>1.4</v>
      </c>
      <c r="P139" s="100">
        <f t="shared" si="11"/>
        <v>3.7</v>
      </c>
      <c r="Q139" s="100" t="e">
        <f t="shared" si="12"/>
        <v>#VALUE!</v>
      </c>
      <c r="R139" s="37"/>
      <c r="S139" s="37"/>
      <c r="T139" s="37"/>
      <c r="U139" s="37"/>
    </row>
    <row r="140" spans="1:21" ht="14.1" customHeight="1" x14ac:dyDescent="0.25">
      <c r="A140" s="61" t="s">
        <v>33</v>
      </c>
      <c r="B140" s="6">
        <v>5609</v>
      </c>
      <c r="C140" s="5">
        <v>47.382287071598228</v>
      </c>
      <c r="D140" s="5"/>
      <c r="E140" s="6">
        <v>5589</v>
      </c>
      <c r="F140" s="5">
        <v>47.321469262817786</v>
      </c>
      <c r="G140" s="5"/>
      <c r="H140" s="3">
        <v>20</v>
      </c>
      <c r="I140" s="16">
        <v>74.074074074074076</v>
      </c>
      <c r="J140" s="5"/>
      <c r="K140" s="3" t="s">
        <v>96</v>
      </c>
      <c r="L140" s="3" t="s">
        <v>96</v>
      </c>
      <c r="N140" s="100">
        <f t="shared" si="9"/>
        <v>47.4</v>
      </c>
      <c r="O140" s="100">
        <f t="shared" si="10"/>
        <v>47.3</v>
      </c>
      <c r="P140" s="100">
        <f t="shared" si="11"/>
        <v>74.099999999999994</v>
      </c>
      <c r="Q140" s="100" t="e">
        <f t="shared" si="12"/>
        <v>#VALUE!</v>
      </c>
      <c r="R140" s="37"/>
      <c r="S140" s="37"/>
      <c r="T140" s="37"/>
      <c r="U140" s="37"/>
    </row>
    <row r="141" spans="1:21" ht="14.1" customHeight="1" x14ac:dyDescent="0.25">
      <c r="A141" s="61" t="s">
        <v>34</v>
      </c>
      <c r="B141" s="6">
        <v>754</v>
      </c>
      <c r="C141" s="5">
        <v>6.3963352561927378</v>
      </c>
      <c r="D141" s="5"/>
      <c r="E141" s="6">
        <v>750</v>
      </c>
      <c r="F141" s="5">
        <v>6.377008757758694</v>
      </c>
      <c r="G141" s="5"/>
      <c r="H141" s="3">
        <v>4</v>
      </c>
      <c r="I141" s="16">
        <v>14.814814814814813</v>
      </c>
      <c r="J141" s="5"/>
      <c r="K141" s="3" t="s">
        <v>96</v>
      </c>
      <c r="L141" s="3" t="s">
        <v>96</v>
      </c>
      <c r="N141" s="100">
        <f t="shared" si="9"/>
        <v>6.4</v>
      </c>
      <c r="O141" s="100">
        <f t="shared" si="10"/>
        <v>6.4</v>
      </c>
      <c r="P141" s="100">
        <f t="shared" si="11"/>
        <v>14.8</v>
      </c>
      <c r="Q141" s="100" t="e">
        <f t="shared" si="12"/>
        <v>#VALUE!</v>
      </c>
      <c r="R141" s="37"/>
      <c r="S141" s="37"/>
      <c r="T141" s="37"/>
      <c r="U141" s="37"/>
    </row>
    <row r="142" spans="1:21" ht="14.1" customHeight="1" x14ac:dyDescent="0.25">
      <c r="A142" s="61" t="s">
        <v>67</v>
      </c>
      <c r="B142" s="6">
        <v>197</v>
      </c>
      <c r="C142" s="5">
        <v>1.6711910417373601</v>
      </c>
      <c r="D142" s="5"/>
      <c r="E142" s="6">
        <v>197</v>
      </c>
      <c r="F142" s="5">
        <v>1.675027633704617</v>
      </c>
      <c r="G142" s="5"/>
      <c r="H142" s="3" t="s">
        <v>96</v>
      </c>
      <c r="I142" s="16" t="s">
        <v>96</v>
      </c>
      <c r="J142" s="5"/>
      <c r="K142" s="3" t="s">
        <v>96</v>
      </c>
      <c r="L142" s="3" t="s">
        <v>96</v>
      </c>
      <c r="N142" s="100">
        <f t="shared" si="9"/>
        <v>1.7</v>
      </c>
      <c r="O142" s="100">
        <f t="shared" si="10"/>
        <v>1.7</v>
      </c>
      <c r="P142" s="100" t="e">
        <f t="shared" si="11"/>
        <v>#VALUE!</v>
      </c>
      <c r="Q142" s="100" t="e">
        <f t="shared" si="12"/>
        <v>#VALUE!</v>
      </c>
      <c r="R142" s="37"/>
      <c r="S142" s="37"/>
      <c r="T142" s="37"/>
      <c r="U142" s="37"/>
    </row>
    <row r="143" spans="1:21" ht="14.1" customHeight="1" x14ac:dyDescent="0.25">
      <c r="A143" s="61" t="s">
        <v>70</v>
      </c>
      <c r="B143" s="6">
        <v>1527</v>
      </c>
      <c r="C143" s="5">
        <v>12.853851374278927</v>
      </c>
      <c r="D143" s="5"/>
      <c r="E143" s="6">
        <v>1527</v>
      </c>
      <c r="F143" s="5">
        <v>12.983589830796701</v>
      </c>
      <c r="G143" s="5"/>
      <c r="H143" s="3" t="s">
        <v>96</v>
      </c>
      <c r="I143" s="16" t="s">
        <v>96</v>
      </c>
      <c r="J143" s="16"/>
      <c r="K143" s="3" t="s">
        <v>96</v>
      </c>
      <c r="L143" s="3" t="s">
        <v>96</v>
      </c>
      <c r="N143" s="100">
        <f t="shared" si="9"/>
        <v>12.9</v>
      </c>
      <c r="O143" s="100">
        <f t="shared" si="10"/>
        <v>13</v>
      </c>
      <c r="P143" s="100" t="e">
        <f t="shared" si="11"/>
        <v>#VALUE!</v>
      </c>
      <c r="Q143" s="100" t="e">
        <f t="shared" si="12"/>
        <v>#VALUE!</v>
      </c>
      <c r="R143" s="37"/>
      <c r="S143" s="37"/>
      <c r="T143" s="37"/>
      <c r="U143" s="37"/>
    </row>
    <row r="144" spans="1:21" ht="14.1" customHeight="1" x14ac:dyDescent="0.25">
      <c r="A144" s="61" t="s">
        <v>35</v>
      </c>
      <c r="B144" s="6">
        <v>233</v>
      </c>
      <c r="C144" s="5">
        <v>1.9765863590091619</v>
      </c>
      <c r="D144" s="5"/>
      <c r="E144" s="6">
        <v>233</v>
      </c>
      <c r="F144" s="5">
        <v>1.9811240540770343</v>
      </c>
      <c r="G144" s="5"/>
      <c r="H144" s="3" t="s">
        <v>96</v>
      </c>
      <c r="I144" s="16" t="s">
        <v>96</v>
      </c>
      <c r="J144" s="5"/>
      <c r="K144" s="3" t="s">
        <v>96</v>
      </c>
      <c r="L144" s="3" t="s">
        <v>96</v>
      </c>
      <c r="N144" s="100">
        <f t="shared" si="9"/>
        <v>2</v>
      </c>
      <c r="O144" s="100">
        <f t="shared" si="10"/>
        <v>2</v>
      </c>
      <c r="P144" s="100" t="e">
        <f t="shared" si="11"/>
        <v>#VALUE!</v>
      </c>
      <c r="Q144" s="100" t="e">
        <f t="shared" si="12"/>
        <v>#VALUE!</v>
      </c>
      <c r="R144" s="37"/>
      <c r="S144" s="37"/>
      <c r="T144" s="37"/>
      <c r="U144" s="37"/>
    </row>
    <row r="145" spans="1:21" ht="14.1" customHeight="1" x14ac:dyDescent="0.25">
      <c r="A145" s="61" t="s">
        <v>36</v>
      </c>
      <c r="B145" s="6">
        <v>798</v>
      </c>
      <c r="C145" s="5">
        <v>6.7695961995249405</v>
      </c>
      <c r="D145" s="5"/>
      <c r="E145" s="6">
        <v>797</v>
      </c>
      <c r="F145" s="5">
        <v>6.7766346399115722</v>
      </c>
      <c r="G145" s="5"/>
      <c r="H145" s="3">
        <v>1</v>
      </c>
      <c r="I145" s="16">
        <v>3.7037037037037033</v>
      </c>
      <c r="J145" s="5"/>
      <c r="K145" s="3" t="s">
        <v>96</v>
      </c>
      <c r="L145" s="3" t="s">
        <v>96</v>
      </c>
      <c r="N145" s="100">
        <f t="shared" si="9"/>
        <v>6.8</v>
      </c>
      <c r="O145" s="100">
        <f t="shared" si="10"/>
        <v>6.8</v>
      </c>
      <c r="P145" s="100">
        <f t="shared" si="11"/>
        <v>3.7</v>
      </c>
      <c r="Q145" s="100" t="e">
        <f t="shared" si="12"/>
        <v>#VALUE!</v>
      </c>
      <c r="R145" s="37"/>
      <c r="S145" s="37"/>
      <c r="T145" s="37"/>
      <c r="U145" s="37"/>
    </row>
    <row r="146" spans="1:21" ht="14.1" customHeight="1" x14ac:dyDescent="0.25">
      <c r="A146" s="61" t="s">
        <v>37</v>
      </c>
      <c r="B146" s="6">
        <v>883</v>
      </c>
      <c r="C146" s="5">
        <v>7.4906684764166958</v>
      </c>
      <c r="D146" s="5"/>
      <c r="E146" s="6">
        <v>883</v>
      </c>
      <c r="F146" s="5">
        <v>7.5078649774679027</v>
      </c>
      <c r="G146" s="5"/>
      <c r="H146" s="3" t="s">
        <v>96</v>
      </c>
      <c r="I146" s="16" t="s">
        <v>96</v>
      </c>
      <c r="J146" s="5"/>
      <c r="K146" s="3" t="s">
        <v>96</v>
      </c>
      <c r="L146" s="3" t="s">
        <v>96</v>
      </c>
      <c r="N146" s="100">
        <f t="shared" si="9"/>
        <v>7.5</v>
      </c>
      <c r="O146" s="100">
        <f t="shared" si="10"/>
        <v>7.5</v>
      </c>
      <c r="P146" s="100" t="e">
        <f t="shared" si="11"/>
        <v>#VALUE!</v>
      </c>
      <c r="Q146" s="100" t="e">
        <f t="shared" si="12"/>
        <v>#VALUE!</v>
      </c>
      <c r="R146" s="37"/>
      <c r="S146" s="37"/>
      <c r="T146" s="37"/>
      <c r="U146" s="37"/>
    </row>
    <row r="147" spans="1:21" ht="14.1" customHeight="1" x14ac:dyDescent="0.25">
      <c r="A147" s="61"/>
      <c r="B147" s="6"/>
      <c r="C147" s="5"/>
      <c r="D147" s="5"/>
      <c r="E147" s="6"/>
      <c r="F147" s="5"/>
      <c r="G147" s="5"/>
      <c r="H147" s="6"/>
      <c r="I147" s="5"/>
      <c r="J147" s="5"/>
      <c r="K147" s="6"/>
      <c r="L147" s="5"/>
      <c r="N147" s="100">
        <f t="shared" si="9"/>
        <v>0</v>
      </c>
      <c r="O147" s="100">
        <f t="shared" si="10"/>
        <v>0</v>
      </c>
      <c r="P147" s="100">
        <f t="shared" si="11"/>
        <v>0</v>
      </c>
      <c r="Q147" s="100">
        <f t="shared" si="12"/>
        <v>0</v>
      </c>
      <c r="R147" s="37"/>
      <c r="S147" s="37"/>
      <c r="T147" s="37"/>
      <c r="U147" s="37"/>
    </row>
    <row r="148" spans="1:21" ht="14.1" customHeight="1" x14ac:dyDescent="0.25">
      <c r="A148" s="123" t="s">
        <v>15</v>
      </c>
      <c r="B148" s="9">
        <v>36519</v>
      </c>
      <c r="C148" s="15">
        <v>100</v>
      </c>
      <c r="D148" s="15"/>
      <c r="E148" s="9">
        <v>36378</v>
      </c>
      <c r="F148" s="15">
        <v>100</v>
      </c>
      <c r="G148" s="15"/>
      <c r="H148" s="9">
        <v>140</v>
      </c>
      <c r="I148" s="15">
        <v>100</v>
      </c>
      <c r="J148" s="15"/>
      <c r="K148" s="9">
        <v>1</v>
      </c>
      <c r="L148" s="15">
        <v>100</v>
      </c>
      <c r="N148" s="100">
        <f>SUM(N149:N160)</f>
        <v>100.00000000000001</v>
      </c>
      <c r="O148" s="100">
        <f t="shared" ref="O148:Q148" si="16">SUM(O149:O160)</f>
        <v>100.00000000000001</v>
      </c>
      <c r="P148" s="100">
        <f t="shared" si="16"/>
        <v>100</v>
      </c>
      <c r="Q148" s="100" t="e">
        <f t="shared" si="16"/>
        <v>#VALUE!</v>
      </c>
      <c r="R148" s="37"/>
      <c r="S148" s="37"/>
      <c r="T148" s="37"/>
      <c r="U148" s="37"/>
    </row>
    <row r="149" spans="1:21" ht="14.1" customHeight="1" x14ac:dyDescent="0.25">
      <c r="A149" s="61" t="s">
        <v>57</v>
      </c>
      <c r="B149" s="6">
        <v>733</v>
      </c>
      <c r="C149" s="5">
        <v>2.0071743475998796</v>
      </c>
      <c r="D149" s="5"/>
      <c r="E149" s="6">
        <v>730</v>
      </c>
      <c r="F149" s="5">
        <v>2.0067073505965141</v>
      </c>
      <c r="G149" s="5"/>
      <c r="H149" s="6">
        <v>3</v>
      </c>
      <c r="I149" s="5">
        <v>2.1428571428571428</v>
      </c>
      <c r="J149" s="5"/>
      <c r="K149" s="3" t="s">
        <v>96</v>
      </c>
      <c r="L149" s="16" t="s">
        <v>96</v>
      </c>
      <c r="N149" s="100">
        <f t="shared" si="9"/>
        <v>2</v>
      </c>
      <c r="O149" s="100">
        <f t="shared" si="10"/>
        <v>2</v>
      </c>
      <c r="P149" s="100">
        <f t="shared" si="11"/>
        <v>2.1</v>
      </c>
      <c r="Q149" s="100" t="e">
        <f t="shared" si="12"/>
        <v>#VALUE!</v>
      </c>
      <c r="R149" s="37"/>
      <c r="S149" s="37"/>
      <c r="T149" s="37"/>
      <c r="U149" s="37"/>
    </row>
    <row r="150" spans="1:21" ht="14.1" customHeight="1" x14ac:dyDescent="0.25">
      <c r="A150" s="61" t="s">
        <v>29</v>
      </c>
      <c r="B150" s="6">
        <v>267</v>
      </c>
      <c r="C150" s="5">
        <v>0.73112626304115669</v>
      </c>
      <c r="D150" s="5"/>
      <c r="E150" s="6">
        <v>266</v>
      </c>
      <c r="F150" s="5">
        <v>0.73121117158722304</v>
      </c>
      <c r="G150" s="5"/>
      <c r="H150" s="6">
        <v>1</v>
      </c>
      <c r="I150" s="5">
        <v>0.7142857142857143</v>
      </c>
      <c r="J150" s="5"/>
      <c r="K150" s="3" t="s">
        <v>96</v>
      </c>
      <c r="L150" s="16" t="s">
        <v>96</v>
      </c>
      <c r="N150" s="100">
        <f t="shared" si="9"/>
        <v>0.7</v>
      </c>
      <c r="O150" s="100">
        <f t="shared" si="10"/>
        <v>0.7</v>
      </c>
      <c r="P150" s="100">
        <f t="shared" si="11"/>
        <v>0.7</v>
      </c>
      <c r="Q150" s="100" t="e">
        <f t="shared" si="12"/>
        <v>#VALUE!</v>
      </c>
      <c r="R150" s="37"/>
      <c r="S150" s="37"/>
      <c r="T150" s="37"/>
      <c r="U150" s="37"/>
    </row>
    <row r="151" spans="1:21" ht="14.1" customHeight="1" x14ac:dyDescent="0.25">
      <c r="A151" s="61" t="s">
        <v>30</v>
      </c>
      <c r="B151" s="6">
        <v>2883</v>
      </c>
      <c r="C151" s="5">
        <v>7.8945206604781077</v>
      </c>
      <c r="D151" s="5"/>
      <c r="E151" s="6">
        <v>2881</v>
      </c>
      <c r="F151" s="5">
        <v>7.919621749408984</v>
      </c>
      <c r="G151" s="5"/>
      <c r="H151" s="6">
        <v>2</v>
      </c>
      <c r="I151" s="5">
        <v>1.4285714285714286</v>
      </c>
      <c r="J151" s="5"/>
      <c r="K151" s="3" t="s">
        <v>96</v>
      </c>
      <c r="L151" s="16" t="s">
        <v>96</v>
      </c>
      <c r="N151" s="100">
        <f t="shared" si="9"/>
        <v>7.9</v>
      </c>
      <c r="O151" s="100">
        <f t="shared" si="10"/>
        <v>7.9</v>
      </c>
      <c r="P151" s="100">
        <f t="shared" si="11"/>
        <v>1.4</v>
      </c>
      <c r="Q151" s="100" t="e">
        <f t="shared" si="12"/>
        <v>#VALUE!</v>
      </c>
      <c r="R151" s="37"/>
      <c r="S151" s="37"/>
      <c r="T151" s="37"/>
      <c r="U151" s="37"/>
    </row>
    <row r="152" spans="1:21" ht="14.1" customHeight="1" x14ac:dyDescent="0.25">
      <c r="A152" s="61" t="s">
        <v>31</v>
      </c>
      <c r="B152" s="6">
        <v>45</v>
      </c>
      <c r="C152" s="5">
        <v>0.12322352747884663</v>
      </c>
      <c r="D152" s="5"/>
      <c r="E152" s="6">
        <v>44</v>
      </c>
      <c r="F152" s="5">
        <v>0.12095222387157073</v>
      </c>
      <c r="G152" s="5"/>
      <c r="H152" s="6">
        <v>1</v>
      </c>
      <c r="I152" s="5">
        <v>0.7142857142857143</v>
      </c>
      <c r="J152" s="16"/>
      <c r="K152" s="3" t="s">
        <v>96</v>
      </c>
      <c r="L152" s="16" t="s">
        <v>96</v>
      </c>
      <c r="N152" s="100">
        <f t="shared" ref="N152:N215" si="17">ROUND(C152,1)</f>
        <v>0.1</v>
      </c>
      <c r="O152" s="100">
        <f t="shared" ref="O152:O215" si="18">ROUND(F152,1)</f>
        <v>0.1</v>
      </c>
      <c r="P152" s="100">
        <f t="shared" ref="P152:P215" si="19">ROUND(I152,1)</f>
        <v>0.7</v>
      </c>
      <c r="Q152" s="100" t="e">
        <f t="shared" ref="Q152:Q215" si="20">ROUND(L152,1)</f>
        <v>#VALUE!</v>
      </c>
      <c r="R152" s="37"/>
      <c r="S152" s="37"/>
      <c r="T152" s="37"/>
      <c r="U152" s="37"/>
    </row>
    <row r="153" spans="1:21" ht="14.1" customHeight="1" x14ac:dyDescent="0.25">
      <c r="A153" s="61" t="s">
        <v>32</v>
      </c>
      <c r="B153" s="6">
        <v>407</v>
      </c>
      <c r="C153" s="5">
        <v>1.1144883485309016</v>
      </c>
      <c r="D153" s="5"/>
      <c r="E153" s="6">
        <v>405</v>
      </c>
      <c r="F153" s="5">
        <v>1.1133102424542307</v>
      </c>
      <c r="G153" s="5"/>
      <c r="H153" s="6">
        <v>2</v>
      </c>
      <c r="I153" s="5">
        <v>1.4285714285714286</v>
      </c>
      <c r="J153" s="5"/>
      <c r="K153" s="3" t="s">
        <v>96</v>
      </c>
      <c r="L153" s="16" t="s">
        <v>96</v>
      </c>
      <c r="N153" s="100">
        <f t="shared" si="17"/>
        <v>1.1000000000000001</v>
      </c>
      <c r="O153" s="100">
        <f t="shared" si="18"/>
        <v>1.1000000000000001</v>
      </c>
      <c r="P153" s="100">
        <f t="shared" si="19"/>
        <v>1.4</v>
      </c>
      <c r="Q153" s="100" t="e">
        <f t="shared" si="20"/>
        <v>#VALUE!</v>
      </c>
      <c r="R153" s="37"/>
      <c r="S153" s="37"/>
      <c r="T153" s="37"/>
      <c r="U153" s="37"/>
    </row>
    <row r="154" spans="1:21" ht="14.1" customHeight="1" x14ac:dyDescent="0.25">
      <c r="A154" s="61" t="s">
        <v>33</v>
      </c>
      <c r="B154" s="6">
        <v>18400</v>
      </c>
      <c r="C154" s="5">
        <v>50.384731235795066</v>
      </c>
      <c r="D154" s="5"/>
      <c r="E154" s="6">
        <v>18293</v>
      </c>
      <c r="F154" s="5">
        <v>50.385887074605527</v>
      </c>
      <c r="G154" s="5"/>
      <c r="H154" s="6">
        <v>106</v>
      </c>
      <c r="I154" s="5">
        <v>75.814285714285703</v>
      </c>
      <c r="J154" s="5"/>
      <c r="K154" s="3">
        <v>1</v>
      </c>
      <c r="L154" s="16">
        <v>100</v>
      </c>
      <c r="N154" s="100">
        <f t="shared" si="17"/>
        <v>50.4</v>
      </c>
      <c r="O154" s="100">
        <f t="shared" si="18"/>
        <v>50.4</v>
      </c>
      <c r="P154" s="100">
        <f t="shared" si="19"/>
        <v>75.8</v>
      </c>
      <c r="Q154" s="100">
        <f t="shared" si="20"/>
        <v>100</v>
      </c>
      <c r="R154" s="37"/>
      <c r="S154" s="37"/>
      <c r="T154" s="37"/>
      <c r="U154" s="37"/>
    </row>
    <row r="155" spans="1:21" ht="14.1" customHeight="1" x14ac:dyDescent="0.25">
      <c r="A155" s="61" t="s">
        <v>34</v>
      </c>
      <c r="B155" s="6">
        <v>2252</v>
      </c>
      <c r="C155" s="5">
        <v>6.166652975163613</v>
      </c>
      <c r="D155" s="5"/>
      <c r="E155" s="6">
        <v>2245</v>
      </c>
      <c r="F155" s="5">
        <v>6.1713123316290064</v>
      </c>
      <c r="G155" s="5"/>
      <c r="H155" s="6">
        <v>7</v>
      </c>
      <c r="I155" s="5">
        <v>5</v>
      </c>
      <c r="J155" s="5"/>
      <c r="K155" s="3" t="s">
        <v>96</v>
      </c>
      <c r="L155" s="16" t="s">
        <v>96</v>
      </c>
      <c r="N155" s="100">
        <f t="shared" si="17"/>
        <v>6.2</v>
      </c>
      <c r="O155" s="100">
        <f t="shared" si="18"/>
        <v>6.2</v>
      </c>
      <c r="P155" s="100">
        <f t="shared" si="19"/>
        <v>5</v>
      </c>
      <c r="Q155" s="100" t="e">
        <f t="shared" si="20"/>
        <v>#VALUE!</v>
      </c>
      <c r="R155" s="37"/>
      <c r="S155" s="37"/>
      <c r="T155" s="37"/>
      <c r="U155" s="37"/>
    </row>
    <row r="156" spans="1:21" ht="14.1" customHeight="1" x14ac:dyDescent="0.25">
      <c r="A156" s="61" t="s">
        <v>67</v>
      </c>
      <c r="B156" s="6">
        <v>510</v>
      </c>
      <c r="C156" s="5">
        <v>1.3965333114269285</v>
      </c>
      <c r="D156" s="5"/>
      <c r="E156" s="6">
        <v>509</v>
      </c>
      <c r="F156" s="5">
        <v>1.3991973170597614</v>
      </c>
      <c r="G156" s="5"/>
      <c r="H156" s="6">
        <v>1</v>
      </c>
      <c r="I156" s="5">
        <v>0.7142857142857143</v>
      </c>
      <c r="J156" s="5"/>
      <c r="K156" s="3" t="s">
        <v>96</v>
      </c>
      <c r="L156" s="16" t="s">
        <v>96</v>
      </c>
      <c r="N156" s="100">
        <f t="shared" si="17"/>
        <v>1.4</v>
      </c>
      <c r="O156" s="100">
        <f t="shared" si="18"/>
        <v>1.4</v>
      </c>
      <c r="P156" s="100">
        <f t="shared" si="19"/>
        <v>0.7</v>
      </c>
      <c r="Q156" s="100" t="e">
        <f t="shared" si="20"/>
        <v>#VALUE!</v>
      </c>
      <c r="R156" s="37"/>
      <c r="S156" s="37"/>
      <c r="T156" s="37"/>
      <c r="U156" s="37"/>
    </row>
    <row r="157" spans="1:21" ht="14.1" customHeight="1" x14ac:dyDescent="0.25">
      <c r="A157" s="61" t="s">
        <v>70</v>
      </c>
      <c r="B157" s="6">
        <v>4307</v>
      </c>
      <c r="C157" s="5">
        <v>11.793860730030943</v>
      </c>
      <c r="D157" s="5"/>
      <c r="E157" s="6">
        <v>4303</v>
      </c>
      <c r="F157" s="5">
        <v>11.828577711803838</v>
      </c>
      <c r="G157" s="5"/>
      <c r="H157" s="6">
        <v>4</v>
      </c>
      <c r="I157" s="5">
        <v>2.8571428571428572</v>
      </c>
      <c r="J157" s="5"/>
      <c r="K157" s="3" t="s">
        <v>96</v>
      </c>
      <c r="L157" s="16" t="s">
        <v>96</v>
      </c>
      <c r="N157" s="100">
        <f t="shared" si="17"/>
        <v>11.8</v>
      </c>
      <c r="O157" s="100">
        <f t="shared" si="18"/>
        <v>11.8</v>
      </c>
      <c r="P157" s="100">
        <f t="shared" si="19"/>
        <v>2.9</v>
      </c>
      <c r="Q157" s="100" t="e">
        <f t="shared" si="20"/>
        <v>#VALUE!</v>
      </c>
      <c r="R157" s="37"/>
      <c r="S157" s="37"/>
      <c r="T157" s="37"/>
      <c r="U157" s="37"/>
    </row>
    <row r="158" spans="1:21" ht="14.1" customHeight="1" x14ac:dyDescent="0.25">
      <c r="A158" s="61" t="s">
        <v>35</v>
      </c>
      <c r="B158" s="6">
        <v>653</v>
      </c>
      <c r="C158" s="5">
        <v>1.7881102987485968</v>
      </c>
      <c r="D158" s="5"/>
      <c r="E158" s="6">
        <v>649</v>
      </c>
      <c r="F158" s="5">
        <v>1.7840453021056684</v>
      </c>
      <c r="G158" s="5"/>
      <c r="H158" s="6">
        <v>4</v>
      </c>
      <c r="I158" s="5">
        <v>2.8571428571428572</v>
      </c>
      <c r="J158" s="5"/>
      <c r="K158" s="3" t="s">
        <v>96</v>
      </c>
      <c r="L158" s="16" t="s">
        <v>96</v>
      </c>
      <c r="N158" s="100">
        <f t="shared" si="17"/>
        <v>1.8</v>
      </c>
      <c r="O158" s="100">
        <f t="shared" si="18"/>
        <v>1.8</v>
      </c>
      <c r="P158" s="100">
        <f t="shared" si="19"/>
        <v>2.9</v>
      </c>
      <c r="Q158" s="100" t="e">
        <f t="shared" si="20"/>
        <v>#VALUE!</v>
      </c>
      <c r="R158" s="37"/>
      <c r="S158" s="37"/>
      <c r="T158" s="37"/>
      <c r="U158" s="37"/>
    </row>
    <row r="159" spans="1:21" ht="14.1" customHeight="1" x14ac:dyDescent="0.25">
      <c r="A159" s="61" t="s">
        <v>36</v>
      </c>
      <c r="B159" s="6">
        <v>2080</v>
      </c>
      <c r="C159" s="5">
        <v>5.6956652701333548</v>
      </c>
      <c r="D159" s="5"/>
      <c r="E159" s="6">
        <v>2074</v>
      </c>
      <c r="F159" s="5">
        <v>5.7012480070372202</v>
      </c>
      <c r="G159" s="5"/>
      <c r="H159" s="6">
        <v>6</v>
      </c>
      <c r="I159" s="5">
        <v>4.2857142857142856</v>
      </c>
      <c r="J159" s="5"/>
      <c r="K159" s="3" t="s">
        <v>96</v>
      </c>
      <c r="L159" s="16" t="s">
        <v>96</v>
      </c>
      <c r="N159" s="100">
        <f t="shared" si="17"/>
        <v>5.7</v>
      </c>
      <c r="O159" s="100">
        <f t="shared" si="18"/>
        <v>5.7</v>
      </c>
      <c r="P159" s="100">
        <f t="shared" si="19"/>
        <v>4.3</v>
      </c>
      <c r="Q159" s="100" t="e">
        <f t="shared" si="20"/>
        <v>#VALUE!</v>
      </c>
      <c r="R159" s="37"/>
      <c r="S159" s="37"/>
      <c r="T159" s="37"/>
      <c r="U159" s="37"/>
    </row>
    <row r="160" spans="1:21" ht="14.1" customHeight="1" x14ac:dyDescent="0.25">
      <c r="A160" s="61" t="s">
        <v>37</v>
      </c>
      <c r="B160" s="6">
        <v>3982</v>
      </c>
      <c r="C160" s="5">
        <v>10.903913031572605</v>
      </c>
      <c r="D160" s="5"/>
      <c r="E160" s="6">
        <v>3979</v>
      </c>
      <c r="F160" s="5">
        <v>10.937929517840454</v>
      </c>
      <c r="G160" s="5"/>
      <c r="H160" s="6">
        <v>3</v>
      </c>
      <c r="I160" s="5">
        <v>2.1428571428571428</v>
      </c>
      <c r="J160" s="5"/>
      <c r="K160" s="3" t="s">
        <v>96</v>
      </c>
      <c r="L160" s="16" t="s">
        <v>96</v>
      </c>
      <c r="N160" s="100">
        <f t="shared" si="17"/>
        <v>10.9</v>
      </c>
      <c r="O160" s="100">
        <f t="shared" si="18"/>
        <v>10.9</v>
      </c>
      <c r="P160" s="100">
        <f t="shared" si="19"/>
        <v>2.1</v>
      </c>
      <c r="Q160" s="100" t="e">
        <f t="shared" si="20"/>
        <v>#VALUE!</v>
      </c>
      <c r="R160" s="37"/>
      <c r="S160" s="37"/>
      <c r="T160" s="37"/>
      <c r="U160" s="37"/>
    </row>
    <row r="161" spans="1:21" ht="14.1" customHeight="1" x14ac:dyDescent="0.25">
      <c r="A161" s="61"/>
      <c r="B161" s="6"/>
      <c r="C161" s="5"/>
      <c r="D161" s="5"/>
      <c r="E161" s="6"/>
      <c r="F161" s="5"/>
      <c r="G161" s="5"/>
      <c r="H161" s="6"/>
      <c r="I161" s="5"/>
      <c r="J161" s="5"/>
      <c r="K161" s="6"/>
      <c r="L161" s="5"/>
      <c r="N161" s="100">
        <f t="shared" si="17"/>
        <v>0</v>
      </c>
      <c r="O161" s="100">
        <f t="shared" si="18"/>
        <v>0</v>
      </c>
      <c r="P161" s="100">
        <f t="shared" si="19"/>
        <v>0</v>
      </c>
      <c r="Q161" s="100">
        <f t="shared" si="20"/>
        <v>0</v>
      </c>
      <c r="R161" s="37"/>
      <c r="S161" s="37"/>
      <c r="T161" s="37"/>
      <c r="U161" s="37"/>
    </row>
    <row r="162" spans="1:21" ht="14.1" customHeight="1" x14ac:dyDescent="0.25">
      <c r="A162" s="63" t="s">
        <v>14</v>
      </c>
      <c r="B162" s="9">
        <v>59414</v>
      </c>
      <c r="C162" s="15">
        <v>100</v>
      </c>
      <c r="D162" s="15"/>
      <c r="E162" s="9">
        <v>59142</v>
      </c>
      <c r="F162" s="15">
        <v>100</v>
      </c>
      <c r="G162" s="15"/>
      <c r="H162" s="9">
        <v>267</v>
      </c>
      <c r="I162" s="15">
        <v>100</v>
      </c>
      <c r="J162" s="15"/>
      <c r="K162" s="9">
        <v>5</v>
      </c>
      <c r="L162" s="15">
        <v>100</v>
      </c>
      <c r="N162" s="100">
        <f>SUM(N163:N174)</f>
        <v>100</v>
      </c>
      <c r="O162" s="100">
        <f t="shared" ref="O162:Q162" si="21">SUM(O163:O174)</f>
        <v>100.00000000000001</v>
      </c>
      <c r="P162" s="100" t="e">
        <f t="shared" si="21"/>
        <v>#VALUE!</v>
      </c>
      <c r="Q162" s="100" t="e">
        <f t="shared" si="21"/>
        <v>#VALUE!</v>
      </c>
      <c r="R162" s="37"/>
      <c r="S162" s="37"/>
      <c r="T162" s="37"/>
      <c r="U162" s="37"/>
    </row>
    <row r="163" spans="1:21" ht="14.1" customHeight="1" x14ac:dyDescent="0.25">
      <c r="A163" s="61" t="s">
        <v>57</v>
      </c>
      <c r="B163" s="6">
        <v>648</v>
      </c>
      <c r="C163" s="5">
        <v>1.0906520348739355</v>
      </c>
      <c r="D163" s="5"/>
      <c r="E163" s="6">
        <v>636</v>
      </c>
      <c r="F163" s="5">
        <v>1.0753779040275946</v>
      </c>
      <c r="G163" s="5"/>
      <c r="H163" s="6">
        <v>12</v>
      </c>
      <c r="I163" s="5">
        <v>4.4943820224719104</v>
      </c>
      <c r="J163" s="5"/>
      <c r="K163" s="3" t="s">
        <v>96</v>
      </c>
      <c r="L163" s="16" t="s">
        <v>96</v>
      </c>
      <c r="N163" s="100">
        <f t="shared" si="17"/>
        <v>1.1000000000000001</v>
      </c>
      <c r="O163" s="100">
        <f t="shared" si="18"/>
        <v>1.1000000000000001</v>
      </c>
      <c r="P163" s="100">
        <f t="shared" si="19"/>
        <v>4.5</v>
      </c>
      <c r="Q163" s="100" t="e">
        <f t="shared" si="20"/>
        <v>#VALUE!</v>
      </c>
      <c r="R163" s="37"/>
      <c r="S163" s="37"/>
      <c r="T163" s="37"/>
      <c r="U163" s="37"/>
    </row>
    <row r="164" spans="1:21" ht="14.1" customHeight="1" x14ac:dyDescent="0.25">
      <c r="A164" s="61" t="s">
        <v>29</v>
      </c>
      <c r="B164" s="6">
        <v>1010</v>
      </c>
      <c r="C164" s="5">
        <v>1.6999360420103007</v>
      </c>
      <c r="D164" s="5"/>
      <c r="E164" s="6">
        <v>981</v>
      </c>
      <c r="F164" s="5">
        <v>1.6587196915897333</v>
      </c>
      <c r="G164" s="5"/>
      <c r="H164" s="6">
        <v>28</v>
      </c>
      <c r="I164" s="5">
        <v>10.486891385767791</v>
      </c>
      <c r="J164" s="5"/>
      <c r="K164" s="3">
        <v>1</v>
      </c>
      <c r="L164" s="16">
        <v>20</v>
      </c>
      <c r="N164" s="100">
        <f t="shared" si="17"/>
        <v>1.7</v>
      </c>
      <c r="O164" s="100">
        <f t="shared" si="18"/>
        <v>1.7</v>
      </c>
      <c r="P164" s="100">
        <f t="shared" si="19"/>
        <v>10.5</v>
      </c>
      <c r="Q164" s="100">
        <f t="shared" si="20"/>
        <v>20</v>
      </c>
      <c r="R164" s="37"/>
      <c r="S164" s="37"/>
      <c r="T164" s="37"/>
      <c r="U164" s="37"/>
    </row>
    <row r="165" spans="1:21" ht="14.1" customHeight="1" x14ac:dyDescent="0.25">
      <c r="A165" s="61" t="s">
        <v>30</v>
      </c>
      <c r="B165" s="6">
        <v>2750</v>
      </c>
      <c r="C165" s="5">
        <v>4.6285387282458679</v>
      </c>
      <c r="D165" s="5"/>
      <c r="E165" s="6">
        <v>2742</v>
      </c>
      <c r="F165" s="5">
        <v>4.6362990767982142</v>
      </c>
      <c r="G165" s="5"/>
      <c r="H165" s="6">
        <v>8</v>
      </c>
      <c r="I165" s="5">
        <v>2.9962546816479403</v>
      </c>
      <c r="J165" s="5"/>
      <c r="K165" s="3" t="s">
        <v>96</v>
      </c>
      <c r="L165" s="16" t="s">
        <v>96</v>
      </c>
      <c r="N165" s="100">
        <f t="shared" si="17"/>
        <v>4.5999999999999996</v>
      </c>
      <c r="O165" s="100">
        <f t="shared" si="18"/>
        <v>4.5999999999999996</v>
      </c>
      <c r="P165" s="100">
        <f t="shared" si="19"/>
        <v>3</v>
      </c>
      <c r="Q165" s="100" t="e">
        <f t="shared" si="20"/>
        <v>#VALUE!</v>
      </c>
      <c r="R165" s="37"/>
      <c r="S165" s="37"/>
      <c r="T165" s="37"/>
      <c r="U165" s="37"/>
    </row>
    <row r="166" spans="1:21" ht="14.1" customHeight="1" x14ac:dyDescent="0.25">
      <c r="A166" s="61" t="s">
        <v>31</v>
      </c>
      <c r="B166" s="6">
        <v>75</v>
      </c>
      <c r="C166" s="5">
        <v>0.1262328744067055</v>
      </c>
      <c r="D166" s="5"/>
      <c r="E166" s="6">
        <v>75</v>
      </c>
      <c r="F166" s="5">
        <v>0.12681343207872578</v>
      </c>
      <c r="G166" s="5"/>
      <c r="H166" s="3" t="s">
        <v>96</v>
      </c>
      <c r="I166" s="3" t="s">
        <v>96</v>
      </c>
      <c r="J166" s="5"/>
      <c r="K166" s="3" t="s">
        <v>96</v>
      </c>
      <c r="L166" s="16" t="s">
        <v>96</v>
      </c>
      <c r="N166" s="100">
        <f t="shared" si="17"/>
        <v>0.1</v>
      </c>
      <c r="O166" s="100">
        <f t="shared" si="18"/>
        <v>0.1</v>
      </c>
      <c r="P166" s="100" t="e">
        <f t="shared" si="19"/>
        <v>#VALUE!</v>
      </c>
      <c r="Q166" s="100" t="e">
        <f t="shared" si="20"/>
        <v>#VALUE!</v>
      </c>
      <c r="R166" s="37"/>
      <c r="S166" s="37"/>
      <c r="T166" s="37"/>
      <c r="U166" s="37"/>
    </row>
    <row r="167" spans="1:21" ht="14.1" customHeight="1" x14ac:dyDescent="0.25">
      <c r="A167" s="61" t="s">
        <v>32</v>
      </c>
      <c r="B167" s="6">
        <v>666</v>
      </c>
      <c r="C167" s="5">
        <v>1.1209479247315448</v>
      </c>
      <c r="D167" s="5"/>
      <c r="E167" s="6">
        <v>660</v>
      </c>
      <c r="F167" s="5">
        <v>1.115958202292787</v>
      </c>
      <c r="G167" s="5"/>
      <c r="H167" s="6">
        <v>6</v>
      </c>
      <c r="I167" s="5">
        <v>2.2471910112359552</v>
      </c>
      <c r="J167" s="5"/>
      <c r="K167" s="3" t="s">
        <v>96</v>
      </c>
      <c r="L167" s="16" t="s">
        <v>96</v>
      </c>
      <c r="N167" s="100">
        <f t="shared" si="17"/>
        <v>1.1000000000000001</v>
      </c>
      <c r="O167" s="100">
        <f t="shared" si="18"/>
        <v>1.1000000000000001</v>
      </c>
      <c r="P167" s="100">
        <f t="shared" si="19"/>
        <v>2.2000000000000002</v>
      </c>
      <c r="Q167" s="100" t="e">
        <f t="shared" si="20"/>
        <v>#VALUE!</v>
      </c>
      <c r="R167" s="37"/>
      <c r="S167" s="37"/>
      <c r="T167" s="37"/>
      <c r="U167" s="37"/>
    </row>
    <row r="168" spans="1:21" ht="14.1" customHeight="1" x14ac:dyDescent="0.25">
      <c r="A168" s="61" t="s">
        <v>33</v>
      </c>
      <c r="B168" s="6">
        <v>33508</v>
      </c>
      <c r="C168" s="5">
        <v>56.497482074931838</v>
      </c>
      <c r="D168" s="5"/>
      <c r="E168" s="6">
        <v>33359</v>
      </c>
      <c r="F168" s="5">
        <v>56.40492374285617</v>
      </c>
      <c r="G168" s="5"/>
      <c r="H168" s="6">
        <v>146</v>
      </c>
      <c r="I168" s="5">
        <v>54.781647940074912</v>
      </c>
      <c r="J168" s="5"/>
      <c r="K168" s="3">
        <v>3</v>
      </c>
      <c r="L168" s="16">
        <v>60</v>
      </c>
      <c r="N168" s="100">
        <f t="shared" si="17"/>
        <v>56.5</v>
      </c>
      <c r="O168" s="100">
        <f t="shared" si="18"/>
        <v>56.4</v>
      </c>
      <c r="P168" s="100">
        <f t="shared" si="19"/>
        <v>54.8</v>
      </c>
      <c r="Q168" s="100">
        <f t="shared" si="20"/>
        <v>60</v>
      </c>
      <c r="R168" s="37"/>
      <c r="S168" s="37"/>
      <c r="T168" s="37"/>
      <c r="U168" s="37"/>
    </row>
    <row r="169" spans="1:21" ht="14.1" customHeight="1" x14ac:dyDescent="0.25">
      <c r="A169" s="61" t="s">
        <v>34</v>
      </c>
      <c r="B169" s="6">
        <v>3413</v>
      </c>
      <c r="C169" s="5">
        <v>5.7444373380011449</v>
      </c>
      <c r="D169" s="5"/>
      <c r="E169" s="6">
        <v>3376</v>
      </c>
      <c r="F169" s="5">
        <v>5.7082952893037096</v>
      </c>
      <c r="G169" s="5"/>
      <c r="H169" s="6">
        <v>36</v>
      </c>
      <c r="I169" s="5">
        <v>13.48314606741573</v>
      </c>
      <c r="J169" s="5"/>
      <c r="K169" s="3">
        <v>1</v>
      </c>
      <c r="L169" s="16">
        <v>20</v>
      </c>
      <c r="N169" s="100">
        <f t="shared" si="17"/>
        <v>5.7</v>
      </c>
      <c r="O169" s="100">
        <f t="shared" si="18"/>
        <v>5.7</v>
      </c>
      <c r="P169" s="100">
        <f t="shared" si="19"/>
        <v>13.5</v>
      </c>
      <c r="Q169" s="100">
        <f t="shared" si="20"/>
        <v>20</v>
      </c>
      <c r="R169" s="37"/>
      <c r="S169" s="37"/>
      <c r="T169" s="37"/>
      <c r="U169" s="37"/>
    </row>
    <row r="170" spans="1:21" ht="14.1" customHeight="1" x14ac:dyDescent="0.25">
      <c r="A170" s="61" t="s">
        <v>67</v>
      </c>
      <c r="B170" s="6">
        <v>792</v>
      </c>
      <c r="C170" s="5">
        <v>1.3330191537348099</v>
      </c>
      <c r="D170" s="5"/>
      <c r="E170" s="6">
        <v>790</v>
      </c>
      <c r="F170" s="5">
        <v>1.335768151229245</v>
      </c>
      <c r="G170" s="5"/>
      <c r="H170" s="6">
        <v>2</v>
      </c>
      <c r="I170" s="5">
        <v>0.74906367041198507</v>
      </c>
      <c r="J170" s="5"/>
      <c r="K170" s="3" t="s">
        <v>96</v>
      </c>
      <c r="L170" s="16" t="s">
        <v>96</v>
      </c>
      <c r="N170" s="100">
        <f t="shared" si="17"/>
        <v>1.3</v>
      </c>
      <c r="O170" s="100">
        <f t="shared" si="18"/>
        <v>1.3</v>
      </c>
      <c r="P170" s="100">
        <f t="shared" si="19"/>
        <v>0.7</v>
      </c>
      <c r="Q170" s="100" t="e">
        <f t="shared" si="20"/>
        <v>#VALUE!</v>
      </c>
      <c r="R170" s="37"/>
      <c r="S170" s="37"/>
      <c r="T170" s="37"/>
      <c r="U170" s="37"/>
    </row>
    <row r="171" spans="1:21" ht="14.1" customHeight="1" x14ac:dyDescent="0.25">
      <c r="A171" s="61" t="s">
        <v>70</v>
      </c>
      <c r="B171" s="6">
        <v>6651</v>
      </c>
      <c r="C171" s="5">
        <v>11.194331302386642</v>
      </c>
      <c r="D171" s="5"/>
      <c r="E171" s="6">
        <v>6645</v>
      </c>
      <c r="F171" s="5">
        <v>11.235670082175105</v>
      </c>
      <c r="G171" s="5"/>
      <c r="H171" s="6">
        <v>6</v>
      </c>
      <c r="I171" s="5">
        <v>2.2471910112359552</v>
      </c>
      <c r="J171" s="5"/>
      <c r="K171" s="3" t="s">
        <v>96</v>
      </c>
      <c r="L171" s="16" t="s">
        <v>96</v>
      </c>
      <c r="N171" s="100">
        <f t="shared" si="17"/>
        <v>11.2</v>
      </c>
      <c r="O171" s="100">
        <f t="shared" si="18"/>
        <v>11.2</v>
      </c>
      <c r="P171" s="100">
        <f t="shared" si="19"/>
        <v>2.2000000000000002</v>
      </c>
      <c r="Q171" s="100" t="e">
        <f t="shared" si="20"/>
        <v>#VALUE!</v>
      </c>
      <c r="R171" s="37"/>
      <c r="S171" s="37"/>
      <c r="T171" s="37"/>
      <c r="U171" s="37"/>
    </row>
    <row r="172" spans="1:21" ht="14.1" customHeight="1" x14ac:dyDescent="0.25">
      <c r="A172" s="61" t="s">
        <v>35</v>
      </c>
      <c r="B172" s="6">
        <v>804</v>
      </c>
      <c r="C172" s="5">
        <v>1.353216413639883</v>
      </c>
      <c r="D172" s="5"/>
      <c r="E172" s="6">
        <v>803</v>
      </c>
      <c r="F172" s="5">
        <v>1.3577491461228905</v>
      </c>
      <c r="G172" s="5"/>
      <c r="H172" s="6">
        <v>1</v>
      </c>
      <c r="I172" s="5">
        <v>0.37453183520599254</v>
      </c>
      <c r="J172" s="5"/>
      <c r="K172" s="3" t="s">
        <v>96</v>
      </c>
      <c r="L172" s="16" t="s">
        <v>96</v>
      </c>
      <c r="N172" s="100">
        <f t="shared" si="17"/>
        <v>1.4</v>
      </c>
      <c r="O172" s="100">
        <f t="shared" si="18"/>
        <v>1.4</v>
      </c>
      <c r="P172" s="100">
        <f t="shared" si="19"/>
        <v>0.4</v>
      </c>
      <c r="Q172" s="100" t="e">
        <f t="shared" si="20"/>
        <v>#VALUE!</v>
      </c>
      <c r="R172" s="37"/>
      <c r="S172" s="37"/>
      <c r="T172" s="37"/>
      <c r="U172" s="37"/>
    </row>
    <row r="173" spans="1:21" ht="14.1" customHeight="1" x14ac:dyDescent="0.25">
      <c r="A173" s="61" t="s">
        <v>36</v>
      </c>
      <c r="B173" s="6">
        <v>2366</v>
      </c>
      <c r="C173" s="5">
        <v>3.9822264112835355</v>
      </c>
      <c r="D173" s="5"/>
      <c r="E173" s="6">
        <v>2354</v>
      </c>
      <c r="F173" s="5">
        <v>3.9802509215109394</v>
      </c>
      <c r="G173" s="5"/>
      <c r="H173" s="6">
        <v>12</v>
      </c>
      <c r="I173" s="5">
        <v>4.4943820224719104</v>
      </c>
      <c r="J173" s="5"/>
      <c r="K173" s="3" t="s">
        <v>96</v>
      </c>
      <c r="L173" s="16" t="s">
        <v>96</v>
      </c>
      <c r="N173" s="100">
        <f t="shared" si="17"/>
        <v>4</v>
      </c>
      <c r="O173" s="100">
        <f t="shared" si="18"/>
        <v>4</v>
      </c>
      <c r="P173" s="100">
        <f t="shared" si="19"/>
        <v>4.5</v>
      </c>
      <c r="Q173" s="100" t="e">
        <f t="shared" si="20"/>
        <v>#VALUE!</v>
      </c>
      <c r="R173" s="37"/>
      <c r="S173" s="37"/>
      <c r="T173" s="37"/>
      <c r="U173" s="37"/>
    </row>
    <row r="174" spans="1:21" ht="14.1" customHeight="1" x14ac:dyDescent="0.25">
      <c r="A174" s="61" t="s">
        <v>37</v>
      </c>
      <c r="B174" s="6">
        <v>6731</v>
      </c>
      <c r="C174" s="5">
        <v>11.328979701753795</v>
      </c>
      <c r="D174" s="5"/>
      <c r="E174" s="6">
        <v>6721</v>
      </c>
      <c r="F174" s="5">
        <v>11.36417436001488</v>
      </c>
      <c r="G174" s="5"/>
      <c r="H174" s="6">
        <v>10</v>
      </c>
      <c r="I174" s="5">
        <v>3.7453183520599254</v>
      </c>
      <c r="J174" s="5"/>
      <c r="K174" s="3" t="s">
        <v>96</v>
      </c>
      <c r="L174" s="16" t="s">
        <v>96</v>
      </c>
      <c r="N174" s="100">
        <f t="shared" si="17"/>
        <v>11.3</v>
      </c>
      <c r="O174" s="100">
        <f t="shared" si="18"/>
        <v>11.4</v>
      </c>
      <c r="P174" s="100">
        <f t="shared" si="19"/>
        <v>3.7</v>
      </c>
      <c r="Q174" s="100" t="e">
        <f t="shared" si="20"/>
        <v>#VALUE!</v>
      </c>
      <c r="R174" s="37"/>
      <c r="S174" s="37"/>
      <c r="T174" s="37"/>
      <c r="U174" s="37"/>
    </row>
    <row r="175" spans="1:21" ht="14.1" customHeight="1" x14ac:dyDescent="0.25">
      <c r="A175" s="61"/>
      <c r="B175" s="6"/>
      <c r="C175" s="5"/>
      <c r="D175" s="5"/>
      <c r="E175" s="6"/>
      <c r="F175" s="5"/>
      <c r="G175" s="5"/>
      <c r="H175" s="6"/>
      <c r="I175" s="5"/>
      <c r="J175" s="5"/>
      <c r="K175" s="6"/>
      <c r="L175" s="5"/>
      <c r="N175" s="100">
        <f t="shared" si="17"/>
        <v>0</v>
      </c>
      <c r="O175" s="100">
        <f t="shared" si="18"/>
        <v>0</v>
      </c>
      <c r="P175" s="100">
        <f t="shared" si="19"/>
        <v>0</v>
      </c>
      <c r="Q175" s="100">
        <f t="shared" si="20"/>
        <v>0</v>
      </c>
      <c r="R175" s="37"/>
      <c r="S175" s="37"/>
      <c r="T175" s="37"/>
      <c r="U175" s="37"/>
    </row>
    <row r="176" spans="1:21" ht="14.1" customHeight="1" x14ac:dyDescent="0.25">
      <c r="A176" s="63" t="s">
        <v>13</v>
      </c>
      <c r="B176" s="9">
        <v>85858</v>
      </c>
      <c r="C176" s="15">
        <v>100</v>
      </c>
      <c r="D176" s="9"/>
      <c r="E176" s="9">
        <v>85613</v>
      </c>
      <c r="F176" s="15">
        <v>100</v>
      </c>
      <c r="G176" s="15"/>
      <c r="H176" s="9">
        <v>238</v>
      </c>
      <c r="I176" s="15">
        <v>100</v>
      </c>
      <c r="J176" s="15"/>
      <c r="K176" s="9">
        <v>7</v>
      </c>
      <c r="L176" s="15">
        <v>100</v>
      </c>
      <c r="N176" s="100">
        <f>SUM(N177:N188)</f>
        <v>99.999999999999986</v>
      </c>
      <c r="O176" s="100">
        <f t="shared" ref="O176:Q176" si="22">SUM(O177:O188)</f>
        <v>100</v>
      </c>
      <c r="P176" s="100" t="e">
        <f t="shared" si="22"/>
        <v>#VALUE!</v>
      </c>
      <c r="Q176" s="100" t="e">
        <f t="shared" si="22"/>
        <v>#VALUE!</v>
      </c>
      <c r="R176" s="37"/>
      <c r="S176" s="37"/>
      <c r="T176" s="37"/>
      <c r="U176" s="37"/>
    </row>
    <row r="177" spans="1:21" ht="14.1" customHeight="1" x14ac:dyDescent="0.25">
      <c r="A177" s="61" t="s">
        <v>57</v>
      </c>
      <c r="B177" s="6">
        <v>2078</v>
      </c>
      <c r="C177" s="5">
        <v>2.4202753383493674</v>
      </c>
      <c r="D177" s="5"/>
      <c r="E177" s="6">
        <v>2075</v>
      </c>
      <c r="F177" s="5">
        <v>2.4236973356850009</v>
      </c>
      <c r="G177" s="5"/>
      <c r="H177" s="6">
        <v>3</v>
      </c>
      <c r="I177" s="5">
        <v>1.2605042016806722</v>
      </c>
      <c r="J177" s="5"/>
      <c r="K177" s="3" t="s">
        <v>96</v>
      </c>
      <c r="L177" s="16" t="s">
        <v>96</v>
      </c>
      <c r="N177" s="100">
        <f t="shared" si="17"/>
        <v>2.4</v>
      </c>
      <c r="O177" s="100">
        <f t="shared" si="18"/>
        <v>2.4</v>
      </c>
      <c r="P177" s="100">
        <f t="shared" si="19"/>
        <v>1.3</v>
      </c>
      <c r="Q177" s="100" t="e">
        <f t="shared" si="20"/>
        <v>#VALUE!</v>
      </c>
      <c r="R177" s="37"/>
      <c r="S177" s="37"/>
      <c r="T177" s="37"/>
      <c r="U177" s="37"/>
    </row>
    <row r="178" spans="1:21" ht="14.1" customHeight="1" x14ac:dyDescent="0.25">
      <c r="A178" s="61" t="s">
        <v>29</v>
      </c>
      <c r="B178" s="6">
        <v>543</v>
      </c>
      <c r="C178" s="5">
        <v>0.63243960958792422</v>
      </c>
      <c r="D178" s="5"/>
      <c r="E178" s="6">
        <v>538</v>
      </c>
      <c r="F178" s="5">
        <v>0.62840923691495454</v>
      </c>
      <c r="G178" s="5"/>
      <c r="H178" s="6">
        <v>5</v>
      </c>
      <c r="I178" s="5">
        <v>2.1008403361344539</v>
      </c>
      <c r="J178" s="5"/>
      <c r="K178" s="3" t="s">
        <v>96</v>
      </c>
      <c r="L178" s="16" t="s">
        <v>96</v>
      </c>
      <c r="N178" s="100">
        <f t="shared" si="17"/>
        <v>0.6</v>
      </c>
      <c r="O178" s="100">
        <f t="shared" si="18"/>
        <v>0.6</v>
      </c>
      <c r="P178" s="100">
        <f t="shared" si="19"/>
        <v>2.1</v>
      </c>
      <c r="Q178" s="100" t="e">
        <f t="shared" si="20"/>
        <v>#VALUE!</v>
      </c>
      <c r="R178" s="37"/>
      <c r="S178" s="37"/>
      <c r="T178" s="37"/>
      <c r="U178" s="37"/>
    </row>
    <row r="179" spans="1:21" ht="14.1" customHeight="1" x14ac:dyDescent="0.25">
      <c r="A179" s="61" t="s">
        <v>30</v>
      </c>
      <c r="B179" s="6">
        <v>6392</v>
      </c>
      <c r="C179" s="5">
        <v>7.4448508001584006</v>
      </c>
      <c r="D179" s="5"/>
      <c r="E179" s="6">
        <v>6382</v>
      </c>
      <c r="F179" s="5">
        <v>7.4544753717309291</v>
      </c>
      <c r="G179" s="5"/>
      <c r="H179" s="6">
        <v>10</v>
      </c>
      <c r="I179" s="5">
        <v>4.2016806722689077</v>
      </c>
      <c r="J179" s="5"/>
      <c r="K179" s="3" t="s">
        <v>96</v>
      </c>
      <c r="L179" s="16" t="s">
        <v>96</v>
      </c>
      <c r="N179" s="100">
        <f t="shared" si="17"/>
        <v>7.4</v>
      </c>
      <c r="O179" s="100">
        <f t="shared" si="18"/>
        <v>7.5</v>
      </c>
      <c r="P179" s="100">
        <f t="shared" si="19"/>
        <v>4.2</v>
      </c>
      <c r="Q179" s="100" t="e">
        <f t="shared" si="20"/>
        <v>#VALUE!</v>
      </c>
      <c r="R179" s="37"/>
      <c r="S179" s="37"/>
      <c r="T179" s="37"/>
      <c r="U179" s="37"/>
    </row>
    <row r="180" spans="1:21" ht="14.1" customHeight="1" x14ac:dyDescent="0.25">
      <c r="A180" s="61" t="s">
        <v>31</v>
      </c>
      <c r="B180" s="6">
        <v>55</v>
      </c>
      <c r="C180" s="5">
        <v>6.4059260639660831E-2</v>
      </c>
      <c r="D180" s="5"/>
      <c r="E180" s="6">
        <v>55</v>
      </c>
      <c r="F180" s="5">
        <v>6.4242579982012077E-2</v>
      </c>
      <c r="G180" s="5"/>
      <c r="H180" s="3" t="s">
        <v>96</v>
      </c>
      <c r="I180" s="3" t="s">
        <v>96</v>
      </c>
      <c r="J180" s="5"/>
      <c r="K180" s="3" t="s">
        <v>96</v>
      </c>
      <c r="L180" s="16" t="s">
        <v>96</v>
      </c>
      <c r="N180" s="100">
        <f t="shared" si="17"/>
        <v>0.1</v>
      </c>
      <c r="O180" s="100">
        <f t="shared" si="18"/>
        <v>0.1</v>
      </c>
      <c r="P180" s="100" t="e">
        <f t="shared" si="19"/>
        <v>#VALUE!</v>
      </c>
      <c r="Q180" s="100" t="e">
        <f t="shared" si="20"/>
        <v>#VALUE!</v>
      </c>
      <c r="R180" s="37"/>
      <c r="S180" s="37"/>
      <c r="T180" s="37"/>
      <c r="U180" s="37"/>
    </row>
    <row r="181" spans="1:21" ht="14.1" customHeight="1" x14ac:dyDescent="0.25">
      <c r="A181" s="61" t="s">
        <v>32</v>
      </c>
      <c r="B181" s="6">
        <v>736</v>
      </c>
      <c r="C181" s="5">
        <v>0.85722937874164318</v>
      </c>
      <c r="D181" s="5"/>
      <c r="E181" s="6">
        <v>732</v>
      </c>
      <c r="F181" s="5">
        <v>0.85501033721514264</v>
      </c>
      <c r="G181" s="5"/>
      <c r="H181" s="6">
        <v>4</v>
      </c>
      <c r="I181" s="5">
        <v>1.680672268907563</v>
      </c>
      <c r="J181" s="5"/>
      <c r="K181" s="3" t="s">
        <v>96</v>
      </c>
      <c r="L181" s="16" t="s">
        <v>96</v>
      </c>
      <c r="N181" s="100">
        <f t="shared" si="17"/>
        <v>0.9</v>
      </c>
      <c r="O181" s="100">
        <f t="shared" si="18"/>
        <v>0.9</v>
      </c>
      <c r="P181" s="100">
        <f t="shared" si="19"/>
        <v>1.7</v>
      </c>
      <c r="Q181" s="100" t="e">
        <f t="shared" si="20"/>
        <v>#VALUE!</v>
      </c>
      <c r="R181" s="37"/>
      <c r="S181" s="37"/>
      <c r="T181" s="37"/>
      <c r="U181" s="37"/>
    </row>
    <row r="182" spans="1:21" ht="14.1" customHeight="1" x14ac:dyDescent="0.25">
      <c r="A182" s="61" t="s">
        <v>33</v>
      </c>
      <c r="B182" s="6">
        <v>45108</v>
      </c>
      <c r="C182" s="5">
        <v>52.537911435160382</v>
      </c>
      <c r="D182" s="5"/>
      <c r="E182" s="6">
        <v>44933</v>
      </c>
      <c r="F182" s="5">
        <v>52.38385175148634</v>
      </c>
      <c r="G182" s="5"/>
      <c r="H182" s="6">
        <v>170</v>
      </c>
      <c r="I182" s="5">
        <v>71.428571428571431</v>
      </c>
      <c r="J182" s="5"/>
      <c r="K182" s="3">
        <v>5</v>
      </c>
      <c r="L182" s="16">
        <v>71.428571428571431</v>
      </c>
      <c r="N182" s="100">
        <f t="shared" si="17"/>
        <v>52.5</v>
      </c>
      <c r="O182" s="100">
        <f t="shared" si="18"/>
        <v>52.4</v>
      </c>
      <c r="P182" s="100">
        <f t="shared" si="19"/>
        <v>71.400000000000006</v>
      </c>
      <c r="Q182" s="100">
        <f t="shared" si="20"/>
        <v>71.400000000000006</v>
      </c>
      <c r="R182" s="37"/>
      <c r="S182" s="37"/>
      <c r="T182" s="37"/>
      <c r="U182" s="37"/>
    </row>
    <row r="183" spans="1:21" ht="14.1" customHeight="1" x14ac:dyDescent="0.25">
      <c r="A183" s="61" t="s">
        <v>34</v>
      </c>
      <c r="B183" s="6">
        <v>4856</v>
      </c>
      <c r="C183" s="5">
        <v>5.6558503575671457</v>
      </c>
      <c r="D183" s="5"/>
      <c r="E183" s="6">
        <v>4832</v>
      </c>
      <c r="F183" s="5">
        <v>5.644002663146952</v>
      </c>
      <c r="G183" s="5"/>
      <c r="H183" s="6">
        <v>22</v>
      </c>
      <c r="I183" s="5">
        <v>9.2436974789915975</v>
      </c>
      <c r="J183" s="5"/>
      <c r="K183" s="3">
        <v>2</v>
      </c>
      <c r="L183" s="16">
        <v>28.571428571428569</v>
      </c>
      <c r="N183" s="100">
        <f t="shared" si="17"/>
        <v>5.7</v>
      </c>
      <c r="O183" s="100">
        <f t="shared" si="18"/>
        <v>5.6</v>
      </c>
      <c r="P183" s="100">
        <f t="shared" si="19"/>
        <v>9.1999999999999993</v>
      </c>
      <c r="Q183" s="100">
        <f t="shared" si="20"/>
        <v>28.6</v>
      </c>
      <c r="R183" s="37"/>
      <c r="S183" s="37"/>
      <c r="T183" s="37"/>
      <c r="U183" s="37"/>
    </row>
    <row r="184" spans="1:21" ht="14.1" customHeight="1" x14ac:dyDescent="0.25">
      <c r="A184" s="61" t="s">
        <v>67</v>
      </c>
      <c r="B184" s="6">
        <v>1378</v>
      </c>
      <c r="C184" s="5">
        <v>1.6049756574809571</v>
      </c>
      <c r="D184" s="5"/>
      <c r="E184" s="6">
        <v>1374</v>
      </c>
      <c r="F184" s="5">
        <v>1.6048964526415381</v>
      </c>
      <c r="G184" s="5"/>
      <c r="H184" s="6">
        <v>4</v>
      </c>
      <c r="I184" s="5">
        <v>1.680672268907563</v>
      </c>
      <c r="J184" s="5"/>
      <c r="K184" s="3" t="s">
        <v>96</v>
      </c>
      <c r="L184" s="16" t="s">
        <v>96</v>
      </c>
      <c r="N184" s="100">
        <f t="shared" si="17"/>
        <v>1.6</v>
      </c>
      <c r="O184" s="100">
        <f t="shared" si="18"/>
        <v>1.6</v>
      </c>
      <c r="P184" s="100">
        <f t="shared" si="19"/>
        <v>1.7</v>
      </c>
      <c r="Q184" s="100" t="e">
        <f t="shared" si="20"/>
        <v>#VALUE!</v>
      </c>
      <c r="R184" s="37"/>
      <c r="S184" s="37"/>
      <c r="T184" s="37"/>
      <c r="U184" s="37"/>
    </row>
    <row r="185" spans="1:21" ht="14.1" customHeight="1" x14ac:dyDescent="0.25">
      <c r="A185" s="61" t="s">
        <v>70</v>
      </c>
      <c r="B185" s="6">
        <v>9838</v>
      </c>
      <c r="C185" s="5">
        <v>11.458454657690606</v>
      </c>
      <c r="D185" s="5"/>
      <c r="E185" s="6">
        <v>9834</v>
      </c>
      <c r="F185" s="5">
        <v>11.486573300783759</v>
      </c>
      <c r="G185" s="5"/>
      <c r="H185" s="6">
        <v>4</v>
      </c>
      <c r="I185" s="5">
        <v>1.680672268907563</v>
      </c>
      <c r="J185" s="5"/>
      <c r="K185" s="3" t="s">
        <v>96</v>
      </c>
      <c r="L185" s="16" t="s">
        <v>96</v>
      </c>
      <c r="N185" s="100">
        <f t="shared" si="17"/>
        <v>11.5</v>
      </c>
      <c r="O185" s="100">
        <f t="shared" si="18"/>
        <v>11.5</v>
      </c>
      <c r="P185" s="100">
        <f t="shared" si="19"/>
        <v>1.7</v>
      </c>
      <c r="Q185" s="100" t="e">
        <f t="shared" si="20"/>
        <v>#VALUE!</v>
      </c>
      <c r="R185" s="37"/>
      <c r="S185" s="37"/>
      <c r="T185" s="37"/>
      <c r="U185" s="37"/>
    </row>
    <row r="186" spans="1:21" ht="14.1" customHeight="1" x14ac:dyDescent="0.25">
      <c r="A186" s="61" t="s">
        <v>35</v>
      </c>
      <c r="B186" s="6">
        <v>1696</v>
      </c>
      <c r="C186" s="5">
        <v>1.9753546553611778</v>
      </c>
      <c r="D186" s="5"/>
      <c r="E186" s="6">
        <v>1696</v>
      </c>
      <c r="F186" s="5">
        <v>1.9810075572634998</v>
      </c>
      <c r="G186" s="5"/>
      <c r="H186" s="3" t="s">
        <v>96</v>
      </c>
      <c r="I186" s="3" t="s">
        <v>96</v>
      </c>
      <c r="J186" s="5"/>
      <c r="K186" s="3" t="s">
        <v>96</v>
      </c>
      <c r="L186" s="16" t="s">
        <v>96</v>
      </c>
      <c r="N186" s="100">
        <f t="shared" si="17"/>
        <v>2</v>
      </c>
      <c r="O186" s="100">
        <f t="shared" si="18"/>
        <v>2</v>
      </c>
      <c r="P186" s="100" t="e">
        <f t="shared" si="19"/>
        <v>#VALUE!</v>
      </c>
      <c r="Q186" s="100" t="e">
        <f t="shared" si="20"/>
        <v>#VALUE!</v>
      </c>
      <c r="R186" s="37"/>
      <c r="S186" s="37"/>
      <c r="T186" s="37"/>
      <c r="U186" s="37"/>
    </row>
    <row r="187" spans="1:21" ht="14.1" customHeight="1" x14ac:dyDescent="0.25">
      <c r="A187" s="61" t="s">
        <v>36</v>
      </c>
      <c r="B187" s="6">
        <v>4163</v>
      </c>
      <c r="C187" s="5">
        <v>4.8487036735074192</v>
      </c>
      <c r="D187" s="5"/>
      <c r="E187" s="6">
        <v>4154</v>
      </c>
      <c r="F187" s="5">
        <v>4.8520668590050571</v>
      </c>
      <c r="G187" s="5"/>
      <c r="H187" s="6">
        <v>9</v>
      </c>
      <c r="I187" s="5">
        <v>3.7815126050420167</v>
      </c>
      <c r="J187" s="5"/>
      <c r="K187" s="3" t="s">
        <v>96</v>
      </c>
      <c r="L187" s="16" t="s">
        <v>96</v>
      </c>
      <c r="N187" s="100">
        <f t="shared" si="17"/>
        <v>4.8</v>
      </c>
      <c r="O187" s="100">
        <f t="shared" si="18"/>
        <v>4.9000000000000004</v>
      </c>
      <c r="P187" s="100">
        <f t="shared" si="19"/>
        <v>3.8</v>
      </c>
      <c r="Q187" s="100" t="e">
        <f t="shared" si="20"/>
        <v>#VALUE!</v>
      </c>
      <c r="R187" s="37"/>
      <c r="S187" s="37"/>
      <c r="T187" s="37"/>
      <c r="U187" s="37"/>
    </row>
    <row r="188" spans="1:21" ht="14.1" customHeight="1" x14ac:dyDescent="0.25">
      <c r="A188" s="61" t="s">
        <v>37</v>
      </c>
      <c r="B188" s="6">
        <v>9015</v>
      </c>
      <c r="C188" s="5">
        <v>10.499895175755317</v>
      </c>
      <c r="D188" s="5"/>
      <c r="E188" s="6">
        <v>9008</v>
      </c>
      <c r="F188" s="5">
        <v>10.521766554144813</v>
      </c>
      <c r="G188" s="5"/>
      <c r="H188" s="6">
        <v>7</v>
      </c>
      <c r="I188" s="5">
        <v>2.9411764705882351</v>
      </c>
      <c r="J188" s="5"/>
      <c r="K188" s="3" t="s">
        <v>96</v>
      </c>
      <c r="L188" s="16" t="s">
        <v>96</v>
      </c>
      <c r="N188" s="100">
        <f t="shared" si="17"/>
        <v>10.5</v>
      </c>
      <c r="O188" s="100">
        <f t="shared" si="18"/>
        <v>10.5</v>
      </c>
      <c r="P188" s="100">
        <f t="shared" si="19"/>
        <v>2.9</v>
      </c>
      <c r="Q188" s="100" t="e">
        <f t="shared" si="20"/>
        <v>#VALUE!</v>
      </c>
      <c r="R188" s="37"/>
      <c r="S188" s="37"/>
      <c r="T188" s="37"/>
      <c r="U188" s="37"/>
    </row>
    <row r="189" spans="1:21" ht="14.1" customHeight="1" x14ac:dyDescent="0.25">
      <c r="A189" s="61"/>
      <c r="B189" s="6"/>
      <c r="C189" s="5"/>
      <c r="D189" s="5"/>
      <c r="E189" s="6"/>
      <c r="F189" s="5"/>
      <c r="G189" s="5"/>
      <c r="H189" s="6"/>
      <c r="I189" s="5"/>
      <c r="J189" s="5"/>
      <c r="K189" s="6"/>
      <c r="L189" s="5"/>
      <c r="N189" s="100">
        <f t="shared" si="17"/>
        <v>0</v>
      </c>
      <c r="O189" s="100">
        <f t="shared" si="18"/>
        <v>0</v>
      </c>
      <c r="P189" s="100">
        <f t="shared" si="19"/>
        <v>0</v>
      </c>
      <c r="Q189" s="100">
        <f t="shared" si="20"/>
        <v>0</v>
      </c>
      <c r="R189" s="37"/>
      <c r="S189" s="37"/>
      <c r="T189" s="37"/>
      <c r="U189" s="37"/>
    </row>
    <row r="190" spans="1:21" ht="14.1" customHeight="1" x14ac:dyDescent="0.25">
      <c r="A190" s="63" t="s">
        <v>12</v>
      </c>
      <c r="B190" s="9">
        <v>123104</v>
      </c>
      <c r="C190" s="15">
        <v>100</v>
      </c>
      <c r="D190" s="15"/>
      <c r="E190" s="9">
        <v>122492</v>
      </c>
      <c r="F190" s="15">
        <v>100</v>
      </c>
      <c r="G190" s="15"/>
      <c r="H190" s="9">
        <v>586</v>
      </c>
      <c r="I190" s="15">
        <v>100</v>
      </c>
      <c r="J190" s="15"/>
      <c r="K190" s="9">
        <v>26</v>
      </c>
      <c r="L190" s="15">
        <v>100</v>
      </c>
      <c r="N190" s="100">
        <f>SUM(N191:N202)</f>
        <v>100</v>
      </c>
      <c r="O190" s="100">
        <f t="shared" ref="O190:Q190" si="23">SUM(O191:O202)</f>
        <v>100</v>
      </c>
      <c r="P190" s="100" t="e">
        <f t="shared" si="23"/>
        <v>#VALUE!</v>
      </c>
      <c r="Q190" s="100" t="e">
        <f t="shared" si="23"/>
        <v>#VALUE!</v>
      </c>
      <c r="R190" s="37"/>
      <c r="S190" s="37"/>
      <c r="T190" s="37"/>
      <c r="U190" s="37"/>
    </row>
    <row r="191" spans="1:21" ht="14.1" customHeight="1" x14ac:dyDescent="0.25">
      <c r="A191" s="61" t="s">
        <v>57</v>
      </c>
      <c r="B191" s="6">
        <v>1346</v>
      </c>
      <c r="C191" s="5">
        <v>1.0933844554198076</v>
      </c>
      <c r="D191" s="5"/>
      <c r="E191" s="6">
        <v>1335</v>
      </c>
      <c r="F191" s="5">
        <v>1.0898670933611991</v>
      </c>
      <c r="G191" s="5"/>
      <c r="H191" s="6">
        <v>11</v>
      </c>
      <c r="I191" s="5">
        <v>1.877133105802048</v>
      </c>
      <c r="J191" s="5"/>
      <c r="K191" s="3" t="s">
        <v>96</v>
      </c>
      <c r="L191" s="16" t="s">
        <v>96</v>
      </c>
      <c r="N191" s="100">
        <f t="shared" si="17"/>
        <v>1.1000000000000001</v>
      </c>
      <c r="O191" s="100">
        <f t="shared" si="18"/>
        <v>1.1000000000000001</v>
      </c>
      <c r="P191" s="100">
        <f t="shared" si="19"/>
        <v>1.9</v>
      </c>
      <c r="Q191" s="100" t="e">
        <f t="shared" si="20"/>
        <v>#VALUE!</v>
      </c>
      <c r="R191" s="37"/>
      <c r="S191" s="37"/>
      <c r="T191" s="37"/>
      <c r="U191" s="37"/>
    </row>
    <row r="192" spans="1:21" ht="14.1" customHeight="1" x14ac:dyDescent="0.25">
      <c r="A192" s="61" t="s">
        <v>29</v>
      </c>
      <c r="B192" s="6">
        <v>2181</v>
      </c>
      <c r="C192" s="5">
        <v>1.7716727319989602</v>
      </c>
      <c r="D192" s="5"/>
      <c r="E192" s="6">
        <v>2028</v>
      </c>
      <c r="F192" s="5">
        <v>1.6556183260947654</v>
      </c>
      <c r="G192" s="5"/>
      <c r="H192" s="6">
        <v>147</v>
      </c>
      <c r="I192" s="5">
        <v>25.085324232081913</v>
      </c>
      <c r="J192" s="5"/>
      <c r="K192" s="3">
        <v>6</v>
      </c>
      <c r="L192" s="16">
        <v>23.076923076923077</v>
      </c>
      <c r="N192" s="100">
        <f t="shared" si="17"/>
        <v>1.8</v>
      </c>
      <c r="O192" s="100">
        <f t="shared" si="18"/>
        <v>1.7</v>
      </c>
      <c r="P192" s="100">
        <f t="shared" si="19"/>
        <v>25.1</v>
      </c>
      <c r="Q192" s="100">
        <f t="shared" si="20"/>
        <v>23.1</v>
      </c>
      <c r="R192" s="37"/>
      <c r="S192" s="37"/>
      <c r="T192" s="37"/>
      <c r="U192" s="37"/>
    </row>
    <row r="193" spans="1:21" ht="14.1" customHeight="1" x14ac:dyDescent="0.25">
      <c r="A193" s="61" t="s">
        <v>30</v>
      </c>
      <c r="B193" s="6">
        <v>9070</v>
      </c>
      <c r="C193" s="5">
        <v>7.3677540940992978</v>
      </c>
      <c r="D193" s="5"/>
      <c r="E193" s="6">
        <v>9052</v>
      </c>
      <c r="F193" s="5">
        <v>7.3898703588805805</v>
      </c>
      <c r="G193" s="5"/>
      <c r="H193" s="6">
        <v>18</v>
      </c>
      <c r="I193" s="5">
        <v>3.0716723549488054</v>
      </c>
      <c r="J193" s="5"/>
      <c r="K193" s="3" t="s">
        <v>96</v>
      </c>
      <c r="L193" s="16" t="s">
        <v>96</v>
      </c>
      <c r="N193" s="100">
        <f t="shared" si="17"/>
        <v>7.4</v>
      </c>
      <c r="O193" s="100">
        <f t="shared" si="18"/>
        <v>7.4</v>
      </c>
      <c r="P193" s="100">
        <f t="shared" si="19"/>
        <v>3.1</v>
      </c>
      <c r="Q193" s="100" t="e">
        <f t="shared" si="20"/>
        <v>#VALUE!</v>
      </c>
      <c r="R193" s="37"/>
      <c r="S193" s="37"/>
      <c r="T193" s="37"/>
      <c r="U193" s="37"/>
    </row>
    <row r="194" spans="1:21" ht="14.1" customHeight="1" x14ac:dyDescent="0.25">
      <c r="A194" s="61" t="s">
        <v>31</v>
      </c>
      <c r="B194" s="6">
        <v>93</v>
      </c>
      <c r="C194" s="5">
        <v>7.5545879906420588E-2</v>
      </c>
      <c r="D194" s="5"/>
      <c r="E194" s="6">
        <v>93</v>
      </c>
      <c r="F194" s="5">
        <v>7.5923325604937461E-2</v>
      </c>
      <c r="G194" s="5"/>
      <c r="H194" s="3" t="s">
        <v>96</v>
      </c>
      <c r="I194" s="3" t="s">
        <v>96</v>
      </c>
      <c r="J194" s="5"/>
      <c r="K194" s="3" t="s">
        <v>96</v>
      </c>
      <c r="L194" s="16" t="s">
        <v>96</v>
      </c>
      <c r="N194" s="100">
        <f t="shared" si="17"/>
        <v>0.1</v>
      </c>
      <c r="O194" s="100">
        <f t="shared" si="18"/>
        <v>0.1</v>
      </c>
      <c r="P194" s="100" t="e">
        <f t="shared" si="19"/>
        <v>#VALUE!</v>
      </c>
      <c r="Q194" s="100" t="e">
        <f t="shared" si="20"/>
        <v>#VALUE!</v>
      </c>
      <c r="R194" s="37"/>
      <c r="S194" s="37"/>
      <c r="T194" s="37"/>
      <c r="U194" s="37"/>
    </row>
    <row r="195" spans="1:21" ht="14.1" customHeight="1" x14ac:dyDescent="0.25">
      <c r="A195" s="61" t="s">
        <v>32</v>
      </c>
      <c r="B195" s="6">
        <v>1066</v>
      </c>
      <c r="C195" s="5">
        <v>0.86593449441122949</v>
      </c>
      <c r="D195" s="5"/>
      <c r="E195" s="6">
        <v>1055</v>
      </c>
      <c r="F195" s="5">
        <v>0.86128073670117233</v>
      </c>
      <c r="G195" s="5"/>
      <c r="H195" s="6">
        <v>11</v>
      </c>
      <c r="I195" s="5">
        <v>1.877133105802048</v>
      </c>
      <c r="J195" s="5"/>
      <c r="K195" s="3" t="s">
        <v>96</v>
      </c>
      <c r="L195" s="16" t="s">
        <v>96</v>
      </c>
      <c r="N195" s="100">
        <f t="shared" si="17"/>
        <v>0.9</v>
      </c>
      <c r="O195" s="100">
        <f t="shared" si="18"/>
        <v>0.9</v>
      </c>
      <c r="P195" s="100">
        <f t="shared" si="19"/>
        <v>1.9</v>
      </c>
      <c r="Q195" s="100" t="e">
        <f t="shared" si="20"/>
        <v>#VALUE!</v>
      </c>
      <c r="R195" s="37"/>
      <c r="S195" s="37"/>
      <c r="T195" s="37"/>
      <c r="U195" s="37"/>
    </row>
    <row r="196" spans="1:21" ht="14.1" customHeight="1" x14ac:dyDescent="0.25">
      <c r="A196" s="61" t="s">
        <v>33</v>
      </c>
      <c r="B196" s="6">
        <v>65115</v>
      </c>
      <c r="C196" s="5">
        <v>52.794300753834158</v>
      </c>
      <c r="D196" s="5"/>
      <c r="E196" s="6">
        <v>64836</v>
      </c>
      <c r="F196" s="5">
        <v>52.830803644319623</v>
      </c>
      <c r="G196" s="5"/>
      <c r="H196" s="6">
        <v>264</v>
      </c>
      <c r="I196" s="5">
        <v>44.951194539249144</v>
      </c>
      <c r="J196" s="5"/>
      <c r="K196" s="3">
        <v>15</v>
      </c>
      <c r="L196" s="16">
        <v>57.692307692307686</v>
      </c>
      <c r="N196" s="100">
        <f t="shared" si="17"/>
        <v>52.8</v>
      </c>
      <c r="O196" s="100">
        <f t="shared" si="18"/>
        <v>52.8</v>
      </c>
      <c r="P196" s="100">
        <f t="shared" si="19"/>
        <v>45</v>
      </c>
      <c r="Q196" s="100">
        <f t="shared" si="20"/>
        <v>57.7</v>
      </c>
      <c r="R196" s="37"/>
      <c r="S196" s="37"/>
      <c r="T196" s="37"/>
      <c r="U196" s="37"/>
    </row>
    <row r="197" spans="1:21" ht="14.1" customHeight="1" x14ac:dyDescent="0.25">
      <c r="A197" s="61" t="s">
        <v>34</v>
      </c>
      <c r="B197" s="6">
        <v>6921</v>
      </c>
      <c r="C197" s="5">
        <v>5.6220756433584613</v>
      </c>
      <c r="D197" s="5"/>
      <c r="E197" s="6">
        <v>6824</v>
      </c>
      <c r="F197" s="5">
        <v>5.570976063742938</v>
      </c>
      <c r="G197" s="5"/>
      <c r="H197" s="6">
        <v>92</v>
      </c>
      <c r="I197" s="5">
        <v>15.699658703071673</v>
      </c>
      <c r="J197" s="5"/>
      <c r="K197" s="3">
        <v>5</v>
      </c>
      <c r="L197" s="16">
        <v>19.230769230769234</v>
      </c>
      <c r="N197" s="100">
        <f t="shared" si="17"/>
        <v>5.6</v>
      </c>
      <c r="O197" s="100">
        <f t="shared" si="18"/>
        <v>5.6</v>
      </c>
      <c r="P197" s="100">
        <f t="shared" si="19"/>
        <v>15.7</v>
      </c>
      <c r="Q197" s="100">
        <f t="shared" si="20"/>
        <v>19.2</v>
      </c>
      <c r="R197" s="37"/>
      <c r="S197" s="37"/>
      <c r="T197" s="37"/>
      <c r="U197" s="37"/>
    </row>
    <row r="198" spans="1:21" ht="14.1" customHeight="1" x14ac:dyDescent="0.25">
      <c r="A198" s="61" t="s">
        <v>67</v>
      </c>
      <c r="B198" s="6">
        <v>1105</v>
      </c>
      <c r="C198" s="5">
        <v>0.89761502469456722</v>
      </c>
      <c r="D198" s="5"/>
      <c r="E198" s="6">
        <v>1103</v>
      </c>
      <c r="F198" s="5">
        <v>0.90046696927146264</v>
      </c>
      <c r="G198" s="5"/>
      <c r="H198" s="6">
        <v>2</v>
      </c>
      <c r="I198" s="5">
        <v>0.34129692832764508</v>
      </c>
      <c r="J198" s="5"/>
      <c r="K198" s="3" t="s">
        <v>96</v>
      </c>
      <c r="L198" s="16" t="s">
        <v>96</v>
      </c>
      <c r="N198" s="100">
        <f t="shared" si="17"/>
        <v>0.9</v>
      </c>
      <c r="O198" s="100">
        <f t="shared" si="18"/>
        <v>0.9</v>
      </c>
      <c r="P198" s="100">
        <f t="shared" si="19"/>
        <v>0.3</v>
      </c>
      <c r="Q198" s="100" t="e">
        <f t="shared" si="20"/>
        <v>#VALUE!</v>
      </c>
      <c r="R198" s="37"/>
      <c r="S198" s="37"/>
      <c r="T198" s="37"/>
      <c r="U198" s="37"/>
    </row>
    <row r="199" spans="1:21" ht="14.1" customHeight="1" x14ac:dyDescent="0.25">
      <c r="A199" s="61" t="s">
        <v>70</v>
      </c>
      <c r="B199" s="6">
        <v>14399</v>
      </c>
      <c r="C199" s="5">
        <v>11.696614244866129</v>
      </c>
      <c r="D199" s="5"/>
      <c r="E199" s="6">
        <v>14394</v>
      </c>
      <c r="F199" s="5">
        <v>11.750971492015804</v>
      </c>
      <c r="G199" s="5"/>
      <c r="H199" s="6">
        <v>5</v>
      </c>
      <c r="I199" s="5">
        <v>0.85324232081911267</v>
      </c>
      <c r="J199" s="5"/>
      <c r="K199" s="3" t="s">
        <v>96</v>
      </c>
      <c r="L199" s="16" t="s">
        <v>96</v>
      </c>
      <c r="N199" s="100">
        <f t="shared" si="17"/>
        <v>11.7</v>
      </c>
      <c r="O199" s="100">
        <f t="shared" si="18"/>
        <v>11.8</v>
      </c>
      <c r="P199" s="100">
        <f t="shared" si="19"/>
        <v>0.9</v>
      </c>
      <c r="Q199" s="100" t="e">
        <f t="shared" si="20"/>
        <v>#VALUE!</v>
      </c>
      <c r="R199" s="37"/>
      <c r="S199" s="37"/>
      <c r="T199" s="37"/>
      <c r="U199" s="37"/>
    </row>
    <row r="200" spans="1:21" ht="14.1" customHeight="1" x14ac:dyDescent="0.25">
      <c r="A200" s="61" t="s">
        <v>35</v>
      </c>
      <c r="B200" s="6">
        <v>1341</v>
      </c>
      <c r="C200" s="5">
        <v>1.0893228489732261</v>
      </c>
      <c r="D200" s="5"/>
      <c r="E200" s="6">
        <v>1339</v>
      </c>
      <c r="F200" s="5">
        <v>1.0931326127420566</v>
      </c>
      <c r="G200" s="5"/>
      <c r="H200" s="6">
        <v>2</v>
      </c>
      <c r="I200" s="5">
        <v>0.34129692832764508</v>
      </c>
      <c r="J200" s="5"/>
      <c r="K200" s="3" t="s">
        <v>96</v>
      </c>
      <c r="L200" s="16" t="s">
        <v>96</v>
      </c>
      <c r="N200" s="100">
        <f t="shared" si="17"/>
        <v>1.1000000000000001</v>
      </c>
      <c r="O200" s="100">
        <f t="shared" si="18"/>
        <v>1.1000000000000001</v>
      </c>
      <c r="P200" s="100">
        <f t="shared" si="19"/>
        <v>0.3</v>
      </c>
      <c r="Q200" s="100" t="e">
        <f t="shared" si="20"/>
        <v>#VALUE!</v>
      </c>
      <c r="R200" s="37"/>
      <c r="S200" s="37"/>
      <c r="T200" s="37"/>
      <c r="U200" s="37"/>
    </row>
    <row r="201" spans="1:21" ht="14.1" customHeight="1" x14ac:dyDescent="0.25">
      <c r="A201" s="61" t="s">
        <v>36</v>
      </c>
      <c r="B201" s="6">
        <v>4158</v>
      </c>
      <c r="C201" s="5">
        <v>3.3776319209773851</v>
      </c>
      <c r="D201" s="5"/>
      <c r="E201" s="6">
        <v>4133</v>
      </c>
      <c r="F201" s="5">
        <v>3.3740979002710376</v>
      </c>
      <c r="G201" s="5"/>
      <c r="H201" s="6">
        <v>25</v>
      </c>
      <c r="I201" s="5">
        <v>4.2662116040955631</v>
      </c>
      <c r="J201" s="5"/>
      <c r="K201" s="3" t="s">
        <v>96</v>
      </c>
      <c r="L201" s="16" t="s">
        <v>96</v>
      </c>
      <c r="N201" s="100">
        <f t="shared" si="17"/>
        <v>3.4</v>
      </c>
      <c r="O201" s="100">
        <f t="shared" si="18"/>
        <v>3.4</v>
      </c>
      <c r="P201" s="100">
        <f t="shared" si="19"/>
        <v>4.3</v>
      </c>
      <c r="Q201" s="100" t="e">
        <f t="shared" si="20"/>
        <v>#VALUE!</v>
      </c>
      <c r="R201" s="37"/>
      <c r="S201" s="37"/>
      <c r="T201" s="37"/>
      <c r="U201" s="37"/>
    </row>
    <row r="202" spans="1:21" ht="14.1" customHeight="1" x14ac:dyDescent="0.25">
      <c r="A202" s="61" t="s">
        <v>37</v>
      </c>
      <c r="B202" s="6">
        <v>16309</v>
      </c>
      <c r="C202" s="5">
        <v>13.248147907460359</v>
      </c>
      <c r="D202" s="5"/>
      <c r="E202" s="6">
        <v>16300</v>
      </c>
      <c r="F202" s="5">
        <v>13.206991476994416</v>
      </c>
      <c r="G202" s="5"/>
      <c r="H202" s="6">
        <v>9</v>
      </c>
      <c r="I202" s="5">
        <v>1.5358361774744027</v>
      </c>
      <c r="J202" s="5"/>
      <c r="K202" s="3" t="s">
        <v>96</v>
      </c>
      <c r="L202" s="16" t="s">
        <v>96</v>
      </c>
      <c r="N202" s="100">
        <f t="shared" si="17"/>
        <v>13.2</v>
      </c>
      <c r="O202" s="100">
        <f t="shared" si="18"/>
        <v>13.2</v>
      </c>
      <c r="P202" s="100">
        <f t="shared" si="19"/>
        <v>1.5</v>
      </c>
      <c r="Q202" s="100" t="e">
        <f t="shared" si="20"/>
        <v>#VALUE!</v>
      </c>
      <c r="R202" s="37"/>
      <c r="S202" s="37"/>
      <c r="T202" s="37"/>
      <c r="U202" s="37"/>
    </row>
    <row r="203" spans="1:21" ht="14.1" customHeight="1" x14ac:dyDescent="0.25">
      <c r="A203" s="61"/>
      <c r="B203" s="6"/>
      <c r="C203" s="5"/>
      <c r="D203" s="5"/>
      <c r="E203" s="6"/>
      <c r="F203" s="5"/>
      <c r="G203" s="5"/>
      <c r="H203" s="6"/>
      <c r="I203" s="5"/>
      <c r="J203" s="5"/>
      <c r="K203" s="6"/>
      <c r="L203" s="5"/>
      <c r="N203" s="100">
        <f t="shared" si="17"/>
        <v>0</v>
      </c>
      <c r="O203" s="100">
        <f t="shared" si="18"/>
        <v>0</v>
      </c>
      <c r="P203" s="100">
        <f t="shared" si="19"/>
        <v>0</v>
      </c>
      <c r="Q203" s="100">
        <f t="shared" si="20"/>
        <v>0</v>
      </c>
      <c r="R203" s="37"/>
      <c r="S203" s="37"/>
      <c r="T203" s="37"/>
      <c r="U203" s="37"/>
    </row>
    <row r="204" spans="1:21" ht="14.1" customHeight="1" x14ac:dyDescent="0.25">
      <c r="A204" s="63" t="s">
        <v>11</v>
      </c>
      <c r="B204" s="9">
        <v>84663</v>
      </c>
      <c r="C204" s="15">
        <v>100</v>
      </c>
      <c r="D204" s="15"/>
      <c r="E204" s="9">
        <v>84444</v>
      </c>
      <c r="F204" s="15">
        <v>100</v>
      </c>
      <c r="G204" s="15"/>
      <c r="H204" s="9">
        <v>208</v>
      </c>
      <c r="I204" s="15">
        <v>100</v>
      </c>
      <c r="J204" s="15"/>
      <c r="K204" s="9">
        <v>11</v>
      </c>
      <c r="L204" s="15">
        <v>100</v>
      </c>
      <c r="N204" s="100">
        <f>SUM(N205:N217)</f>
        <v>100</v>
      </c>
      <c r="O204" s="100">
        <f t="shared" ref="O204:Q204" si="24">SUM(O205:O217)</f>
        <v>100</v>
      </c>
      <c r="P204" s="100" t="e">
        <f t="shared" si="24"/>
        <v>#VALUE!</v>
      </c>
      <c r="Q204" s="100" t="e">
        <f t="shared" si="24"/>
        <v>#VALUE!</v>
      </c>
      <c r="R204" s="37"/>
      <c r="S204" s="37"/>
      <c r="T204" s="37"/>
      <c r="U204" s="37"/>
    </row>
    <row r="205" spans="1:21" ht="14.1" customHeight="1" x14ac:dyDescent="0.25">
      <c r="A205" s="61" t="s">
        <v>57</v>
      </c>
      <c r="B205" s="6">
        <v>912</v>
      </c>
      <c r="C205" s="5">
        <v>1.0772120052443217</v>
      </c>
      <c r="D205" s="5"/>
      <c r="E205" s="6">
        <v>897</v>
      </c>
      <c r="F205" s="5">
        <v>1.0622424328549098</v>
      </c>
      <c r="G205" s="5"/>
      <c r="H205" s="6">
        <v>14</v>
      </c>
      <c r="I205" s="5">
        <v>6.7307692307692308</v>
      </c>
      <c r="J205" s="5"/>
      <c r="K205" s="6">
        <v>1</v>
      </c>
      <c r="L205" s="5">
        <v>9.0909090909090917</v>
      </c>
      <c r="N205" s="100">
        <f t="shared" si="17"/>
        <v>1.1000000000000001</v>
      </c>
      <c r="O205" s="100">
        <f t="shared" si="18"/>
        <v>1.1000000000000001</v>
      </c>
      <c r="P205" s="100">
        <f t="shared" si="19"/>
        <v>6.7</v>
      </c>
      <c r="Q205" s="100">
        <f t="shared" si="20"/>
        <v>9.1</v>
      </c>
      <c r="R205" s="37"/>
      <c r="S205" s="37"/>
      <c r="T205" s="37"/>
      <c r="U205" s="37"/>
    </row>
    <row r="206" spans="1:21" ht="14.1" customHeight="1" x14ac:dyDescent="0.25">
      <c r="A206" s="61" t="s">
        <v>29</v>
      </c>
      <c r="B206" s="6">
        <v>153</v>
      </c>
      <c r="C206" s="5">
        <v>0.18071648772190921</v>
      </c>
      <c r="D206" s="5"/>
      <c r="E206" s="6">
        <v>153</v>
      </c>
      <c r="F206" s="5">
        <v>0.18118516413244279</v>
      </c>
      <c r="G206" s="5"/>
      <c r="H206" s="3" t="s">
        <v>96</v>
      </c>
      <c r="I206" s="16" t="s">
        <v>96</v>
      </c>
      <c r="J206" s="5"/>
      <c r="K206" s="3" t="s">
        <v>96</v>
      </c>
      <c r="L206" s="16" t="s">
        <v>96</v>
      </c>
      <c r="N206" s="100">
        <f t="shared" si="17"/>
        <v>0.2</v>
      </c>
      <c r="O206" s="100">
        <f t="shared" si="18"/>
        <v>0.2</v>
      </c>
      <c r="P206" s="100" t="e">
        <f t="shared" si="19"/>
        <v>#VALUE!</v>
      </c>
      <c r="Q206" s="100" t="e">
        <f t="shared" si="20"/>
        <v>#VALUE!</v>
      </c>
      <c r="R206" s="37"/>
      <c r="S206" s="37"/>
      <c r="T206" s="37"/>
      <c r="U206" s="37"/>
    </row>
    <row r="207" spans="1:21" ht="14.1" customHeight="1" x14ac:dyDescent="0.25">
      <c r="A207" s="61" t="s">
        <v>30</v>
      </c>
      <c r="B207" s="6">
        <v>5290</v>
      </c>
      <c r="C207" s="5">
        <v>6.2483020918228744</v>
      </c>
      <c r="D207" s="5"/>
      <c r="E207" s="6">
        <v>5281</v>
      </c>
      <c r="F207" s="5">
        <v>6.2538487044668658</v>
      </c>
      <c r="G207" s="5"/>
      <c r="H207" s="3">
        <v>9</v>
      </c>
      <c r="I207" s="16">
        <v>4.3269230769230766</v>
      </c>
      <c r="J207" s="5"/>
      <c r="K207" s="3" t="s">
        <v>96</v>
      </c>
      <c r="L207" s="16" t="s">
        <v>96</v>
      </c>
      <c r="N207" s="100">
        <f t="shared" si="17"/>
        <v>6.2</v>
      </c>
      <c r="O207" s="100">
        <f t="shared" si="18"/>
        <v>6.3</v>
      </c>
      <c r="P207" s="100">
        <f t="shared" si="19"/>
        <v>4.3</v>
      </c>
      <c r="Q207" s="100" t="e">
        <f t="shared" si="20"/>
        <v>#VALUE!</v>
      </c>
      <c r="R207" s="37"/>
      <c r="S207" s="37"/>
      <c r="T207" s="37"/>
      <c r="U207" s="37"/>
    </row>
    <row r="208" spans="1:21" ht="14.1" customHeight="1" x14ac:dyDescent="0.25">
      <c r="A208" s="61" t="s">
        <v>31</v>
      </c>
      <c r="B208" s="6">
        <v>112</v>
      </c>
      <c r="C208" s="5">
        <v>0.13228919362649563</v>
      </c>
      <c r="D208" s="5"/>
      <c r="E208" s="6">
        <v>111</v>
      </c>
      <c r="F208" s="5">
        <v>0.1314480602529487</v>
      </c>
      <c r="G208" s="5"/>
      <c r="H208" s="3">
        <v>1</v>
      </c>
      <c r="I208" s="16">
        <v>0.48076923076923078</v>
      </c>
      <c r="J208" s="5"/>
      <c r="K208" s="3" t="s">
        <v>96</v>
      </c>
      <c r="L208" s="16" t="s">
        <v>96</v>
      </c>
      <c r="N208" s="100">
        <f t="shared" si="17"/>
        <v>0.1</v>
      </c>
      <c r="O208" s="100">
        <f t="shared" si="18"/>
        <v>0.1</v>
      </c>
      <c r="P208" s="100">
        <f t="shared" si="19"/>
        <v>0.5</v>
      </c>
      <c r="Q208" s="100" t="e">
        <f t="shared" si="20"/>
        <v>#VALUE!</v>
      </c>
      <c r="R208" s="37"/>
      <c r="S208" s="37"/>
      <c r="T208" s="37"/>
      <c r="U208" s="37"/>
    </row>
    <row r="209" spans="1:21" ht="14.1" customHeight="1" x14ac:dyDescent="0.25">
      <c r="A209" s="61" t="s">
        <v>32</v>
      </c>
      <c r="B209" s="6">
        <v>367</v>
      </c>
      <c r="C209" s="5">
        <v>0.43348333982967763</v>
      </c>
      <c r="D209" s="5"/>
      <c r="E209" s="6">
        <v>362</v>
      </c>
      <c r="F209" s="5">
        <v>0.42868646677087774</v>
      </c>
      <c r="G209" s="5"/>
      <c r="H209" s="3">
        <v>4</v>
      </c>
      <c r="I209" s="16">
        <v>1.9230769230769231</v>
      </c>
      <c r="J209" s="5"/>
      <c r="K209" s="3">
        <v>1</v>
      </c>
      <c r="L209" s="16">
        <v>9.0909090909090917</v>
      </c>
      <c r="N209" s="100">
        <f t="shared" si="17"/>
        <v>0.4</v>
      </c>
      <c r="O209" s="100">
        <f t="shared" si="18"/>
        <v>0.4</v>
      </c>
      <c r="P209" s="100">
        <f t="shared" si="19"/>
        <v>1.9</v>
      </c>
      <c r="Q209" s="100">
        <f t="shared" si="20"/>
        <v>9.1</v>
      </c>
      <c r="R209" s="37"/>
      <c r="S209" s="37"/>
      <c r="T209" s="37"/>
      <c r="U209" s="37"/>
    </row>
    <row r="210" spans="1:21" ht="14.1" customHeight="1" x14ac:dyDescent="0.25">
      <c r="A210" s="61" t="s">
        <v>33</v>
      </c>
      <c r="B210" s="6">
        <v>39100</v>
      </c>
      <c r="C210" s="5">
        <v>46.383102417821249</v>
      </c>
      <c r="D210" s="5"/>
      <c r="E210" s="6">
        <v>38970</v>
      </c>
      <c r="F210" s="5">
        <v>46.048927099616314</v>
      </c>
      <c r="G210" s="5"/>
      <c r="H210" s="3">
        <v>123</v>
      </c>
      <c r="I210" s="16">
        <v>59.234615384615388</v>
      </c>
      <c r="J210" s="5"/>
      <c r="K210" s="3">
        <v>7</v>
      </c>
      <c r="L210" s="16">
        <v>63.636363636363633</v>
      </c>
      <c r="N210" s="100">
        <f t="shared" si="17"/>
        <v>46.4</v>
      </c>
      <c r="O210" s="100">
        <f t="shared" si="18"/>
        <v>46</v>
      </c>
      <c r="P210" s="100">
        <f t="shared" si="19"/>
        <v>59.2</v>
      </c>
      <c r="Q210" s="100">
        <f t="shared" si="20"/>
        <v>63.6</v>
      </c>
      <c r="R210" s="37"/>
      <c r="S210" s="37"/>
      <c r="T210" s="37"/>
      <c r="U210" s="37"/>
    </row>
    <row r="211" spans="1:21" ht="14.1" customHeight="1" x14ac:dyDescent="0.25">
      <c r="A211" s="61" t="s">
        <v>34</v>
      </c>
      <c r="B211" s="6">
        <v>3630</v>
      </c>
      <c r="C211" s="5">
        <v>4.2875872577158853</v>
      </c>
      <c r="D211" s="5"/>
      <c r="E211" s="6">
        <v>3599</v>
      </c>
      <c r="F211" s="5">
        <v>4.2619961157690307</v>
      </c>
      <c r="G211" s="5"/>
      <c r="H211" s="3">
        <v>30</v>
      </c>
      <c r="I211" s="16">
        <v>14.423076923076922</v>
      </c>
      <c r="J211" s="5"/>
      <c r="K211" s="3">
        <v>1</v>
      </c>
      <c r="L211" s="16">
        <v>9.0909090909090917</v>
      </c>
      <c r="N211" s="100">
        <f t="shared" si="17"/>
        <v>4.3</v>
      </c>
      <c r="O211" s="100">
        <f t="shared" si="18"/>
        <v>4.3</v>
      </c>
      <c r="P211" s="100">
        <f t="shared" si="19"/>
        <v>14.4</v>
      </c>
      <c r="Q211" s="100">
        <f t="shared" si="20"/>
        <v>9.1</v>
      </c>
      <c r="R211" s="37"/>
      <c r="S211" s="37"/>
      <c r="T211" s="37"/>
      <c r="U211" s="37"/>
    </row>
    <row r="212" spans="1:21" ht="14.1" customHeight="1" x14ac:dyDescent="0.25">
      <c r="A212" s="61" t="s">
        <v>67</v>
      </c>
      <c r="B212" s="6">
        <v>526</v>
      </c>
      <c r="C212" s="5">
        <v>0.62128674863872058</v>
      </c>
      <c r="D212" s="5"/>
      <c r="E212" s="6">
        <v>525</v>
      </c>
      <c r="F212" s="5">
        <v>0.62171379849367625</v>
      </c>
      <c r="G212" s="5"/>
      <c r="H212" s="3">
        <v>1</v>
      </c>
      <c r="I212" s="16">
        <v>0.48076923076923078</v>
      </c>
      <c r="J212" s="5"/>
      <c r="K212" s="3" t="s">
        <v>96</v>
      </c>
      <c r="L212" s="16" t="s">
        <v>96</v>
      </c>
      <c r="N212" s="100">
        <f t="shared" si="17"/>
        <v>0.6</v>
      </c>
      <c r="O212" s="100">
        <f t="shared" si="18"/>
        <v>0.6</v>
      </c>
      <c r="P212" s="100">
        <f t="shared" si="19"/>
        <v>0.5</v>
      </c>
      <c r="Q212" s="100" t="e">
        <f t="shared" si="20"/>
        <v>#VALUE!</v>
      </c>
      <c r="R212" s="37"/>
      <c r="S212" s="37"/>
      <c r="T212" s="37"/>
      <c r="U212" s="37"/>
    </row>
    <row r="213" spans="1:21" ht="14.1" customHeight="1" x14ac:dyDescent="0.25">
      <c r="A213" s="61" t="s">
        <v>70</v>
      </c>
      <c r="B213" s="6">
        <v>6897</v>
      </c>
      <c r="C213" s="5">
        <v>8.1464157896601819</v>
      </c>
      <c r="D213" s="5"/>
      <c r="E213" s="6">
        <v>6893</v>
      </c>
      <c r="F213" s="5">
        <v>8.1628061200322115</v>
      </c>
      <c r="G213" s="5"/>
      <c r="H213" s="3">
        <v>3</v>
      </c>
      <c r="I213" s="16">
        <v>1.4423076923076923</v>
      </c>
      <c r="J213" s="5"/>
      <c r="K213" s="3">
        <v>1</v>
      </c>
      <c r="L213" s="16">
        <v>9.0909090909090917</v>
      </c>
      <c r="N213" s="100">
        <f t="shared" si="17"/>
        <v>8.1</v>
      </c>
      <c r="O213" s="100">
        <f t="shared" si="18"/>
        <v>8.1999999999999993</v>
      </c>
      <c r="P213" s="100">
        <f t="shared" si="19"/>
        <v>1.4</v>
      </c>
      <c r="Q213" s="100">
        <f t="shared" si="20"/>
        <v>9.1</v>
      </c>
      <c r="R213" s="37"/>
      <c r="S213" s="37"/>
      <c r="T213" s="37"/>
      <c r="U213" s="37"/>
    </row>
    <row r="214" spans="1:21" ht="14.1" customHeight="1" x14ac:dyDescent="0.25">
      <c r="A214" s="61" t="s">
        <v>35</v>
      </c>
      <c r="B214" s="6">
        <v>1226</v>
      </c>
      <c r="C214" s="5">
        <v>1.4480942088043183</v>
      </c>
      <c r="D214" s="5"/>
      <c r="E214" s="6">
        <v>1226</v>
      </c>
      <c r="F214" s="5">
        <v>1.4518497465776137</v>
      </c>
      <c r="G214" s="5"/>
      <c r="H214" s="3" t="s">
        <v>96</v>
      </c>
      <c r="I214" s="16" t="s">
        <v>96</v>
      </c>
      <c r="J214" s="5"/>
      <c r="K214" s="3" t="s">
        <v>96</v>
      </c>
      <c r="L214" s="16" t="s">
        <v>96</v>
      </c>
      <c r="N214" s="100">
        <f t="shared" si="17"/>
        <v>1.4</v>
      </c>
      <c r="O214" s="100">
        <f t="shared" si="18"/>
        <v>1.5</v>
      </c>
      <c r="P214" s="100" t="e">
        <f t="shared" si="19"/>
        <v>#VALUE!</v>
      </c>
      <c r="Q214" s="100" t="e">
        <f t="shared" si="20"/>
        <v>#VALUE!</v>
      </c>
      <c r="R214" s="37"/>
      <c r="S214" s="37"/>
      <c r="T214" s="37"/>
      <c r="U214" s="37"/>
    </row>
    <row r="215" spans="1:21" ht="14.1" customHeight="1" x14ac:dyDescent="0.25">
      <c r="A215" s="61" t="s">
        <v>36</v>
      </c>
      <c r="B215" s="6">
        <v>11027</v>
      </c>
      <c r="C215" s="5">
        <v>13.024579804637209</v>
      </c>
      <c r="D215" s="5"/>
      <c r="E215" s="6">
        <v>11011</v>
      </c>
      <c r="F215" s="5">
        <v>13.039410733740702</v>
      </c>
      <c r="G215" s="5"/>
      <c r="H215" s="3">
        <v>16</v>
      </c>
      <c r="I215" s="16">
        <v>7.6923076923076925</v>
      </c>
      <c r="J215" s="5"/>
      <c r="K215" s="3" t="s">
        <v>96</v>
      </c>
      <c r="L215" s="16" t="s">
        <v>96</v>
      </c>
      <c r="N215" s="100">
        <f t="shared" si="17"/>
        <v>13</v>
      </c>
      <c r="O215" s="100">
        <f t="shared" si="18"/>
        <v>13</v>
      </c>
      <c r="P215" s="100">
        <f t="shared" si="19"/>
        <v>7.7</v>
      </c>
      <c r="Q215" s="100" t="e">
        <f t="shared" si="20"/>
        <v>#VALUE!</v>
      </c>
      <c r="R215" s="37"/>
      <c r="S215" s="37"/>
      <c r="T215" s="37"/>
      <c r="U215" s="37"/>
    </row>
    <row r="216" spans="1:21" ht="14.1" customHeight="1" x14ac:dyDescent="0.25">
      <c r="A216" s="61" t="s">
        <v>37</v>
      </c>
      <c r="B216" s="6">
        <v>15423</v>
      </c>
      <c r="C216" s="5">
        <v>18.216930654477164</v>
      </c>
      <c r="D216" s="5"/>
      <c r="E216" s="6">
        <v>15416</v>
      </c>
      <c r="F216" s="5">
        <v>18.255885557292405</v>
      </c>
      <c r="G216" s="5"/>
      <c r="H216" s="3">
        <v>7</v>
      </c>
      <c r="I216" s="16">
        <v>3.3653846153846154</v>
      </c>
      <c r="J216" s="5"/>
      <c r="K216" s="3" t="s">
        <v>96</v>
      </c>
      <c r="L216" s="16" t="s">
        <v>96</v>
      </c>
      <c r="N216" s="100">
        <f t="shared" ref="N216:N279" si="25">ROUND(C216,1)</f>
        <v>18.2</v>
      </c>
      <c r="O216" s="100">
        <f t="shared" ref="O216:O279" si="26">ROUND(F216,1)</f>
        <v>18.3</v>
      </c>
      <c r="P216" s="100">
        <f t="shared" ref="P216:P279" si="27">ROUND(I216,1)</f>
        <v>3.4</v>
      </c>
      <c r="Q216" s="100" t="e">
        <f t="shared" ref="Q216:Q279" si="28">ROUND(L216,1)</f>
        <v>#VALUE!</v>
      </c>
      <c r="R216" s="37"/>
      <c r="S216" s="37"/>
      <c r="T216" s="37"/>
      <c r="U216" s="37"/>
    </row>
    <row r="217" spans="1:21" ht="14.1" customHeight="1" x14ac:dyDescent="0.25">
      <c r="A217" s="61"/>
      <c r="B217" s="6"/>
      <c r="C217" s="5"/>
      <c r="D217" s="5"/>
      <c r="E217" s="6"/>
      <c r="F217" s="5"/>
      <c r="G217" s="5"/>
      <c r="H217" s="6"/>
      <c r="I217" s="5"/>
      <c r="J217" s="5"/>
      <c r="K217" s="6"/>
      <c r="L217" s="5"/>
      <c r="N217" s="100">
        <f t="shared" si="25"/>
        <v>0</v>
      </c>
      <c r="O217" s="100">
        <f t="shared" si="26"/>
        <v>0</v>
      </c>
      <c r="P217" s="100">
        <f t="shared" si="27"/>
        <v>0</v>
      </c>
      <c r="Q217" s="100">
        <f t="shared" si="28"/>
        <v>0</v>
      </c>
      <c r="R217" s="37"/>
      <c r="S217" s="37"/>
      <c r="T217" s="37"/>
      <c r="U217" s="37"/>
    </row>
    <row r="218" spans="1:21" ht="14.1" customHeight="1" x14ac:dyDescent="0.25">
      <c r="A218" s="94" t="s">
        <v>71</v>
      </c>
      <c r="B218" s="9">
        <v>925728</v>
      </c>
      <c r="C218" s="15">
        <v>100</v>
      </c>
      <c r="D218" s="9"/>
      <c r="E218" s="9">
        <v>922840</v>
      </c>
      <c r="F218" s="15">
        <v>100</v>
      </c>
      <c r="G218" s="9"/>
      <c r="H218" s="9">
        <v>2789</v>
      </c>
      <c r="I218" s="15">
        <v>100</v>
      </c>
      <c r="J218" s="9"/>
      <c r="K218" s="9">
        <v>99</v>
      </c>
      <c r="L218" s="15">
        <v>100</v>
      </c>
      <c r="N218" s="100">
        <f>SUM(N219:N230)</f>
        <v>100</v>
      </c>
      <c r="O218" s="100">
        <f t="shared" ref="O218:Q218" si="29">SUM(O219:O230)</f>
        <v>99.999999999999986</v>
      </c>
      <c r="P218" s="100">
        <f t="shared" si="29"/>
        <v>100.00000000000001</v>
      </c>
      <c r="Q218" s="100" t="e">
        <f t="shared" si="29"/>
        <v>#VALUE!</v>
      </c>
      <c r="R218" s="37"/>
      <c r="S218" s="37"/>
      <c r="T218" s="37"/>
      <c r="U218" s="37"/>
    </row>
    <row r="219" spans="1:21" ht="14.1" customHeight="1" x14ac:dyDescent="0.25">
      <c r="A219" s="92" t="s">
        <v>57</v>
      </c>
      <c r="B219" s="6">
        <v>3007</v>
      </c>
      <c r="C219" s="5">
        <v>0.32482543468491826</v>
      </c>
      <c r="D219" s="5"/>
      <c r="E219" s="6">
        <v>2924</v>
      </c>
      <c r="F219" s="5">
        <v>0.31684799098435268</v>
      </c>
      <c r="G219" s="5"/>
      <c r="H219" s="6">
        <v>79</v>
      </c>
      <c r="I219" s="5">
        <v>2.8325564718537111</v>
      </c>
      <c r="J219" s="5"/>
      <c r="K219" s="3">
        <v>4</v>
      </c>
      <c r="L219" s="16">
        <v>4.1666666666666661</v>
      </c>
      <c r="N219" s="100">
        <f t="shared" si="25"/>
        <v>0.3</v>
      </c>
      <c r="O219" s="100">
        <f t="shared" si="26"/>
        <v>0.3</v>
      </c>
      <c r="P219" s="100">
        <f t="shared" si="27"/>
        <v>2.8</v>
      </c>
      <c r="Q219" s="100">
        <f t="shared" si="28"/>
        <v>4.2</v>
      </c>
      <c r="R219" s="37"/>
      <c r="S219" s="37"/>
      <c r="T219" s="37"/>
      <c r="U219" s="37"/>
    </row>
    <row r="220" spans="1:21" ht="14.1" customHeight="1" x14ac:dyDescent="0.25">
      <c r="A220" s="92" t="s">
        <v>29</v>
      </c>
      <c r="B220" s="6">
        <v>1904</v>
      </c>
      <c r="C220" s="5">
        <v>0.20567596529434135</v>
      </c>
      <c r="D220" s="5"/>
      <c r="E220" s="6">
        <v>1844</v>
      </c>
      <c r="F220" s="5">
        <v>0.19981795327467383</v>
      </c>
      <c r="G220" s="5"/>
      <c r="H220" s="6">
        <v>55</v>
      </c>
      <c r="I220" s="5">
        <v>1.9720329867335962</v>
      </c>
      <c r="J220" s="5"/>
      <c r="K220" s="3">
        <v>5</v>
      </c>
      <c r="L220" s="5">
        <v>5.0505050505050502</v>
      </c>
      <c r="N220" s="100">
        <f t="shared" si="25"/>
        <v>0.2</v>
      </c>
      <c r="O220" s="100">
        <f t="shared" si="26"/>
        <v>0.2</v>
      </c>
      <c r="P220" s="100">
        <f t="shared" si="27"/>
        <v>2</v>
      </c>
      <c r="Q220" s="100">
        <f t="shared" si="28"/>
        <v>5.0999999999999996</v>
      </c>
      <c r="R220" s="37"/>
      <c r="S220" s="37"/>
      <c r="T220" s="37"/>
      <c r="U220" s="37"/>
    </row>
    <row r="221" spans="1:21" ht="14.1" customHeight="1" x14ac:dyDescent="0.25">
      <c r="A221" s="92" t="s">
        <v>30</v>
      </c>
      <c r="B221" s="6">
        <v>72337</v>
      </c>
      <c r="C221" s="5">
        <v>7.8140663348197315</v>
      </c>
      <c r="D221" s="5"/>
      <c r="E221" s="6">
        <v>72141</v>
      </c>
      <c r="F221" s="5">
        <v>7.8172814355684626</v>
      </c>
      <c r="G221" s="5"/>
      <c r="H221" s="6">
        <v>190</v>
      </c>
      <c r="I221" s="5">
        <v>6.8124775905342414</v>
      </c>
      <c r="J221" s="5"/>
      <c r="K221" s="3">
        <v>6</v>
      </c>
      <c r="L221" s="5">
        <v>6.0606060606060606</v>
      </c>
      <c r="N221" s="100">
        <f t="shared" si="25"/>
        <v>7.8</v>
      </c>
      <c r="O221" s="100">
        <f t="shared" si="26"/>
        <v>7.8</v>
      </c>
      <c r="P221" s="100">
        <f t="shared" si="27"/>
        <v>6.8</v>
      </c>
      <c r="Q221" s="100">
        <f t="shared" si="28"/>
        <v>6.1</v>
      </c>
      <c r="R221" s="37"/>
      <c r="S221" s="37"/>
      <c r="T221" s="37"/>
      <c r="U221" s="37"/>
    </row>
    <row r="222" spans="1:21" ht="14.1" customHeight="1" x14ac:dyDescent="0.25">
      <c r="A222" s="92" t="s">
        <v>31</v>
      </c>
      <c r="B222" s="6">
        <v>1474</v>
      </c>
      <c r="C222" s="5">
        <v>0.15922603615748904</v>
      </c>
      <c r="D222" s="5"/>
      <c r="E222" s="6">
        <v>1462</v>
      </c>
      <c r="F222" s="5">
        <v>0.15842399549217634</v>
      </c>
      <c r="G222" s="5"/>
      <c r="H222" s="6">
        <v>11</v>
      </c>
      <c r="I222" s="5">
        <v>0.39440659734671923</v>
      </c>
      <c r="J222" s="5"/>
      <c r="K222" s="3">
        <v>1</v>
      </c>
      <c r="L222" s="5">
        <v>1.0101010101010102</v>
      </c>
      <c r="N222" s="100">
        <f t="shared" si="25"/>
        <v>0.2</v>
      </c>
      <c r="O222" s="100">
        <f t="shared" si="26"/>
        <v>0.2</v>
      </c>
      <c r="P222" s="100">
        <f t="shared" si="27"/>
        <v>0.4</v>
      </c>
      <c r="Q222" s="100">
        <f t="shared" si="28"/>
        <v>1</v>
      </c>
      <c r="R222" s="37"/>
      <c r="S222" s="37"/>
      <c r="T222" s="37"/>
      <c r="U222" s="37"/>
    </row>
    <row r="223" spans="1:21" ht="14.1" customHeight="1" x14ac:dyDescent="0.25">
      <c r="A223" s="92" t="s">
        <v>32</v>
      </c>
      <c r="B223" s="6">
        <v>8459</v>
      </c>
      <c r="C223" s="5">
        <v>0.91376732690379892</v>
      </c>
      <c r="D223" s="5"/>
      <c r="E223" s="6">
        <v>8396</v>
      </c>
      <c r="F223" s="5">
        <v>0.9098001820467253</v>
      </c>
      <c r="G223" s="5"/>
      <c r="H223" s="6">
        <v>63</v>
      </c>
      <c r="I223" s="5">
        <v>2.2588741484403014</v>
      </c>
      <c r="J223" s="5"/>
      <c r="K223" s="3" t="s">
        <v>96</v>
      </c>
      <c r="L223" s="16" t="s">
        <v>96</v>
      </c>
      <c r="N223" s="100">
        <f t="shared" si="25"/>
        <v>0.9</v>
      </c>
      <c r="O223" s="100">
        <f t="shared" si="26"/>
        <v>0.9</v>
      </c>
      <c r="P223" s="100">
        <f t="shared" si="27"/>
        <v>2.2999999999999998</v>
      </c>
      <c r="Q223" s="100" t="e">
        <f t="shared" si="28"/>
        <v>#VALUE!</v>
      </c>
      <c r="R223" s="37"/>
      <c r="S223" s="37"/>
      <c r="T223" s="37"/>
      <c r="U223" s="37"/>
    </row>
    <row r="224" spans="1:21" ht="14.1" customHeight="1" x14ac:dyDescent="0.25">
      <c r="A224" s="92" t="s">
        <v>33</v>
      </c>
      <c r="B224" s="6">
        <v>470995</v>
      </c>
      <c r="C224" s="5">
        <v>50.878335753050571</v>
      </c>
      <c r="D224" s="5"/>
      <c r="E224" s="6">
        <v>469241</v>
      </c>
      <c r="F224" s="5">
        <v>50.84749252308093</v>
      </c>
      <c r="G224" s="5"/>
      <c r="H224" s="6">
        <v>1692</v>
      </c>
      <c r="I224" s="5">
        <v>60.566905700968086</v>
      </c>
      <c r="J224" s="5"/>
      <c r="K224" s="3">
        <v>62</v>
      </c>
      <c r="L224" s="5">
        <v>62.426262626262627</v>
      </c>
      <c r="N224" s="100">
        <f t="shared" si="25"/>
        <v>50.9</v>
      </c>
      <c r="O224" s="100">
        <f t="shared" si="26"/>
        <v>50.8</v>
      </c>
      <c r="P224" s="100">
        <f t="shared" si="27"/>
        <v>60.6</v>
      </c>
      <c r="Q224" s="100">
        <f t="shared" si="28"/>
        <v>62.4</v>
      </c>
      <c r="R224" s="37"/>
      <c r="S224" s="37"/>
      <c r="T224" s="37"/>
      <c r="U224" s="37"/>
    </row>
    <row r="225" spans="1:21" ht="14.1" customHeight="1" x14ac:dyDescent="0.25">
      <c r="A225" s="92" t="s">
        <v>34</v>
      </c>
      <c r="B225" s="6">
        <v>55409</v>
      </c>
      <c r="C225" s="5">
        <v>5.9854514501019738</v>
      </c>
      <c r="D225" s="5"/>
      <c r="E225" s="6">
        <v>55170</v>
      </c>
      <c r="F225" s="5">
        <v>5.978284426336093</v>
      </c>
      <c r="G225" s="5"/>
      <c r="H225" s="6">
        <v>230</v>
      </c>
      <c r="I225" s="5">
        <v>8.2466833990677664</v>
      </c>
      <c r="J225" s="5"/>
      <c r="K225" s="3">
        <v>9</v>
      </c>
      <c r="L225" s="5">
        <v>9.0909090909090917</v>
      </c>
      <c r="N225" s="100">
        <f t="shared" si="25"/>
        <v>6</v>
      </c>
      <c r="O225" s="100">
        <f t="shared" si="26"/>
        <v>6</v>
      </c>
      <c r="P225" s="100">
        <f t="shared" si="27"/>
        <v>8.1999999999999993</v>
      </c>
      <c r="Q225" s="100">
        <f t="shared" si="28"/>
        <v>9.1</v>
      </c>
      <c r="R225" s="37"/>
      <c r="S225" s="37"/>
      <c r="T225" s="37"/>
      <c r="U225" s="37"/>
    </row>
    <row r="226" spans="1:21" ht="14.1" customHeight="1" x14ac:dyDescent="0.25">
      <c r="A226" s="92" t="s">
        <v>67</v>
      </c>
      <c r="B226" s="6">
        <v>4997</v>
      </c>
      <c r="C226" s="5">
        <v>0.53979138580663</v>
      </c>
      <c r="D226" s="5"/>
      <c r="E226" s="6">
        <v>4991</v>
      </c>
      <c r="F226" s="5">
        <v>0.54083047982315458</v>
      </c>
      <c r="G226" s="5"/>
      <c r="H226" s="6">
        <v>6</v>
      </c>
      <c r="I226" s="5">
        <v>0.2151308712800287</v>
      </c>
      <c r="J226" s="5"/>
      <c r="K226" s="3" t="s">
        <v>96</v>
      </c>
      <c r="L226" s="16" t="s">
        <v>96</v>
      </c>
      <c r="N226" s="100">
        <f t="shared" si="25"/>
        <v>0.5</v>
      </c>
      <c r="O226" s="100">
        <f t="shared" si="26"/>
        <v>0.5</v>
      </c>
      <c r="P226" s="100">
        <f t="shared" si="27"/>
        <v>0.2</v>
      </c>
      <c r="Q226" s="100" t="e">
        <f t="shared" si="28"/>
        <v>#VALUE!</v>
      </c>
      <c r="R226" s="37"/>
      <c r="S226" s="37"/>
      <c r="T226" s="37"/>
      <c r="U226" s="37"/>
    </row>
    <row r="227" spans="1:21" ht="14.1" customHeight="1" x14ac:dyDescent="0.25">
      <c r="A227" s="92" t="s">
        <v>70</v>
      </c>
      <c r="B227" s="6">
        <v>74573</v>
      </c>
      <c r="C227" s="5">
        <v>8.0556059663313633</v>
      </c>
      <c r="D227" s="5"/>
      <c r="E227" s="6">
        <v>74512</v>
      </c>
      <c r="F227" s="5">
        <v>8.0742057127996194</v>
      </c>
      <c r="G227" s="5"/>
      <c r="H227" s="6">
        <v>60</v>
      </c>
      <c r="I227" s="5">
        <v>2.151308712800287</v>
      </c>
      <c r="J227" s="5"/>
      <c r="K227" s="3">
        <v>1</v>
      </c>
      <c r="L227" s="5">
        <v>1.0101010101010102</v>
      </c>
      <c r="N227" s="100">
        <f t="shared" si="25"/>
        <v>8.1</v>
      </c>
      <c r="O227" s="100">
        <f t="shared" si="26"/>
        <v>8.1</v>
      </c>
      <c r="P227" s="100">
        <f t="shared" si="27"/>
        <v>2.2000000000000002</v>
      </c>
      <c r="Q227" s="100">
        <f t="shared" si="28"/>
        <v>1</v>
      </c>
      <c r="R227" s="37"/>
      <c r="S227" s="37"/>
      <c r="T227" s="37"/>
      <c r="U227" s="37"/>
    </row>
    <row r="228" spans="1:21" ht="14.1" customHeight="1" x14ac:dyDescent="0.25">
      <c r="A228" s="92" t="s">
        <v>35</v>
      </c>
      <c r="B228" s="6">
        <v>15091</v>
      </c>
      <c r="C228" s="5">
        <v>1.6301764665214837</v>
      </c>
      <c r="D228" s="5"/>
      <c r="E228" s="6">
        <v>15080</v>
      </c>
      <c r="F228" s="5">
        <v>1.6340860820944041</v>
      </c>
      <c r="G228" s="5"/>
      <c r="H228" s="6">
        <v>11</v>
      </c>
      <c r="I228" s="5">
        <v>0.39440659734671923</v>
      </c>
      <c r="J228" s="5"/>
      <c r="K228" s="3" t="s">
        <v>96</v>
      </c>
      <c r="L228" s="16" t="s">
        <v>96</v>
      </c>
      <c r="N228" s="100">
        <f t="shared" si="25"/>
        <v>1.6</v>
      </c>
      <c r="O228" s="100">
        <f t="shared" si="26"/>
        <v>1.6</v>
      </c>
      <c r="P228" s="100">
        <f t="shared" si="27"/>
        <v>0.4</v>
      </c>
      <c r="Q228" s="100" t="e">
        <f t="shared" si="28"/>
        <v>#VALUE!</v>
      </c>
      <c r="R228" s="37"/>
      <c r="S228" s="37"/>
      <c r="T228" s="37"/>
      <c r="U228" s="37"/>
    </row>
    <row r="229" spans="1:21" ht="14.1" customHeight="1" x14ac:dyDescent="0.25">
      <c r="A229" s="92" t="s">
        <v>36</v>
      </c>
      <c r="B229" s="6">
        <v>63601</v>
      </c>
      <c r="C229" s="5">
        <v>6.8703766117045175</v>
      </c>
      <c r="D229" s="5"/>
      <c r="E229" s="6">
        <v>63357</v>
      </c>
      <c r="F229" s="5">
        <v>6.8654371288630749</v>
      </c>
      <c r="G229" s="5"/>
      <c r="H229" s="6">
        <v>236</v>
      </c>
      <c r="I229" s="5">
        <v>8.4618142703477943</v>
      </c>
      <c r="J229" s="5"/>
      <c r="K229" s="3">
        <v>8</v>
      </c>
      <c r="L229" s="5">
        <v>8.0808080808080813</v>
      </c>
      <c r="N229" s="100">
        <f t="shared" si="25"/>
        <v>6.9</v>
      </c>
      <c r="O229" s="100">
        <f t="shared" si="26"/>
        <v>6.9</v>
      </c>
      <c r="P229" s="100">
        <f t="shared" si="27"/>
        <v>8.5</v>
      </c>
      <c r="Q229" s="100">
        <f t="shared" si="28"/>
        <v>8.1</v>
      </c>
      <c r="R229" s="37"/>
      <c r="S229" s="37"/>
      <c r="T229" s="37"/>
      <c r="U229" s="37"/>
    </row>
    <row r="230" spans="1:21" ht="14.1" customHeight="1" x14ac:dyDescent="0.25">
      <c r="A230" s="92" t="s">
        <v>37</v>
      </c>
      <c r="B230" s="6">
        <v>153881</v>
      </c>
      <c r="C230" s="5">
        <v>16.622701268623182</v>
      </c>
      <c r="D230" s="5"/>
      <c r="E230" s="6">
        <v>153722</v>
      </c>
      <c r="F230" s="5">
        <v>16.657492089636339</v>
      </c>
      <c r="G230" s="5"/>
      <c r="H230" s="6">
        <v>156</v>
      </c>
      <c r="I230" s="5">
        <v>5.5934026532807453</v>
      </c>
      <c r="J230" s="5"/>
      <c r="K230" s="3">
        <v>3</v>
      </c>
      <c r="L230" s="5">
        <v>3.0303030303030303</v>
      </c>
      <c r="N230" s="100">
        <f t="shared" si="25"/>
        <v>16.600000000000001</v>
      </c>
      <c r="O230" s="100">
        <f t="shared" si="26"/>
        <v>16.7</v>
      </c>
      <c r="P230" s="100">
        <f t="shared" si="27"/>
        <v>5.6</v>
      </c>
      <c r="Q230" s="100">
        <f t="shared" si="28"/>
        <v>3</v>
      </c>
      <c r="R230" s="37"/>
      <c r="S230" s="37"/>
      <c r="T230" s="37"/>
      <c r="U230" s="37"/>
    </row>
    <row r="231" spans="1:21" ht="14.1" customHeight="1" x14ac:dyDescent="0.25">
      <c r="A231" s="61"/>
      <c r="B231" s="6"/>
      <c r="C231" s="5"/>
      <c r="D231" s="5"/>
      <c r="E231" s="6"/>
      <c r="F231" s="5"/>
      <c r="G231" s="5"/>
      <c r="H231" s="6"/>
      <c r="I231" s="5"/>
      <c r="J231" s="5"/>
      <c r="K231" s="6"/>
      <c r="L231" s="5"/>
      <c r="N231" s="100">
        <f t="shared" si="25"/>
        <v>0</v>
      </c>
      <c r="O231" s="100">
        <f t="shared" si="26"/>
        <v>0</v>
      </c>
      <c r="P231" s="100">
        <f t="shared" si="27"/>
        <v>0</v>
      </c>
      <c r="Q231" s="100">
        <f t="shared" si="28"/>
        <v>0</v>
      </c>
      <c r="R231" s="37"/>
      <c r="S231" s="37"/>
      <c r="T231" s="37"/>
      <c r="U231" s="37"/>
    </row>
    <row r="232" spans="1:21" ht="14.1" customHeight="1" x14ac:dyDescent="0.25">
      <c r="A232" s="63" t="s">
        <v>10</v>
      </c>
      <c r="B232" s="9">
        <v>44398</v>
      </c>
      <c r="C232" s="15">
        <v>100</v>
      </c>
      <c r="D232" s="15"/>
      <c r="E232" s="9">
        <v>44223</v>
      </c>
      <c r="F232" s="15">
        <v>100</v>
      </c>
      <c r="G232" s="15"/>
      <c r="H232" s="9">
        <v>170</v>
      </c>
      <c r="I232" s="15">
        <v>100</v>
      </c>
      <c r="J232" s="15"/>
      <c r="K232" s="9">
        <v>5</v>
      </c>
      <c r="L232" s="15">
        <v>100</v>
      </c>
      <c r="N232" s="100">
        <f>SUM(N233:N244)</f>
        <v>100</v>
      </c>
      <c r="O232" s="100">
        <f t="shared" ref="O232:Q232" si="30">SUM(O233:O244)</f>
        <v>99.999999999999986</v>
      </c>
      <c r="P232" s="100" t="e">
        <f t="shared" si="30"/>
        <v>#VALUE!</v>
      </c>
      <c r="Q232" s="100" t="e">
        <f t="shared" si="30"/>
        <v>#VALUE!</v>
      </c>
      <c r="R232" s="37"/>
      <c r="S232" s="37"/>
      <c r="T232" s="37"/>
      <c r="U232" s="37"/>
    </row>
    <row r="233" spans="1:21" ht="14.1" customHeight="1" x14ac:dyDescent="0.25">
      <c r="A233" s="61" t="s">
        <v>57</v>
      </c>
      <c r="B233" s="6">
        <v>1570</v>
      </c>
      <c r="C233" s="5">
        <v>3.5361953241136987</v>
      </c>
      <c r="D233" s="5"/>
      <c r="E233" s="6">
        <v>1558</v>
      </c>
      <c r="F233" s="5">
        <v>3.5230536146349181</v>
      </c>
      <c r="G233" s="5"/>
      <c r="H233" s="6">
        <v>11</v>
      </c>
      <c r="I233" s="5">
        <v>6.4705882352941186</v>
      </c>
      <c r="J233" s="5"/>
      <c r="K233" s="6">
        <v>1</v>
      </c>
      <c r="L233" s="5">
        <v>20</v>
      </c>
      <c r="N233" s="100">
        <f t="shared" si="25"/>
        <v>3.5</v>
      </c>
      <c r="O233" s="100">
        <f t="shared" si="26"/>
        <v>3.5</v>
      </c>
      <c r="P233" s="100">
        <f t="shared" si="27"/>
        <v>6.5</v>
      </c>
      <c r="Q233" s="100">
        <f t="shared" si="28"/>
        <v>20</v>
      </c>
      <c r="R233" s="37"/>
      <c r="S233" s="37"/>
      <c r="T233" s="37"/>
      <c r="U233" s="37"/>
    </row>
    <row r="234" spans="1:21" ht="14.1" customHeight="1" x14ac:dyDescent="0.25">
      <c r="A234" s="61" t="s">
        <v>29</v>
      </c>
      <c r="B234" s="6">
        <v>65</v>
      </c>
      <c r="C234" s="5">
        <v>0.14640299112572638</v>
      </c>
      <c r="D234" s="5"/>
      <c r="E234" s="6">
        <v>63</v>
      </c>
      <c r="F234" s="5">
        <v>0.14245980598331184</v>
      </c>
      <c r="G234" s="5"/>
      <c r="H234" s="6">
        <v>2</v>
      </c>
      <c r="I234" s="5">
        <v>1.1764705882352942</v>
      </c>
      <c r="J234" s="5"/>
      <c r="K234" s="3" t="s">
        <v>100</v>
      </c>
      <c r="L234" s="16" t="s">
        <v>100</v>
      </c>
      <c r="N234" s="100">
        <f t="shared" si="25"/>
        <v>0.1</v>
      </c>
      <c r="O234" s="100">
        <f t="shared" si="26"/>
        <v>0.1</v>
      </c>
      <c r="P234" s="100">
        <f t="shared" si="27"/>
        <v>1.2</v>
      </c>
      <c r="Q234" s="100" t="e">
        <f t="shared" si="28"/>
        <v>#VALUE!</v>
      </c>
      <c r="R234" s="37"/>
      <c r="S234" s="37"/>
      <c r="T234" s="37"/>
      <c r="U234" s="37"/>
    </row>
    <row r="235" spans="1:21" ht="14.1" customHeight="1" x14ac:dyDescent="0.25">
      <c r="A235" s="61" t="s">
        <v>30</v>
      </c>
      <c r="B235" s="6">
        <v>2476</v>
      </c>
      <c r="C235" s="5">
        <v>5.5768277850353618</v>
      </c>
      <c r="D235" s="5"/>
      <c r="E235" s="6">
        <v>2469</v>
      </c>
      <c r="F235" s="5">
        <v>5.5830676344888408</v>
      </c>
      <c r="G235" s="5"/>
      <c r="H235" s="6">
        <v>7</v>
      </c>
      <c r="I235" s="5">
        <v>4.117647058823529</v>
      </c>
      <c r="J235" s="5"/>
      <c r="K235" s="3" t="s">
        <v>100</v>
      </c>
      <c r="L235" s="16" t="s">
        <v>100</v>
      </c>
      <c r="N235" s="100">
        <f t="shared" si="25"/>
        <v>5.6</v>
      </c>
      <c r="O235" s="100">
        <f t="shared" si="26"/>
        <v>5.6</v>
      </c>
      <c r="P235" s="100">
        <f t="shared" si="27"/>
        <v>4.0999999999999996</v>
      </c>
      <c r="Q235" s="100" t="e">
        <f t="shared" si="28"/>
        <v>#VALUE!</v>
      </c>
      <c r="R235" s="37"/>
      <c r="S235" s="37"/>
      <c r="T235" s="37"/>
      <c r="U235" s="37"/>
    </row>
    <row r="236" spans="1:21" ht="14.1" customHeight="1" x14ac:dyDescent="0.25">
      <c r="A236" s="61" t="s">
        <v>31</v>
      </c>
      <c r="B236" s="6">
        <v>81</v>
      </c>
      <c r="C236" s="5">
        <v>0.18244065047975133</v>
      </c>
      <c r="D236" s="5"/>
      <c r="E236" s="6">
        <v>81</v>
      </c>
      <c r="F236" s="5">
        <v>0.18316260769282952</v>
      </c>
      <c r="G236" s="5"/>
      <c r="H236" s="3" t="s">
        <v>96</v>
      </c>
      <c r="I236" s="3" t="s">
        <v>96</v>
      </c>
      <c r="J236" s="16"/>
      <c r="K236" s="3" t="s">
        <v>100</v>
      </c>
      <c r="L236" s="16" t="s">
        <v>100</v>
      </c>
      <c r="N236" s="100">
        <f t="shared" si="25"/>
        <v>0.2</v>
      </c>
      <c r="O236" s="100">
        <f t="shared" si="26"/>
        <v>0.2</v>
      </c>
      <c r="P236" s="100" t="e">
        <f t="shared" si="27"/>
        <v>#VALUE!</v>
      </c>
      <c r="Q236" s="100" t="e">
        <f t="shared" si="28"/>
        <v>#VALUE!</v>
      </c>
      <c r="R236" s="37"/>
      <c r="S236" s="37"/>
      <c r="T236" s="37"/>
      <c r="U236" s="37"/>
    </row>
    <row r="237" spans="1:21" ht="14.1" customHeight="1" x14ac:dyDescent="0.25">
      <c r="A237" s="61" t="s">
        <v>32</v>
      </c>
      <c r="B237" s="6">
        <v>761</v>
      </c>
      <c r="C237" s="5">
        <v>1.7140411730258118</v>
      </c>
      <c r="D237" s="5"/>
      <c r="E237" s="6">
        <v>759</v>
      </c>
      <c r="F237" s="5">
        <v>1.7163014720846619</v>
      </c>
      <c r="G237" s="5"/>
      <c r="H237" s="6">
        <v>2</v>
      </c>
      <c r="I237" s="5">
        <v>1.1764705882352942</v>
      </c>
      <c r="J237" s="5"/>
      <c r="K237" s="3" t="s">
        <v>100</v>
      </c>
      <c r="L237" s="16" t="s">
        <v>100</v>
      </c>
      <c r="N237" s="100">
        <f t="shared" si="25"/>
        <v>1.7</v>
      </c>
      <c r="O237" s="100">
        <f t="shared" si="26"/>
        <v>1.7</v>
      </c>
      <c r="P237" s="100">
        <f t="shared" si="27"/>
        <v>1.2</v>
      </c>
      <c r="Q237" s="100" t="e">
        <f t="shared" si="28"/>
        <v>#VALUE!</v>
      </c>
      <c r="R237" s="37"/>
      <c r="S237" s="37"/>
      <c r="T237" s="37"/>
      <c r="U237" s="37"/>
    </row>
    <row r="238" spans="1:21" ht="14.1" customHeight="1" x14ac:dyDescent="0.25">
      <c r="A238" s="61" t="s">
        <v>33</v>
      </c>
      <c r="B238" s="6">
        <v>23232</v>
      </c>
      <c r="C238" s="5">
        <v>52.426681382044237</v>
      </c>
      <c r="D238" s="5"/>
      <c r="E238" s="6">
        <v>23119</v>
      </c>
      <c r="F238" s="5">
        <v>52.27822626235217</v>
      </c>
      <c r="G238" s="5"/>
      <c r="H238" s="6">
        <v>110</v>
      </c>
      <c r="I238" s="5">
        <v>64.60588235294118</v>
      </c>
      <c r="J238" s="5"/>
      <c r="K238" s="3">
        <v>3</v>
      </c>
      <c r="L238" s="16">
        <v>60</v>
      </c>
      <c r="N238" s="100">
        <f t="shared" si="25"/>
        <v>52.4</v>
      </c>
      <c r="O238" s="100">
        <f t="shared" si="26"/>
        <v>52.3</v>
      </c>
      <c r="P238" s="100">
        <f t="shared" si="27"/>
        <v>64.599999999999994</v>
      </c>
      <c r="Q238" s="100">
        <f t="shared" si="28"/>
        <v>60</v>
      </c>
      <c r="R238" s="37"/>
      <c r="S238" s="37"/>
      <c r="T238" s="37"/>
      <c r="U238" s="37"/>
    </row>
    <row r="239" spans="1:21" ht="14.1" customHeight="1" x14ac:dyDescent="0.25">
      <c r="A239" s="61" t="s">
        <v>34</v>
      </c>
      <c r="B239" s="6">
        <v>1376</v>
      </c>
      <c r="C239" s="5">
        <v>3.099238704446146</v>
      </c>
      <c r="D239" s="5"/>
      <c r="E239" s="6">
        <v>1360</v>
      </c>
      <c r="F239" s="5">
        <v>3.0753227958302243</v>
      </c>
      <c r="G239" s="5"/>
      <c r="H239" s="6">
        <v>15</v>
      </c>
      <c r="I239" s="5">
        <v>8.8235294117647065</v>
      </c>
      <c r="J239" s="5"/>
      <c r="K239" s="3">
        <v>1</v>
      </c>
      <c r="L239" s="16">
        <v>20</v>
      </c>
      <c r="N239" s="100">
        <f t="shared" si="25"/>
        <v>3.1</v>
      </c>
      <c r="O239" s="100">
        <f t="shared" si="26"/>
        <v>3.1</v>
      </c>
      <c r="P239" s="100">
        <f t="shared" si="27"/>
        <v>8.8000000000000007</v>
      </c>
      <c r="Q239" s="100">
        <f t="shared" si="28"/>
        <v>20</v>
      </c>
      <c r="R239" s="37"/>
      <c r="S239" s="37"/>
      <c r="T239" s="37"/>
      <c r="U239" s="37"/>
    </row>
    <row r="240" spans="1:21" ht="14.1" customHeight="1" x14ac:dyDescent="0.25">
      <c r="A240" s="61" t="s">
        <v>67</v>
      </c>
      <c r="B240" s="6">
        <v>771</v>
      </c>
      <c r="C240" s="5">
        <v>1.7365647101220776</v>
      </c>
      <c r="D240" s="5"/>
      <c r="E240" s="6">
        <v>770</v>
      </c>
      <c r="F240" s="5">
        <v>1.7411754064627003</v>
      </c>
      <c r="G240" s="5"/>
      <c r="H240" s="6">
        <v>1</v>
      </c>
      <c r="I240" s="5">
        <v>0.58823529411764708</v>
      </c>
      <c r="J240" s="5"/>
      <c r="K240" s="3" t="s">
        <v>100</v>
      </c>
      <c r="L240" s="16" t="s">
        <v>100</v>
      </c>
      <c r="N240" s="100">
        <f t="shared" si="25"/>
        <v>1.7</v>
      </c>
      <c r="O240" s="100">
        <f t="shared" si="26"/>
        <v>1.7</v>
      </c>
      <c r="P240" s="100">
        <f t="shared" si="27"/>
        <v>0.6</v>
      </c>
      <c r="Q240" s="100" t="e">
        <f t="shared" si="28"/>
        <v>#VALUE!</v>
      </c>
      <c r="R240" s="37"/>
      <c r="S240" s="37"/>
      <c r="T240" s="37"/>
      <c r="U240" s="37"/>
    </row>
    <row r="241" spans="1:21" ht="14.1" customHeight="1" x14ac:dyDescent="0.25">
      <c r="A241" s="61" t="s">
        <v>70</v>
      </c>
      <c r="B241" s="6">
        <v>4104</v>
      </c>
      <c r="C241" s="5">
        <v>9.2436596243074014</v>
      </c>
      <c r="D241" s="5"/>
      <c r="E241" s="6">
        <v>4102</v>
      </c>
      <c r="F241" s="5">
        <v>9.2757162562467492</v>
      </c>
      <c r="G241" s="5"/>
      <c r="H241" s="6">
        <v>2</v>
      </c>
      <c r="I241" s="5">
        <v>1.1764705882352942</v>
      </c>
      <c r="J241" s="5"/>
      <c r="K241" s="3" t="s">
        <v>100</v>
      </c>
      <c r="L241" s="16" t="s">
        <v>100</v>
      </c>
      <c r="N241" s="100">
        <f t="shared" si="25"/>
        <v>9.1999999999999993</v>
      </c>
      <c r="O241" s="100">
        <f t="shared" si="26"/>
        <v>9.3000000000000007</v>
      </c>
      <c r="P241" s="100">
        <f t="shared" si="27"/>
        <v>1.2</v>
      </c>
      <c r="Q241" s="100" t="e">
        <f t="shared" si="28"/>
        <v>#VALUE!</v>
      </c>
      <c r="R241" s="37"/>
      <c r="S241" s="37"/>
      <c r="T241" s="37"/>
      <c r="U241" s="37"/>
    </row>
    <row r="242" spans="1:21" ht="14.1" customHeight="1" x14ac:dyDescent="0.25">
      <c r="A242" s="61" t="s">
        <v>35</v>
      </c>
      <c r="B242" s="6">
        <v>656</v>
      </c>
      <c r="C242" s="5">
        <v>1.4775440335150232</v>
      </c>
      <c r="D242" s="5"/>
      <c r="E242" s="6">
        <v>652</v>
      </c>
      <c r="F242" s="5">
        <v>1.4743459285891956</v>
      </c>
      <c r="G242" s="5"/>
      <c r="H242" s="6">
        <v>4</v>
      </c>
      <c r="I242" s="5">
        <v>2.3529411764705883</v>
      </c>
      <c r="J242" s="5"/>
      <c r="K242" s="3" t="s">
        <v>100</v>
      </c>
      <c r="L242" s="16" t="s">
        <v>100</v>
      </c>
      <c r="N242" s="100">
        <f t="shared" si="25"/>
        <v>1.5</v>
      </c>
      <c r="O242" s="100">
        <f t="shared" si="26"/>
        <v>1.5</v>
      </c>
      <c r="P242" s="100">
        <f t="shared" si="27"/>
        <v>2.4</v>
      </c>
      <c r="Q242" s="100" t="e">
        <f t="shared" si="28"/>
        <v>#VALUE!</v>
      </c>
      <c r="R242" s="37"/>
      <c r="S242" s="37"/>
      <c r="T242" s="37"/>
      <c r="U242" s="37"/>
    </row>
    <row r="243" spans="1:21" ht="14.1" customHeight="1" x14ac:dyDescent="0.25">
      <c r="A243" s="61" t="s">
        <v>36</v>
      </c>
      <c r="B243" s="6">
        <v>2826</v>
      </c>
      <c r="C243" s="5">
        <v>6.365151583404657</v>
      </c>
      <c r="D243" s="5"/>
      <c r="E243" s="6">
        <v>2819</v>
      </c>
      <c r="F243" s="5">
        <v>6.3745110010627952</v>
      </c>
      <c r="G243" s="5"/>
      <c r="H243" s="6">
        <v>7</v>
      </c>
      <c r="I243" s="5">
        <v>4.117647058823529</v>
      </c>
      <c r="J243" s="5"/>
      <c r="K243" s="3" t="s">
        <v>100</v>
      </c>
      <c r="L243" s="16" t="s">
        <v>100</v>
      </c>
      <c r="N243" s="100">
        <f t="shared" si="25"/>
        <v>6.4</v>
      </c>
      <c r="O243" s="100">
        <f t="shared" si="26"/>
        <v>6.4</v>
      </c>
      <c r="P243" s="100">
        <f t="shared" si="27"/>
        <v>4.0999999999999996</v>
      </c>
      <c r="Q243" s="100" t="e">
        <f t="shared" si="28"/>
        <v>#VALUE!</v>
      </c>
      <c r="R243" s="37"/>
      <c r="S243" s="37"/>
      <c r="T243" s="37"/>
      <c r="U243" s="37"/>
    </row>
    <row r="244" spans="1:21" ht="14.1" customHeight="1" x14ac:dyDescent="0.25">
      <c r="A244" s="61" t="s">
        <v>37</v>
      </c>
      <c r="B244" s="6">
        <v>6480</v>
      </c>
      <c r="C244" s="5">
        <v>14.595252038380108</v>
      </c>
      <c r="D244" s="5"/>
      <c r="E244" s="6">
        <v>6471</v>
      </c>
      <c r="F244" s="5">
        <v>14.632657214571603</v>
      </c>
      <c r="G244" s="5"/>
      <c r="H244" s="6">
        <v>9</v>
      </c>
      <c r="I244" s="5">
        <v>5.2941176470588234</v>
      </c>
      <c r="J244" s="5"/>
      <c r="K244" s="3" t="s">
        <v>100</v>
      </c>
      <c r="L244" s="16" t="s">
        <v>100</v>
      </c>
      <c r="N244" s="100">
        <f t="shared" si="25"/>
        <v>14.6</v>
      </c>
      <c r="O244" s="100">
        <f t="shared" si="26"/>
        <v>14.6</v>
      </c>
      <c r="P244" s="100">
        <f t="shared" si="27"/>
        <v>5.3</v>
      </c>
      <c r="Q244" s="100" t="e">
        <f t="shared" si="28"/>
        <v>#VALUE!</v>
      </c>
      <c r="R244" s="37"/>
      <c r="S244" s="37"/>
      <c r="T244" s="37"/>
      <c r="U244" s="37"/>
    </row>
    <row r="245" spans="1:21" ht="14.1" customHeight="1" x14ac:dyDescent="0.25">
      <c r="A245" s="61"/>
      <c r="B245" s="6"/>
      <c r="C245" s="5"/>
      <c r="D245" s="5"/>
      <c r="E245" s="6"/>
      <c r="F245" s="5"/>
      <c r="G245" s="5"/>
      <c r="H245" s="6"/>
      <c r="I245" s="5"/>
      <c r="J245" s="5"/>
      <c r="K245" s="6"/>
      <c r="L245" s="5"/>
      <c r="N245" s="100">
        <f t="shared" si="25"/>
        <v>0</v>
      </c>
      <c r="O245" s="100">
        <f t="shared" si="26"/>
        <v>0</v>
      </c>
      <c r="P245" s="100">
        <f t="shared" si="27"/>
        <v>0</v>
      </c>
      <c r="Q245" s="100">
        <f t="shared" si="28"/>
        <v>0</v>
      </c>
      <c r="R245" s="37"/>
      <c r="S245" s="37"/>
      <c r="T245" s="37"/>
      <c r="U245" s="37"/>
    </row>
    <row r="246" spans="1:21" ht="14.1" customHeight="1" x14ac:dyDescent="0.25">
      <c r="A246" s="63" t="s">
        <v>9</v>
      </c>
      <c r="B246" s="9">
        <v>19001</v>
      </c>
      <c r="C246" s="15">
        <v>100</v>
      </c>
      <c r="D246" s="15"/>
      <c r="E246" s="9">
        <v>18851</v>
      </c>
      <c r="F246" s="15">
        <v>100</v>
      </c>
      <c r="G246" s="15"/>
      <c r="H246" s="9">
        <v>137</v>
      </c>
      <c r="I246" s="15">
        <v>100</v>
      </c>
      <c r="J246" s="15"/>
      <c r="K246" s="9">
        <v>13</v>
      </c>
      <c r="L246" s="15">
        <v>100</v>
      </c>
      <c r="N246" s="100">
        <f>SUM(N247:N258)</f>
        <v>100</v>
      </c>
      <c r="O246" s="100">
        <f t="shared" ref="O246:Q246" si="31">SUM(O247:O258)</f>
        <v>99.999999999999986</v>
      </c>
      <c r="P246" s="100" t="e">
        <f t="shared" si="31"/>
        <v>#VALUE!</v>
      </c>
      <c r="Q246" s="100" t="e">
        <f t="shared" si="31"/>
        <v>#VALUE!</v>
      </c>
      <c r="R246" s="37"/>
      <c r="S246" s="37"/>
      <c r="T246" s="37"/>
      <c r="U246" s="37"/>
    </row>
    <row r="247" spans="1:21" ht="14.1" customHeight="1" x14ac:dyDescent="0.25">
      <c r="A247" s="61" t="s">
        <v>57</v>
      </c>
      <c r="B247" s="6">
        <v>1992</v>
      </c>
      <c r="C247" s="5">
        <v>10.483658754802379</v>
      </c>
      <c r="D247" s="5"/>
      <c r="E247" s="6">
        <v>1982</v>
      </c>
      <c r="F247" s="5">
        <v>10.514031085884037</v>
      </c>
      <c r="G247" s="5"/>
      <c r="H247" s="6">
        <v>10</v>
      </c>
      <c r="I247" s="5">
        <v>7.2992700729926998</v>
      </c>
      <c r="J247" s="5"/>
      <c r="K247" s="3" t="s">
        <v>96</v>
      </c>
      <c r="L247" s="16" t="s">
        <v>96</v>
      </c>
      <c r="N247" s="100">
        <f t="shared" si="25"/>
        <v>10.5</v>
      </c>
      <c r="O247" s="100">
        <f t="shared" si="26"/>
        <v>10.5</v>
      </c>
      <c r="P247" s="100">
        <f t="shared" si="27"/>
        <v>7.3</v>
      </c>
      <c r="Q247" s="100" t="e">
        <f t="shared" si="28"/>
        <v>#VALUE!</v>
      </c>
      <c r="R247" s="37"/>
      <c r="S247" s="37"/>
      <c r="T247" s="37"/>
      <c r="U247" s="37"/>
    </row>
    <row r="248" spans="1:21" ht="14.1" customHeight="1" x14ac:dyDescent="0.25">
      <c r="A248" s="61" t="s">
        <v>29</v>
      </c>
      <c r="B248" s="6">
        <v>1810</v>
      </c>
      <c r="C248" s="5">
        <v>9.5258144308194304</v>
      </c>
      <c r="D248" s="5"/>
      <c r="E248" s="6">
        <v>1771</v>
      </c>
      <c r="F248" s="5">
        <v>9.3947270701819541</v>
      </c>
      <c r="G248" s="5"/>
      <c r="H248" s="6">
        <v>38</v>
      </c>
      <c r="I248" s="5">
        <v>27.737226277372262</v>
      </c>
      <c r="J248" s="5"/>
      <c r="K248" s="3">
        <v>1</v>
      </c>
      <c r="L248" s="16">
        <v>7.6923076923076925</v>
      </c>
      <c r="N248" s="100">
        <f t="shared" si="25"/>
        <v>9.5</v>
      </c>
      <c r="O248" s="100">
        <f t="shared" si="26"/>
        <v>9.4</v>
      </c>
      <c r="P248" s="100">
        <f t="shared" si="27"/>
        <v>27.7</v>
      </c>
      <c r="Q248" s="100">
        <f t="shared" si="28"/>
        <v>7.7</v>
      </c>
      <c r="R248" s="37"/>
      <c r="S248" s="37"/>
      <c r="T248" s="37"/>
      <c r="U248" s="37"/>
    </row>
    <row r="249" spans="1:21" ht="14.1" customHeight="1" x14ac:dyDescent="0.25">
      <c r="A249" s="61" t="s">
        <v>30</v>
      </c>
      <c r="B249" s="6">
        <v>1086</v>
      </c>
      <c r="C249" s="5">
        <v>5.7154886584916582</v>
      </c>
      <c r="D249" s="5"/>
      <c r="E249" s="6">
        <v>1085</v>
      </c>
      <c r="F249" s="5">
        <v>5.7556628295581138</v>
      </c>
      <c r="G249" s="5"/>
      <c r="H249" s="6">
        <v>1</v>
      </c>
      <c r="I249" s="5">
        <v>0.72992700729927007</v>
      </c>
      <c r="J249" s="5"/>
      <c r="K249" s="3" t="s">
        <v>96</v>
      </c>
      <c r="L249" s="16" t="s">
        <v>96</v>
      </c>
      <c r="N249" s="100">
        <f t="shared" si="25"/>
        <v>5.7</v>
      </c>
      <c r="O249" s="100">
        <f t="shared" si="26"/>
        <v>5.8</v>
      </c>
      <c r="P249" s="100">
        <f t="shared" si="27"/>
        <v>0.7</v>
      </c>
      <c r="Q249" s="100" t="e">
        <f t="shared" si="28"/>
        <v>#VALUE!</v>
      </c>
      <c r="R249" s="37"/>
      <c r="S249" s="37"/>
      <c r="T249" s="37"/>
      <c r="U249" s="37"/>
    </row>
    <row r="250" spans="1:21" ht="14.1" customHeight="1" x14ac:dyDescent="0.25">
      <c r="A250" s="61" t="s">
        <v>31</v>
      </c>
      <c r="B250" s="6">
        <v>23</v>
      </c>
      <c r="C250" s="5">
        <v>0.12104626072311983</v>
      </c>
      <c r="D250" s="5"/>
      <c r="E250" s="6">
        <v>23</v>
      </c>
      <c r="F250" s="5">
        <v>0.12200944246989549</v>
      </c>
      <c r="G250" s="5"/>
      <c r="H250" s="3" t="s">
        <v>96</v>
      </c>
      <c r="I250" s="16" t="s">
        <v>96</v>
      </c>
      <c r="J250" s="5"/>
      <c r="K250" s="3" t="s">
        <v>96</v>
      </c>
      <c r="L250" s="16" t="s">
        <v>96</v>
      </c>
      <c r="N250" s="100">
        <f t="shared" si="25"/>
        <v>0.1</v>
      </c>
      <c r="O250" s="100">
        <f t="shared" si="26"/>
        <v>0.1</v>
      </c>
      <c r="P250" s="100" t="e">
        <f t="shared" si="27"/>
        <v>#VALUE!</v>
      </c>
      <c r="Q250" s="100" t="e">
        <f t="shared" si="28"/>
        <v>#VALUE!</v>
      </c>
      <c r="R250" s="37"/>
      <c r="S250" s="37"/>
      <c r="T250" s="37"/>
      <c r="U250" s="37"/>
    </row>
    <row r="251" spans="1:21" ht="14.1" customHeight="1" x14ac:dyDescent="0.25">
      <c r="A251" s="61" t="s">
        <v>32</v>
      </c>
      <c r="B251" s="6">
        <v>141</v>
      </c>
      <c r="C251" s="5">
        <v>0.74206620704173465</v>
      </c>
      <c r="D251" s="5"/>
      <c r="E251" s="6">
        <v>139</v>
      </c>
      <c r="F251" s="5">
        <v>0.73736141318762938</v>
      </c>
      <c r="G251" s="5"/>
      <c r="H251" s="3">
        <v>2</v>
      </c>
      <c r="I251" s="16">
        <v>1.4598540145985401</v>
      </c>
      <c r="J251" s="5"/>
      <c r="K251" s="3" t="s">
        <v>96</v>
      </c>
      <c r="L251" s="16" t="s">
        <v>96</v>
      </c>
      <c r="N251" s="100">
        <f t="shared" si="25"/>
        <v>0.7</v>
      </c>
      <c r="O251" s="100">
        <f t="shared" si="26"/>
        <v>0.7</v>
      </c>
      <c r="P251" s="100">
        <f t="shared" si="27"/>
        <v>1.5</v>
      </c>
      <c r="Q251" s="100" t="e">
        <f t="shared" si="28"/>
        <v>#VALUE!</v>
      </c>
      <c r="R251" s="37"/>
      <c r="S251" s="37"/>
      <c r="T251" s="37"/>
      <c r="U251" s="37"/>
    </row>
    <row r="252" spans="1:21" ht="14.1" customHeight="1" x14ac:dyDescent="0.25">
      <c r="A252" s="61" t="s">
        <v>33</v>
      </c>
      <c r="B252" s="6">
        <v>8033</v>
      </c>
      <c r="C252" s="5">
        <v>42.376722277774853</v>
      </c>
      <c r="D252" s="5"/>
      <c r="E252" s="6">
        <v>7959</v>
      </c>
      <c r="F252" s="5">
        <v>42.220571852952098</v>
      </c>
      <c r="G252" s="5"/>
      <c r="H252" s="3">
        <v>64</v>
      </c>
      <c r="I252" s="16">
        <v>46.815328467153286</v>
      </c>
      <c r="J252" s="5"/>
      <c r="K252" s="3">
        <v>10</v>
      </c>
      <c r="L252" s="16">
        <v>76.923076923076934</v>
      </c>
      <c r="N252" s="100">
        <f t="shared" si="25"/>
        <v>42.4</v>
      </c>
      <c r="O252" s="100">
        <f t="shared" si="26"/>
        <v>42.2</v>
      </c>
      <c r="P252" s="100">
        <f t="shared" si="27"/>
        <v>46.8</v>
      </c>
      <c r="Q252" s="100">
        <f t="shared" si="28"/>
        <v>76.900000000000006</v>
      </c>
      <c r="R252" s="37"/>
      <c r="S252" s="37"/>
      <c r="T252" s="37"/>
      <c r="U252" s="37"/>
    </row>
    <row r="253" spans="1:21" ht="14.1" customHeight="1" x14ac:dyDescent="0.25">
      <c r="A253" s="61" t="s">
        <v>34</v>
      </c>
      <c r="B253" s="6">
        <v>888</v>
      </c>
      <c r="C253" s="5">
        <v>4.6734382400926266</v>
      </c>
      <c r="D253" s="5"/>
      <c r="E253" s="6">
        <v>873</v>
      </c>
      <c r="F253" s="5">
        <v>4.6310540554877724</v>
      </c>
      <c r="G253" s="5"/>
      <c r="H253" s="3">
        <v>13</v>
      </c>
      <c r="I253" s="16">
        <v>9.4890510948905096</v>
      </c>
      <c r="J253" s="5"/>
      <c r="K253" s="3">
        <v>2</v>
      </c>
      <c r="L253" s="16">
        <v>15.384615384615385</v>
      </c>
      <c r="N253" s="100">
        <f t="shared" si="25"/>
        <v>4.7</v>
      </c>
      <c r="O253" s="100">
        <f t="shared" si="26"/>
        <v>4.5999999999999996</v>
      </c>
      <c r="P253" s="100">
        <f t="shared" si="27"/>
        <v>9.5</v>
      </c>
      <c r="Q253" s="100">
        <f t="shared" si="28"/>
        <v>15.4</v>
      </c>
      <c r="R253" s="37"/>
      <c r="S253" s="37"/>
      <c r="T253" s="37"/>
      <c r="U253" s="37"/>
    </row>
    <row r="254" spans="1:21" ht="14.1" customHeight="1" x14ac:dyDescent="0.25">
      <c r="A254" s="61" t="s">
        <v>67</v>
      </c>
      <c r="B254" s="6">
        <v>282</v>
      </c>
      <c r="C254" s="5">
        <v>1.4841324140834693</v>
      </c>
      <c r="D254" s="5"/>
      <c r="E254" s="6">
        <v>281</v>
      </c>
      <c r="F254" s="5">
        <v>1.4906371014800275</v>
      </c>
      <c r="G254" s="5"/>
      <c r="H254" s="3">
        <v>1</v>
      </c>
      <c r="I254" s="16">
        <v>0.72992700729927007</v>
      </c>
      <c r="J254" s="5"/>
      <c r="K254" s="3" t="s">
        <v>96</v>
      </c>
      <c r="L254" s="16" t="s">
        <v>96</v>
      </c>
      <c r="N254" s="100">
        <f t="shared" si="25"/>
        <v>1.5</v>
      </c>
      <c r="O254" s="100">
        <f t="shared" si="26"/>
        <v>1.5</v>
      </c>
      <c r="P254" s="100">
        <f t="shared" si="27"/>
        <v>0.7</v>
      </c>
      <c r="Q254" s="100" t="e">
        <f t="shared" si="28"/>
        <v>#VALUE!</v>
      </c>
      <c r="R254" s="37"/>
      <c r="S254" s="37"/>
      <c r="T254" s="37"/>
      <c r="U254" s="37"/>
    </row>
    <row r="255" spans="1:21" ht="14.1" customHeight="1" x14ac:dyDescent="0.25">
      <c r="A255" s="61" t="s">
        <v>70</v>
      </c>
      <c r="B255" s="6">
        <v>2300</v>
      </c>
      <c r="C255" s="5">
        <v>12.104626072311984</v>
      </c>
      <c r="D255" s="5"/>
      <c r="E255" s="6">
        <v>2299</v>
      </c>
      <c r="F255" s="5">
        <v>12.195639488621293</v>
      </c>
      <c r="G255" s="5"/>
      <c r="H255" s="3">
        <v>1</v>
      </c>
      <c r="I255" s="16">
        <v>0.72992700729927007</v>
      </c>
      <c r="J255" s="5"/>
      <c r="K255" s="3" t="s">
        <v>96</v>
      </c>
      <c r="L255" s="16" t="s">
        <v>96</v>
      </c>
      <c r="N255" s="100">
        <f t="shared" si="25"/>
        <v>12.1</v>
      </c>
      <c r="O255" s="100">
        <f t="shared" si="26"/>
        <v>12.2</v>
      </c>
      <c r="P255" s="100">
        <f t="shared" si="27"/>
        <v>0.7</v>
      </c>
      <c r="Q255" s="100" t="e">
        <f t="shared" si="28"/>
        <v>#VALUE!</v>
      </c>
      <c r="R255" s="37"/>
      <c r="S255" s="37"/>
      <c r="T255" s="37"/>
      <c r="U255" s="37"/>
    </row>
    <row r="256" spans="1:21" ht="14.1" customHeight="1" x14ac:dyDescent="0.25">
      <c r="A256" s="61" t="s">
        <v>35</v>
      </c>
      <c r="B256" s="6">
        <v>199</v>
      </c>
      <c r="C256" s="5">
        <v>1.0473132993000369</v>
      </c>
      <c r="D256" s="5"/>
      <c r="E256" s="6">
        <v>199</v>
      </c>
      <c r="F256" s="5">
        <v>1.0556469152830088</v>
      </c>
      <c r="G256" s="5"/>
      <c r="H256" s="3" t="s">
        <v>96</v>
      </c>
      <c r="I256" s="16" t="s">
        <v>96</v>
      </c>
      <c r="J256" s="5"/>
      <c r="K256" s="3" t="s">
        <v>96</v>
      </c>
      <c r="L256" s="16" t="s">
        <v>96</v>
      </c>
      <c r="N256" s="100">
        <f t="shared" si="25"/>
        <v>1</v>
      </c>
      <c r="O256" s="100">
        <f t="shared" si="26"/>
        <v>1.1000000000000001</v>
      </c>
      <c r="P256" s="100" t="e">
        <f t="shared" si="27"/>
        <v>#VALUE!</v>
      </c>
      <c r="Q256" s="100" t="e">
        <f t="shared" si="28"/>
        <v>#VALUE!</v>
      </c>
      <c r="R256" s="37"/>
      <c r="S256" s="37"/>
      <c r="T256" s="37"/>
      <c r="U256" s="37"/>
    </row>
    <row r="257" spans="1:21" ht="14.1" customHeight="1" x14ac:dyDescent="0.25">
      <c r="A257" s="61" t="s">
        <v>36</v>
      </c>
      <c r="B257" s="6">
        <v>876</v>
      </c>
      <c r="C257" s="5">
        <v>4.6102836692805642</v>
      </c>
      <c r="D257" s="5"/>
      <c r="E257" s="6">
        <v>872</v>
      </c>
      <c r="F257" s="5">
        <v>4.6257492971195164</v>
      </c>
      <c r="G257" s="5"/>
      <c r="H257" s="6">
        <v>4</v>
      </c>
      <c r="I257" s="5">
        <v>2.9197080291970803</v>
      </c>
      <c r="J257" s="5"/>
      <c r="K257" s="3" t="s">
        <v>96</v>
      </c>
      <c r="L257" s="16" t="s">
        <v>96</v>
      </c>
      <c r="N257" s="100">
        <f t="shared" si="25"/>
        <v>4.5999999999999996</v>
      </c>
      <c r="O257" s="100">
        <f t="shared" si="26"/>
        <v>4.5999999999999996</v>
      </c>
      <c r="P257" s="100">
        <f t="shared" si="27"/>
        <v>2.9</v>
      </c>
      <c r="Q257" s="100" t="e">
        <f t="shared" si="28"/>
        <v>#VALUE!</v>
      </c>
      <c r="R257" s="37"/>
      <c r="S257" s="37"/>
      <c r="T257" s="37"/>
      <c r="U257" s="37"/>
    </row>
    <row r="258" spans="1:21" ht="14.1" customHeight="1" x14ac:dyDescent="0.25">
      <c r="A258" s="61" t="s">
        <v>37</v>
      </c>
      <c r="B258" s="6">
        <v>1371</v>
      </c>
      <c r="C258" s="5">
        <v>7.2154097152781427</v>
      </c>
      <c r="D258" s="5"/>
      <c r="E258" s="6">
        <v>1368</v>
      </c>
      <c r="F258" s="5">
        <v>7.2569094477746541</v>
      </c>
      <c r="G258" s="5"/>
      <c r="H258" s="6">
        <v>3</v>
      </c>
      <c r="I258" s="5">
        <v>2.1897810218978102</v>
      </c>
      <c r="J258" s="5"/>
      <c r="K258" s="3" t="s">
        <v>96</v>
      </c>
      <c r="L258" s="16" t="s">
        <v>96</v>
      </c>
      <c r="N258" s="100">
        <f t="shared" si="25"/>
        <v>7.2</v>
      </c>
      <c r="O258" s="100">
        <f t="shared" si="26"/>
        <v>7.3</v>
      </c>
      <c r="P258" s="100">
        <f t="shared" si="27"/>
        <v>2.2000000000000002</v>
      </c>
      <c r="Q258" s="100" t="e">
        <f t="shared" si="28"/>
        <v>#VALUE!</v>
      </c>
      <c r="R258" s="37"/>
      <c r="S258" s="37"/>
      <c r="T258" s="37"/>
      <c r="U258" s="37"/>
    </row>
    <row r="259" spans="1:21" ht="14.1" customHeight="1" x14ac:dyDescent="0.25">
      <c r="A259" s="61"/>
      <c r="B259" s="6"/>
      <c r="C259" s="5"/>
      <c r="D259" s="5"/>
      <c r="E259" s="6"/>
      <c r="F259" s="5"/>
      <c r="G259" s="5"/>
      <c r="H259" s="6"/>
      <c r="I259" s="5"/>
      <c r="J259" s="5"/>
      <c r="K259" s="6"/>
      <c r="L259" s="5"/>
      <c r="N259" s="100">
        <f t="shared" si="25"/>
        <v>0</v>
      </c>
      <c r="O259" s="100">
        <f t="shared" si="26"/>
        <v>0</v>
      </c>
      <c r="P259" s="100">
        <f t="shared" si="27"/>
        <v>0</v>
      </c>
      <c r="Q259" s="100">
        <f t="shared" si="28"/>
        <v>0</v>
      </c>
      <c r="R259" s="37"/>
      <c r="S259" s="37"/>
      <c r="T259" s="37"/>
      <c r="U259" s="37"/>
    </row>
    <row r="260" spans="1:21" ht="14.1" customHeight="1" x14ac:dyDescent="0.25">
      <c r="A260" s="63" t="s">
        <v>8</v>
      </c>
      <c r="B260" s="9">
        <v>13658</v>
      </c>
      <c r="C260" s="15">
        <v>100</v>
      </c>
      <c r="D260" s="15"/>
      <c r="E260" s="9">
        <v>13630</v>
      </c>
      <c r="F260" s="15">
        <v>100</v>
      </c>
      <c r="G260" s="15"/>
      <c r="H260" s="9">
        <v>28</v>
      </c>
      <c r="I260" s="15">
        <v>100</v>
      </c>
      <c r="J260" s="15"/>
      <c r="K260" s="8" t="s">
        <v>96</v>
      </c>
      <c r="L260" s="8" t="s">
        <v>96</v>
      </c>
      <c r="N260" s="100">
        <f>SUM(N261:N272)</f>
        <v>100.00000000000001</v>
      </c>
      <c r="O260" s="100">
        <f t="shared" ref="O260:Q260" si="32">SUM(O261:O272)</f>
        <v>100</v>
      </c>
      <c r="P260" s="100" t="e">
        <f t="shared" si="32"/>
        <v>#VALUE!</v>
      </c>
      <c r="Q260" s="100" t="e">
        <f t="shared" si="32"/>
        <v>#VALUE!</v>
      </c>
      <c r="R260" s="37"/>
      <c r="S260" s="37"/>
      <c r="T260" s="37"/>
      <c r="U260" s="37"/>
    </row>
    <row r="261" spans="1:21" ht="14.1" customHeight="1" x14ac:dyDescent="0.25">
      <c r="A261" s="61" t="s">
        <v>57</v>
      </c>
      <c r="B261" s="6">
        <v>93</v>
      </c>
      <c r="C261" s="5">
        <v>0.68091960755601111</v>
      </c>
      <c r="D261" s="5"/>
      <c r="E261" s="6">
        <v>93</v>
      </c>
      <c r="F261" s="5">
        <v>0.68231841526045489</v>
      </c>
      <c r="G261" s="5"/>
      <c r="H261" s="3" t="s">
        <v>96</v>
      </c>
      <c r="I261" s="16" t="s">
        <v>96</v>
      </c>
      <c r="J261" s="5"/>
      <c r="K261" s="3" t="s">
        <v>96</v>
      </c>
      <c r="L261" s="3" t="s">
        <v>96</v>
      </c>
      <c r="N261" s="100">
        <f t="shared" si="25"/>
        <v>0.7</v>
      </c>
      <c r="O261" s="100">
        <f t="shared" si="26"/>
        <v>0.7</v>
      </c>
      <c r="P261" s="100" t="e">
        <f t="shared" si="27"/>
        <v>#VALUE!</v>
      </c>
      <c r="Q261" s="100" t="e">
        <f t="shared" si="28"/>
        <v>#VALUE!</v>
      </c>
      <c r="R261" s="37"/>
      <c r="S261" s="37"/>
      <c r="T261" s="37"/>
      <c r="U261" s="37"/>
    </row>
    <row r="262" spans="1:21" ht="14.1" customHeight="1" x14ac:dyDescent="0.25">
      <c r="A262" s="61" t="s">
        <v>29</v>
      </c>
      <c r="B262" s="6">
        <v>75</v>
      </c>
      <c r="C262" s="5">
        <v>0.54912871577097677</v>
      </c>
      <c r="D262" s="5"/>
      <c r="E262" s="6">
        <v>74</v>
      </c>
      <c r="F262" s="5">
        <v>0.54292002934702854</v>
      </c>
      <c r="G262" s="5"/>
      <c r="H262" s="3">
        <v>1</v>
      </c>
      <c r="I262" s="16">
        <v>3.5714285714285712</v>
      </c>
      <c r="J262" s="5"/>
      <c r="K262" s="3" t="s">
        <v>96</v>
      </c>
      <c r="L262" s="3" t="s">
        <v>96</v>
      </c>
      <c r="N262" s="100">
        <f t="shared" si="25"/>
        <v>0.5</v>
      </c>
      <c r="O262" s="100">
        <f t="shared" si="26"/>
        <v>0.5</v>
      </c>
      <c r="P262" s="100">
        <f t="shared" si="27"/>
        <v>3.6</v>
      </c>
      <c r="Q262" s="100" t="e">
        <f t="shared" si="28"/>
        <v>#VALUE!</v>
      </c>
      <c r="R262" s="37"/>
      <c r="S262" s="37"/>
      <c r="T262" s="37"/>
      <c r="U262" s="37"/>
    </row>
    <row r="263" spans="1:21" ht="14.1" customHeight="1" x14ac:dyDescent="0.25">
      <c r="A263" s="61" t="s">
        <v>30</v>
      </c>
      <c r="B263" s="6">
        <v>661</v>
      </c>
      <c r="C263" s="5">
        <v>4.8396544149948744</v>
      </c>
      <c r="D263" s="5"/>
      <c r="E263" s="6">
        <v>659</v>
      </c>
      <c r="F263" s="5">
        <v>4.8349229640498894</v>
      </c>
      <c r="G263" s="5"/>
      <c r="H263" s="3">
        <v>2</v>
      </c>
      <c r="I263" s="16">
        <v>7.1428571428571423</v>
      </c>
      <c r="J263" s="5"/>
      <c r="K263" s="3" t="s">
        <v>96</v>
      </c>
      <c r="L263" s="3" t="s">
        <v>96</v>
      </c>
      <c r="N263" s="100">
        <f t="shared" si="25"/>
        <v>4.8</v>
      </c>
      <c r="O263" s="100">
        <f t="shared" si="26"/>
        <v>4.8</v>
      </c>
      <c r="P263" s="100">
        <f t="shared" si="27"/>
        <v>7.1</v>
      </c>
      <c r="Q263" s="100" t="e">
        <f t="shared" si="28"/>
        <v>#VALUE!</v>
      </c>
      <c r="R263" s="37"/>
      <c r="S263" s="37"/>
      <c r="T263" s="37"/>
      <c r="U263" s="37"/>
    </row>
    <row r="264" spans="1:21" ht="14.1" customHeight="1" x14ac:dyDescent="0.25">
      <c r="A264" s="61" t="s">
        <v>31</v>
      </c>
      <c r="B264" s="6">
        <v>15</v>
      </c>
      <c r="C264" s="5">
        <v>0.10982574315419535</v>
      </c>
      <c r="D264" s="5"/>
      <c r="E264" s="6">
        <v>15</v>
      </c>
      <c r="F264" s="5">
        <v>0.11005135730007337</v>
      </c>
      <c r="G264" s="5"/>
      <c r="H264" s="3" t="s">
        <v>96</v>
      </c>
      <c r="I264" s="16" t="s">
        <v>96</v>
      </c>
      <c r="J264" s="5"/>
      <c r="K264" s="3" t="s">
        <v>96</v>
      </c>
      <c r="L264" s="3" t="s">
        <v>96</v>
      </c>
      <c r="N264" s="100">
        <f t="shared" si="25"/>
        <v>0.1</v>
      </c>
      <c r="O264" s="100">
        <f t="shared" si="26"/>
        <v>0.1</v>
      </c>
      <c r="P264" s="100" t="e">
        <f t="shared" si="27"/>
        <v>#VALUE!</v>
      </c>
      <c r="Q264" s="100" t="e">
        <f t="shared" si="28"/>
        <v>#VALUE!</v>
      </c>
      <c r="R264" s="37"/>
      <c r="S264" s="37"/>
      <c r="T264" s="37"/>
      <c r="U264" s="37"/>
    </row>
    <row r="265" spans="1:21" ht="14.1" customHeight="1" x14ac:dyDescent="0.25">
      <c r="A265" s="61" t="s">
        <v>32</v>
      </c>
      <c r="B265" s="6">
        <v>111</v>
      </c>
      <c r="C265" s="5">
        <v>0.81271049934104556</v>
      </c>
      <c r="D265" s="5"/>
      <c r="E265" s="6">
        <v>111</v>
      </c>
      <c r="F265" s="5">
        <v>0.81438004402054287</v>
      </c>
      <c r="G265" s="5"/>
      <c r="H265" s="3" t="s">
        <v>96</v>
      </c>
      <c r="I265" s="16" t="s">
        <v>96</v>
      </c>
      <c r="J265" s="5"/>
      <c r="K265" s="3" t="s">
        <v>96</v>
      </c>
      <c r="L265" s="3" t="s">
        <v>96</v>
      </c>
      <c r="N265" s="100">
        <f t="shared" si="25"/>
        <v>0.8</v>
      </c>
      <c r="O265" s="100">
        <f t="shared" si="26"/>
        <v>0.8</v>
      </c>
      <c r="P265" s="100" t="e">
        <f t="shared" si="27"/>
        <v>#VALUE!</v>
      </c>
      <c r="Q265" s="100" t="e">
        <f t="shared" si="28"/>
        <v>#VALUE!</v>
      </c>
      <c r="R265" s="37"/>
      <c r="S265" s="37"/>
      <c r="T265" s="37"/>
      <c r="U265" s="37"/>
    </row>
    <row r="266" spans="1:21" ht="14.1" customHeight="1" x14ac:dyDescent="0.25">
      <c r="A266" s="61" t="s">
        <v>33</v>
      </c>
      <c r="B266" s="6">
        <v>6354</v>
      </c>
      <c r="C266" s="5">
        <v>46.622184800117154</v>
      </c>
      <c r="D266" s="5"/>
      <c r="E266" s="6">
        <v>6340</v>
      </c>
      <c r="F266" s="5">
        <v>46.515040352164341</v>
      </c>
      <c r="G266" s="5"/>
      <c r="H266" s="3">
        <v>14</v>
      </c>
      <c r="I266" s="16">
        <v>49.9</v>
      </c>
      <c r="J266" s="5"/>
      <c r="K266" s="3" t="s">
        <v>96</v>
      </c>
      <c r="L266" s="3" t="s">
        <v>96</v>
      </c>
      <c r="N266" s="100">
        <f t="shared" si="25"/>
        <v>46.6</v>
      </c>
      <c r="O266" s="100">
        <f t="shared" si="26"/>
        <v>46.5</v>
      </c>
      <c r="P266" s="100">
        <f t="shared" si="27"/>
        <v>49.9</v>
      </c>
      <c r="Q266" s="100" t="e">
        <f t="shared" si="28"/>
        <v>#VALUE!</v>
      </c>
      <c r="R266" s="37"/>
      <c r="S266" s="37"/>
      <c r="T266" s="37"/>
      <c r="U266" s="37"/>
    </row>
    <row r="267" spans="1:21" ht="14.1" customHeight="1" x14ac:dyDescent="0.25">
      <c r="A267" s="61" t="s">
        <v>34</v>
      </c>
      <c r="B267" s="6">
        <v>620</v>
      </c>
      <c r="C267" s="5">
        <v>4.5394640503734074</v>
      </c>
      <c r="D267" s="5"/>
      <c r="E267" s="6">
        <v>615</v>
      </c>
      <c r="F267" s="5">
        <v>4.5121056493030078</v>
      </c>
      <c r="G267" s="5"/>
      <c r="H267" s="3">
        <v>5</v>
      </c>
      <c r="I267" s="16">
        <v>17.857142857142858</v>
      </c>
      <c r="J267" s="5"/>
      <c r="K267" s="3" t="s">
        <v>96</v>
      </c>
      <c r="L267" s="3" t="s">
        <v>96</v>
      </c>
      <c r="N267" s="100">
        <f t="shared" si="25"/>
        <v>4.5</v>
      </c>
      <c r="O267" s="100">
        <f t="shared" si="26"/>
        <v>4.5</v>
      </c>
      <c r="P267" s="100">
        <f t="shared" si="27"/>
        <v>17.899999999999999</v>
      </c>
      <c r="Q267" s="100" t="e">
        <f t="shared" si="28"/>
        <v>#VALUE!</v>
      </c>
      <c r="R267" s="37"/>
      <c r="S267" s="37"/>
      <c r="T267" s="37"/>
      <c r="U267" s="37"/>
    </row>
    <row r="268" spans="1:21" ht="14.1" customHeight="1" x14ac:dyDescent="0.25">
      <c r="A268" s="61" t="s">
        <v>67</v>
      </c>
      <c r="B268" s="6">
        <v>204</v>
      </c>
      <c r="C268" s="5">
        <v>1.4936301068970566</v>
      </c>
      <c r="D268" s="5"/>
      <c r="E268" s="6">
        <v>203</v>
      </c>
      <c r="F268" s="5">
        <v>1.4893617021276597</v>
      </c>
      <c r="G268" s="5"/>
      <c r="H268" s="3">
        <v>1</v>
      </c>
      <c r="I268" s="16">
        <v>3.5714285714285712</v>
      </c>
      <c r="J268" s="5"/>
      <c r="K268" s="3" t="s">
        <v>96</v>
      </c>
      <c r="L268" s="3" t="s">
        <v>96</v>
      </c>
      <c r="N268" s="100">
        <f t="shared" si="25"/>
        <v>1.5</v>
      </c>
      <c r="O268" s="100">
        <f t="shared" si="26"/>
        <v>1.5</v>
      </c>
      <c r="P268" s="100">
        <f t="shared" si="27"/>
        <v>3.6</v>
      </c>
      <c r="Q268" s="100" t="e">
        <f t="shared" si="28"/>
        <v>#VALUE!</v>
      </c>
      <c r="R268" s="37"/>
      <c r="S268" s="37"/>
      <c r="T268" s="37"/>
      <c r="U268" s="37"/>
    </row>
    <row r="269" spans="1:21" ht="14.1" customHeight="1" x14ac:dyDescent="0.25">
      <c r="A269" s="61" t="s">
        <v>70</v>
      </c>
      <c r="B269" s="6">
        <v>1807</v>
      </c>
      <c r="C269" s="5">
        <v>13.230341191975398</v>
      </c>
      <c r="D269" s="5"/>
      <c r="E269" s="6">
        <v>1806</v>
      </c>
      <c r="F269" s="5">
        <v>13.250183418928835</v>
      </c>
      <c r="G269" s="5"/>
      <c r="H269" s="3">
        <v>1</v>
      </c>
      <c r="I269" s="16">
        <v>3.5714285714285712</v>
      </c>
      <c r="J269" s="5"/>
      <c r="K269" s="3" t="s">
        <v>96</v>
      </c>
      <c r="L269" s="3" t="s">
        <v>96</v>
      </c>
      <c r="N269" s="100">
        <f t="shared" si="25"/>
        <v>13.2</v>
      </c>
      <c r="O269" s="100">
        <f t="shared" si="26"/>
        <v>13.3</v>
      </c>
      <c r="P269" s="100">
        <f t="shared" si="27"/>
        <v>3.6</v>
      </c>
      <c r="Q269" s="100" t="e">
        <f t="shared" si="28"/>
        <v>#VALUE!</v>
      </c>
      <c r="R269" s="37"/>
      <c r="S269" s="37"/>
      <c r="T269" s="37"/>
      <c r="U269" s="37"/>
    </row>
    <row r="270" spans="1:21" ht="14.1" customHeight="1" x14ac:dyDescent="0.25">
      <c r="A270" s="61" t="s">
        <v>35</v>
      </c>
      <c r="B270" s="6">
        <v>198</v>
      </c>
      <c r="C270" s="5">
        <v>1.4496998096353786</v>
      </c>
      <c r="D270" s="5"/>
      <c r="E270" s="6">
        <v>198</v>
      </c>
      <c r="F270" s="5">
        <v>1.4526779163609684</v>
      </c>
      <c r="G270" s="5"/>
      <c r="H270" s="3" t="s">
        <v>96</v>
      </c>
      <c r="I270" s="16" t="s">
        <v>96</v>
      </c>
      <c r="J270" s="5"/>
      <c r="K270" s="3" t="s">
        <v>96</v>
      </c>
      <c r="L270" s="3" t="s">
        <v>96</v>
      </c>
      <c r="N270" s="100">
        <f t="shared" si="25"/>
        <v>1.4</v>
      </c>
      <c r="O270" s="100">
        <f t="shared" si="26"/>
        <v>1.5</v>
      </c>
      <c r="P270" s="100" t="e">
        <f t="shared" si="27"/>
        <v>#VALUE!</v>
      </c>
      <c r="Q270" s="100" t="e">
        <f t="shared" si="28"/>
        <v>#VALUE!</v>
      </c>
      <c r="R270" s="37"/>
      <c r="S270" s="37"/>
      <c r="T270" s="37"/>
      <c r="U270" s="37"/>
    </row>
    <row r="271" spans="1:21" ht="14.1" customHeight="1" x14ac:dyDescent="0.25">
      <c r="A271" s="61" t="s">
        <v>36</v>
      </c>
      <c r="B271" s="6">
        <v>1185</v>
      </c>
      <c r="C271" s="5">
        <v>8.6762337091814317</v>
      </c>
      <c r="D271" s="5"/>
      <c r="E271" s="6">
        <v>1182</v>
      </c>
      <c r="F271" s="5">
        <v>8.6720469552457811</v>
      </c>
      <c r="G271" s="5"/>
      <c r="H271" s="3">
        <v>3</v>
      </c>
      <c r="I271" s="16">
        <v>10.714285714285714</v>
      </c>
      <c r="J271" s="5"/>
      <c r="K271" s="3" t="s">
        <v>96</v>
      </c>
      <c r="L271" s="3" t="s">
        <v>96</v>
      </c>
      <c r="N271" s="100">
        <f t="shared" si="25"/>
        <v>8.6999999999999993</v>
      </c>
      <c r="O271" s="100">
        <f t="shared" si="26"/>
        <v>8.6999999999999993</v>
      </c>
      <c r="P271" s="100">
        <f t="shared" si="27"/>
        <v>10.7</v>
      </c>
      <c r="Q271" s="100" t="e">
        <f t="shared" si="28"/>
        <v>#VALUE!</v>
      </c>
      <c r="R271" s="37"/>
      <c r="S271" s="37"/>
      <c r="T271" s="37"/>
      <c r="U271" s="37"/>
    </row>
    <row r="272" spans="1:21" ht="14.1" customHeight="1" x14ac:dyDescent="0.25">
      <c r="A272" s="61" t="s">
        <v>37</v>
      </c>
      <c r="B272" s="6">
        <v>2335</v>
      </c>
      <c r="C272" s="5">
        <v>17.196207351003078</v>
      </c>
      <c r="D272" s="5"/>
      <c r="E272" s="6">
        <v>2334</v>
      </c>
      <c r="F272" s="5">
        <v>17.123991195891417</v>
      </c>
      <c r="G272" s="5"/>
      <c r="H272" s="3">
        <v>1</v>
      </c>
      <c r="I272" s="16">
        <v>3.5714285714285712</v>
      </c>
      <c r="J272" s="5"/>
      <c r="K272" s="3" t="s">
        <v>96</v>
      </c>
      <c r="L272" s="3" t="s">
        <v>96</v>
      </c>
      <c r="N272" s="100">
        <f t="shared" si="25"/>
        <v>17.2</v>
      </c>
      <c r="O272" s="100">
        <f t="shared" si="26"/>
        <v>17.100000000000001</v>
      </c>
      <c r="P272" s="100">
        <f t="shared" si="27"/>
        <v>3.6</v>
      </c>
      <c r="Q272" s="100" t="e">
        <f t="shared" si="28"/>
        <v>#VALUE!</v>
      </c>
      <c r="R272" s="37"/>
      <c r="S272" s="37"/>
      <c r="T272" s="37"/>
      <c r="U272" s="37"/>
    </row>
    <row r="273" spans="1:21" ht="14.1" customHeight="1" x14ac:dyDescent="0.25">
      <c r="A273" s="61"/>
      <c r="B273" s="6"/>
      <c r="C273" s="5"/>
      <c r="D273" s="5"/>
      <c r="E273" s="6"/>
      <c r="F273" s="5"/>
      <c r="G273" s="5"/>
      <c r="H273" s="6"/>
      <c r="I273" s="5"/>
      <c r="J273" s="5"/>
      <c r="K273" s="6"/>
      <c r="L273" s="5"/>
      <c r="N273" s="100">
        <f t="shared" si="25"/>
        <v>0</v>
      </c>
      <c r="O273" s="100">
        <f t="shared" si="26"/>
        <v>0</v>
      </c>
      <c r="P273" s="100">
        <f t="shared" si="27"/>
        <v>0</v>
      </c>
      <c r="Q273" s="100">
        <f t="shared" si="28"/>
        <v>0</v>
      </c>
      <c r="R273" s="37"/>
      <c r="S273" s="37"/>
      <c r="T273" s="37"/>
      <c r="U273" s="37"/>
    </row>
    <row r="274" spans="1:21" ht="14.1" customHeight="1" x14ac:dyDescent="0.25">
      <c r="A274" s="63" t="s">
        <v>7</v>
      </c>
      <c r="B274" s="9">
        <v>13429</v>
      </c>
      <c r="C274" s="15">
        <v>100</v>
      </c>
      <c r="D274" s="15"/>
      <c r="E274" s="9">
        <v>13389</v>
      </c>
      <c r="F274" s="15">
        <v>100</v>
      </c>
      <c r="G274" s="15"/>
      <c r="H274" s="9">
        <v>40</v>
      </c>
      <c r="I274" s="15">
        <v>100</v>
      </c>
      <c r="J274" s="15"/>
      <c r="K274" s="8" t="s">
        <v>96</v>
      </c>
      <c r="L274" s="8" t="s">
        <v>96</v>
      </c>
      <c r="N274" s="100">
        <f>SUM(N275:N286)</f>
        <v>100</v>
      </c>
      <c r="O274" s="100">
        <f t="shared" ref="O274:Q274" si="33">SUM(O275:O286)</f>
        <v>99.9</v>
      </c>
      <c r="P274" s="100" t="e">
        <f t="shared" si="33"/>
        <v>#VALUE!</v>
      </c>
      <c r="Q274" s="100" t="e">
        <f t="shared" si="33"/>
        <v>#VALUE!</v>
      </c>
      <c r="R274" s="37"/>
      <c r="S274" s="37"/>
      <c r="T274" s="37"/>
      <c r="U274" s="37"/>
    </row>
    <row r="275" spans="1:21" ht="14.1" customHeight="1" x14ac:dyDescent="0.25">
      <c r="A275" s="61" t="s">
        <v>57</v>
      </c>
      <c r="B275" s="6">
        <v>393</v>
      </c>
      <c r="C275" s="5">
        <v>2.9265023456698191</v>
      </c>
      <c r="D275" s="5"/>
      <c r="E275" s="6">
        <v>393</v>
      </c>
      <c r="F275" s="5">
        <v>2.9352453506609906</v>
      </c>
      <c r="G275" s="5"/>
      <c r="H275" s="3" t="s">
        <v>96</v>
      </c>
      <c r="I275" s="16" t="s">
        <v>96</v>
      </c>
      <c r="J275" s="5"/>
      <c r="K275" s="3" t="s">
        <v>96</v>
      </c>
      <c r="L275" s="3" t="s">
        <v>96</v>
      </c>
      <c r="N275" s="100">
        <f t="shared" si="25"/>
        <v>2.9</v>
      </c>
      <c r="O275" s="100">
        <f t="shared" si="26"/>
        <v>2.9</v>
      </c>
      <c r="P275" s="100" t="e">
        <f t="shared" si="27"/>
        <v>#VALUE!</v>
      </c>
      <c r="Q275" s="100" t="e">
        <f t="shared" si="28"/>
        <v>#VALUE!</v>
      </c>
      <c r="R275" s="37"/>
      <c r="S275" s="37"/>
      <c r="T275" s="37"/>
      <c r="U275" s="37"/>
    </row>
    <row r="276" spans="1:21" ht="14.1" customHeight="1" x14ac:dyDescent="0.25">
      <c r="A276" s="61" t="s">
        <v>29</v>
      </c>
      <c r="B276" s="6">
        <v>163</v>
      </c>
      <c r="C276" s="5">
        <v>1.2137910492218333</v>
      </c>
      <c r="D276" s="5"/>
      <c r="E276" s="6">
        <v>160</v>
      </c>
      <c r="F276" s="5">
        <v>1.195010829785645</v>
      </c>
      <c r="G276" s="5"/>
      <c r="H276" s="3">
        <v>3</v>
      </c>
      <c r="I276" s="16">
        <v>7.5</v>
      </c>
      <c r="J276" s="5"/>
      <c r="K276" s="3" t="s">
        <v>96</v>
      </c>
      <c r="L276" s="3" t="s">
        <v>96</v>
      </c>
      <c r="N276" s="100">
        <f t="shared" si="25"/>
        <v>1.2</v>
      </c>
      <c r="O276" s="100">
        <f t="shared" si="26"/>
        <v>1.2</v>
      </c>
      <c r="P276" s="100">
        <f t="shared" si="27"/>
        <v>7.5</v>
      </c>
      <c r="Q276" s="100" t="e">
        <f t="shared" si="28"/>
        <v>#VALUE!</v>
      </c>
      <c r="R276" s="37"/>
      <c r="S276" s="37"/>
      <c r="T276" s="37"/>
      <c r="U276" s="37"/>
    </row>
    <row r="277" spans="1:21" ht="14.1" customHeight="1" x14ac:dyDescent="0.25">
      <c r="A277" s="61" t="s">
        <v>30</v>
      </c>
      <c r="B277" s="6">
        <v>811</v>
      </c>
      <c r="C277" s="5">
        <v>6.0391689626926803</v>
      </c>
      <c r="D277" s="5"/>
      <c r="E277" s="6">
        <v>809</v>
      </c>
      <c r="F277" s="5">
        <v>6.0422735081036665</v>
      </c>
      <c r="G277" s="5"/>
      <c r="H277" s="3">
        <v>2</v>
      </c>
      <c r="I277" s="16">
        <v>5</v>
      </c>
      <c r="J277" s="5"/>
      <c r="K277" s="3" t="s">
        <v>96</v>
      </c>
      <c r="L277" s="3" t="s">
        <v>96</v>
      </c>
      <c r="N277" s="100">
        <f t="shared" si="25"/>
        <v>6</v>
      </c>
      <c r="O277" s="100">
        <f t="shared" si="26"/>
        <v>6</v>
      </c>
      <c r="P277" s="100">
        <f t="shared" si="27"/>
        <v>5</v>
      </c>
      <c r="Q277" s="100" t="e">
        <f t="shared" si="28"/>
        <v>#VALUE!</v>
      </c>
      <c r="R277" s="37"/>
      <c r="S277" s="37"/>
      <c r="T277" s="37"/>
      <c r="U277" s="37"/>
    </row>
    <row r="278" spans="1:21" ht="14.1" customHeight="1" x14ac:dyDescent="0.25">
      <c r="A278" s="61" t="s">
        <v>31</v>
      </c>
      <c r="B278" s="6">
        <v>9</v>
      </c>
      <c r="C278" s="5">
        <v>6.7019137687095096E-2</v>
      </c>
      <c r="D278" s="5"/>
      <c r="E278" s="6">
        <v>9</v>
      </c>
      <c r="F278" s="5">
        <v>6.7219359175442528E-2</v>
      </c>
      <c r="G278" s="5"/>
      <c r="H278" s="3" t="s">
        <v>96</v>
      </c>
      <c r="I278" s="16" t="s">
        <v>96</v>
      </c>
      <c r="J278" s="5"/>
      <c r="K278" s="3" t="s">
        <v>96</v>
      </c>
      <c r="L278" s="3" t="s">
        <v>96</v>
      </c>
      <c r="N278" s="100">
        <f t="shared" si="25"/>
        <v>0.1</v>
      </c>
      <c r="O278" s="100">
        <f t="shared" si="26"/>
        <v>0.1</v>
      </c>
      <c r="P278" s="100" t="e">
        <f t="shared" si="27"/>
        <v>#VALUE!</v>
      </c>
      <c r="Q278" s="100" t="e">
        <f t="shared" si="28"/>
        <v>#VALUE!</v>
      </c>
      <c r="R278" s="37"/>
      <c r="S278" s="37"/>
      <c r="T278" s="37"/>
      <c r="U278" s="37"/>
    </row>
    <row r="279" spans="1:21" ht="14.1" customHeight="1" x14ac:dyDescent="0.25">
      <c r="A279" s="61" t="s">
        <v>32</v>
      </c>
      <c r="B279" s="6">
        <v>94</v>
      </c>
      <c r="C279" s="5">
        <v>0.69997766028743769</v>
      </c>
      <c r="D279" s="5"/>
      <c r="E279" s="6">
        <v>93</v>
      </c>
      <c r="F279" s="5">
        <v>0.69460004481290616</v>
      </c>
      <c r="G279" s="5"/>
      <c r="H279" s="3">
        <v>1</v>
      </c>
      <c r="I279" s="16">
        <v>2.5</v>
      </c>
      <c r="J279" s="5"/>
      <c r="K279" s="3" t="s">
        <v>96</v>
      </c>
      <c r="L279" s="3" t="s">
        <v>96</v>
      </c>
      <c r="N279" s="100">
        <f t="shared" si="25"/>
        <v>0.7</v>
      </c>
      <c r="O279" s="100">
        <f t="shared" si="26"/>
        <v>0.7</v>
      </c>
      <c r="P279" s="100">
        <f t="shared" si="27"/>
        <v>2.5</v>
      </c>
      <c r="Q279" s="100" t="e">
        <f t="shared" si="28"/>
        <v>#VALUE!</v>
      </c>
      <c r="R279" s="37"/>
      <c r="S279" s="37"/>
      <c r="T279" s="37"/>
      <c r="U279" s="37"/>
    </row>
    <row r="280" spans="1:21" ht="14.1" customHeight="1" x14ac:dyDescent="0.25">
      <c r="A280" s="61" t="s">
        <v>33</v>
      </c>
      <c r="B280" s="6">
        <v>6655</v>
      </c>
      <c r="C280" s="5">
        <v>49.456929034179758</v>
      </c>
      <c r="D280" s="5"/>
      <c r="E280" s="6">
        <v>6627</v>
      </c>
      <c r="F280" s="5">
        <v>49.495854806184184</v>
      </c>
      <c r="G280" s="5"/>
      <c r="H280" s="3">
        <v>28</v>
      </c>
      <c r="I280" s="16">
        <v>70</v>
      </c>
      <c r="J280" s="5"/>
      <c r="K280" s="3" t="s">
        <v>96</v>
      </c>
      <c r="L280" s="3" t="s">
        <v>96</v>
      </c>
      <c r="N280" s="100">
        <f t="shared" ref="N280:N343" si="34">ROUND(C280,1)</f>
        <v>49.5</v>
      </c>
      <c r="O280" s="100">
        <f t="shared" ref="O280:O343" si="35">ROUND(F280,1)</f>
        <v>49.5</v>
      </c>
      <c r="P280" s="100">
        <f t="shared" ref="P280:P343" si="36">ROUND(I280,1)</f>
        <v>70</v>
      </c>
      <c r="Q280" s="100" t="e">
        <f t="shared" ref="Q280:Q343" si="37">ROUND(L280,1)</f>
        <v>#VALUE!</v>
      </c>
      <c r="R280" s="37"/>
      <c r="S280" s="37"/>
      <c r="T280" s="37"/>
      <c r="U280" s="37"/>
    </row>
    <row r="281" spans="1:21" ht="14.1" customHeight="1" x14ac:dyDescent="0.25">
      <c r="A281" s="61" t="s">
        <v>34</v>
      </c>
      <c r="B281" s="6">
        <v>816</v>
      </c>
      <c r="C281" s="5">
        <v>6.0764018169632887</v>
      </c>
      <c r="D281" s="5"/>
      <c r="E281" s="6">
        <v>810</v>
      </c>
      <c r="F281" s="5">
        <v>6.0497423257898273</v>
      </c>
      <c r="G281" s="5"/>
      <c r="H281" s="3">
        <v>6</v>
      </c>
      <c r="I281" s="16">
        <v>15</v>
      </c>
      <c r="J281" s="5"/>
      <c r="K281" s="3" t="s">
        <v>96</v>
      </c>
      <c r="L281" s="3" t="s">
        <v>96</v>
      </c>
      <c r="N281" s="100">
        <f t="shared" si="34"/>
        <v>6.1</v>
      </c>
      <c r="O281" s="100">
        <f t="shared" si="35"/>
        <v>6</v>
      </c>
      <c r="P281" s="100">
        <f t="shared" si="36"/>
        <v>15</v>
      </c>
      <c r="Q281" s="100" t="e">
        <f t="shared" si="37"/>
        <v>#VALUE!</v>
      </c>
      <c r="R281" s="37"/>
      <c r="S281" s="37"/>
      <c r="T281" s="37"/>
      <c r="U281" s="37"/>
    </row>
    <row r="282" spans="1:21" ht="14.1" customHeight="1" x14ac:dyDescent="0.25">
      <c r="A282" s="61" t="s">
        <v>67</v>
      </c>
      <c r="B282" s="6">
        <v>322</v>
      </c>
      <c r="C282" s="5">
        <v>2.3977958150271799</v>
      </c>
      <c r="D282" s="5"/>
      <c r="E282" s="6">
        <v>322</v>
      </c>
      <c r="F282" s="5">
        <v>2.4049592949436103</v>
      </c>
      <c r="G282" s="5"/>
      <c r="H282" s="3" t="s">
        <v>96</v>
      </c>
      <c r="I282" s="16" t="s">
        <v>96</v>
      </c>
      <c r="J282" s="5"/>
      <c r="K282" s="3" t="s">
        <v>96</v>
      </c>
      <c r="L282" s="3" t="s">
        <v>96</v>
      </c>
      <c r="N282" s="100">
        <f t="shared" si="34"/>
        <v>2.4</v>
      </c>
      <c r="O282" s="100">
        <f t="shared" si="35"/>
        <v>2.4</v>
      </c>
      <c r="P282" s="100" t="e">
        <f t="shared" si="36"/>
        <v>#VALUE!</v>
      </c>
      <c r="Q282" s="100" t="e">
        <f t="shared" si="37"/>
        <v>#VALUE!</v>
      </c>
      <c r="R282" s="37"/>
      <c r="S282" s="37"/>
      <c r="T282" s="37"/>
      <c r="U282" s="37"/>
    </row>
    <row r="283" spans="1:21" ht="14.1" customHeight="1" x14ac:dyDescent="0.25">
      <c r="A283" s="61" t="s">
        <v>70</v>
      </c>
      <c r="B283" s="6">
        <v>1505</v>
      </c>
      <c r="C283" s="5">
        <v>11.207089135453124</v>
      </c>
      <c r="D283" s="5"/>
      <c r="E283" s="6">
        <v>1505</v>
      </c>
      <c r="F283" s="5">
        <v>11.240570617671223</v>
      </c>
      <c r="G283" s="5"/>
      <c r="H283" s="3" t="s">
        <v>96</v>
      </c>
      <c r="I283" s="16" t="s">
        <v>96</v>
      </c>
      <c r="J283" s="5"/>
      <c r="K283" s="3" t="s">
        <v>96</v>
      </c>
      <c r="L283" s="3" t="s">
        <v>96</v>
      </c>
      <c r="N283" s="100">
        <f t="shared" si="34"/>
        <v>11.2</v>
      </c>
      <c r="O283" s="100">
        <f t="shared" si="35"/>
        <v>11.2</v>
      </c>
      <c r="P283" s="100" t="e">
        <f t="shared" si="36"/>
        <v>#VALUE!</v>
      </c>
      <c r="Q283" s="100" t="e">
        <f t="shared" si="37"/>
        <v>#VALUE!</v>
      </c>
      <c r="R283" s="37"/>
      <c r="S283" s="37"/>
      <c r="T283" s="37"/>
      <c r="U283" s="37"/>
    </row>
    <row r="284" spans="1:21" ht="14.1" customHeight="1" x14ac:dyDescent="0.25">
      <c r="A284" s="61" t="s">
        <v>35</v>
      </c>
      <c r="B284" s="6">
        <v>343</v>
      </c>
      <c r="C284" s="5">
        <v>2.5541738029637351</v>
      </c>
      <c r="D284" s="5"/>
      <c r="E284" s="6">
        <v>343</v>
      </c>
      <c r="F284" s="5">
        <v>2.5618044663529762</v>
      </c>
      <c r="G284" s="5"/>
      <c r="H284" s="3" t="s">
        <v>96</v>
      </c>
      <c r="I284" s="16" t="s">
        <v>96</v>
      </c>
      <c r="J284" s="5"/>
      <c r="K284" s="3" t="s">
        <v>96</v>
      </c>
      <c r="L284" s="3" t="s">
        <v>96</v>
      </c>
      <c r="N284" s="100">
        <f t="shared" si="34"/>
        <v>2.6</v>
      </c>
      <c r="O284" s="100">
        <f t="shared" si="35"/>
        <v>2.6</v>
      </c>
      <c r="P284" s="100" t="e">
        <f t="shared" si="36"/>
        <v>#VALUE!</v>
      </c>
      <c r="Q284" s="100" t="e">
        <f t="shared" si="37"/>
        <v>#VALUE!</v>
      </c>
      <c r="R284" s="37"/>
      <c r="S284" s="37"/>
      <c r="T284" s="37"/>
      <c r="U284" s="37"/>
    </row>
    <row r="285" spans="1:21" ht="14.1" customHeight="1" x14ac:dyDescent="0.25">
      <c r="A285" s="61" t="s">
        <v>36</v>
      </c>
      <c r="B285" s="6">
        <v>829</v>
      </c>
      <c r="C285" s="5">
        <v>6.1732072380668708</v>
      </c>
      <c r="D285" s="5"/>
      <c r="E285" s="6">
        <v>829</v>
      </c>
      <c r="F285" s="5">
        <v>6.1916498618268729</v>
      </c>
      <c r="G285" s="5"/>
      <c r="H285" s="3" t="s">
        <v>96</v>
      </c>
      <c r="I285" s="16" t="s">
        <v>96</v>
      </c>
      <c r="J285" s="5"/>
      <c r="K285" s="3" t="s">
        <v>96</v>
      </c>
      <c r="L285" s="3" t="s">
        <v>96</v>
      </c>
      <c r="N285" s="100">
        <f t="shared" si="34"/>
        <v>6.2</v>
      </c>
      <c r="O285" s="100">
        <f t="shared" si="35"/>
        <v>6.2</v>
      </c>
      <c r="P285" s="100" t="e">
        <f t="shared" si="36"/>
        <v>#VALUE!</v>
      </c>
      <c r="Q285" s="100" t="e">
        <f t="shared" si="37"/>
        <v>#VALUE!</v>
      </c>
      <c r="R285" s="37"/>
      <c r="S285" s="37"/>
      <c r="T285" s="37"/>
      <c r="U285" s="37"/>
    </row>
    <row r="286" spans="1:21" ht="14.1" customHeight="1" x14ac:dyDescent="0.25">
      <c r="A286" s="61" t="s">
        <v>37</v>
      </c>
      <c r="B286" s="6">
        <v>1489</v>
      </c>
      <c r="C286" s="5">
        <v>11.087944001787177</v>
      </c>
      <c r="D286" s="5"/>
      <c r="E286" s="6">
        <v>1489</v>
      </c>
      <c r="F286" s="5">
        <v>11.121069534692658</v>
      </c>
      <c r="G286" s="5"/>
      <c r="H286" s="3" t="s">
        <v>96</v>
      </c>
      <c r="I286" s="16" t="s">
        <v>96</v>
      </c>
      <c r="J286" s="5"/>
      <c r="K286" s="3" t="s">
        <v>96</v>
      </c>
      <c r="L286" s="3" t="s">
        <v>96</v>
      </c>
      <c r="N286" s="100">
        <f t="shared" si="34"/>
        <v>11.1</v>
      </c>
      <c r="O286" s="100">
        <f t="shared" si="35"/>
        <v>11.1</v>
      </c>
      <c r="P286" s="100" t="e">
        <f t="shared" si="36"/>
        <v>#VALUE!</v>
      </c>
      <c r="Q286" s="100" t="e">
        <f t="shared" si="37"/>
        <v>#VALUE!</v>
      </c>
      <c r="R286" s="37"/>
      <c r="S286" s="37"/>
      <c r="T286" s="37"/>
      <c r="U286" s="37"/>
    </row>
    <row r="287" spans="1:21" ht="14.1" customHeight="1" x14ac:dyDescent="0.25">
      <c r="A287" s="61"/>
      <c r="B287" s="6"/>
      <c r="C287" s="5"/>
      <c r="D287" s="5"/>
      <c r="E287" s="6"/>
      <c r="F287" s="5"/>
      <c r="G287" s="5"/>
      <c r="H287" s="6"/>
      <c r="I287" s="5"/>
      <c r="J287" s="5"/>
      <c r="K287" s="6"/>
      <c r="L287" s="5"/>
      <c r="N287" s="100">
        <f t="shared" si="34"/>
        <v>0</v>
      </c>
      <c r="O287" s="100">
        <f t="shared" si="35"/>
        <v>0</v>
      </c>
      <c r="P287" s="100">
        <f t="shared" si="36"/>
        <v>0</v>
      </c>
      <c r="Q287" s="100">
        <f t="shared" si="37"/>
        <v>0</v>
      </c>
      <c r="R287" s="37"/>
      <c r="S287" s="37"/>
      <c r="T287" s="37"/>
      <c r="U287" s="37"/>
    </row>
    <row r="288" spans="1:21" ht="14.1" customHeight="1" x14ac:dyDescent="0.25">
      <c r="A288" s="63" t="s">
        <v>6</v>
      </c>
      <c r="B288" s="9">
        <v>106831</v>
      </c>
      <c r="C288" s="15">
        <v>100</v>
      </c>
      <c r="D288" s="9"/>
      <c r="E288" s="9">
        <v>106377</v>
      </c>
      <c r="F288" s="15">
        <v>100</v>
      </c>
      <c r="G288" s="15"/>
      <c r="H288" s="9">
        <v>442</v>
      </c>
      <c r="I288" s="15">
        <v>100</v>
      </c>
      <c r="J288" s="15"/>
      <c r="K288" s="9">
        <v>12</v>
      </c>
      <c r="L288" s="15">
        <v>100</v>
      </c>
      <c r="N288" s="100">
        <f>SUM(N289:N300)</f>
        <v>100</v>
      </c>
      <c r="O288" s="100">
        <f t="shared" ref="O288:Q288" si="38">SUM(O289:O300)</f>
        <v>99.999999999999986</v>
      </c>
      <c r="P288" s="100" t="e">
        <f t="shared" si="38"/>
        <v>#VALUE!</v>
      </c>
      <c r="Q288" s="100" t="e">
        <f t="shared" si="38"/>
        <v>#VALUE!</v>
      </c>
      <c r="R288" s="37"/>
      <c r="S288" s="37"/>
      <c r="T288" s="37"/>
      <c r="U288" s="37"/>
    </row>
    <row r="289" spans="1:21" ht="14.1" customHeight="1" x14ac:dyDescent="0.25">
      <c r="A289" s="61" t="s">
        <v>57</v>
      </c>
      <c r="B289" s="6">
        <v>1523</v>
      </c>
      <c r="C289" s="5">
        <v>1.4256161601033408</v>
      </c>
      <c r="D289" s="5"/>
      <c r="E289" s="6">
        <v>1419</v>
      </c>
      <c r="F289" s="5">
        <v>1.3339349671451535</v>
      </c>
      <c r="G289" s="5"/>
      <c r="H289" s="6">
        <v>102</v>
      </c>
      <c r="I289" s="5">
        <v>23.076923076923077</v>
      </c>
      <c r="J289" s="5"/>
      <c r="K289" s="6">
        <v>2</v>
      </c>
      <c r="L289" s="5">
        <v>16.666666666666664</v>
      </c>
      <c r="N289" s="100">
        <f t="shared" si="34"/>
        <v>1.4</v>
      </c>
      <c r="O289" s="100">
        <f t="shared" si="35"/>
        <v>1.3</v>
      </c>
      <c r="P289" s="100">
        <f t="shared" si="36"/>
        <v>23.1</v>
      </c>
      <c r="Q289" s="100">
        <f t="shared" si="37"/>
        <v>16.7</v>
      </c>
      <c r="R289" s="37"/>
      <c r="S289" s="37"/>
      <c r="T289" s="37"/>
      <c r="U289" s="37"/>
    </row>
    <row r="290" spans="1:21" ht="14.1" customHeight="1" x14ac:dyDescent="0.25">
      <c r="A290" s="61" t="s">
        <v>29</v>
      </c>
      <c r="B290" s="6">
        <v>357</v>
      </c>
      <c r="C290" s="5">
        <v>0.33417266523761829</v>
      </c>
      <c r="D290" s="5"/>
      <c r="E290" s="6">
        <v>348</v>
      </c>
      <c r="F290" s="5">
        <v>0.32713838517724697</v>
      </c>
      <c r="G290" s="5"/>
      <c r="H290" s="6">
        <v>9</v>
      </c>
      <c r="I290" s="5">
        <v>2.0361990950226243</v>
      </c>
      <c r="J290" s="5"/>
      <c r="K290" s="3" t="s">
        <v>96</v>
      </c>
      <c r="L290" s="16" t="s">
        <v>96</v>
      </c>
      <c r="N290" s="100">
        <f t="shared" si="34"/>
        <v>0.3</v>
      </c>
      <c r="O290" s="100">
        <f t="shared" si="35"/>
        <v>0.3</v>
      </c>
      <c r="P290" s="100">
        <f t="shared" si="36"/>
        <v>2</v>
      </c>
      <c r="Q290" s="100" t="e">
        <f t="shared" si="37"/>
        <v>#VALUE!</v>
      </c>
      <c r="R290" s="37"/>
      <c r="S290" s="37"/>
      <c r="T290" s="37"/>
      <c r="U290" s="37"/>
    </row>
    <row r="291" spans="1:21" ht="14.1" customHeight="1" x14ac:dyDescent="0.25">
      <c r="A291" s="61" t="s">
        <v>30</v>
      </c>
      <c r="B291" s="6">
        <v>5760</v>
      </c>
      <c r="C291" s="5">
        <v>5.3916934223212367</v>
      </c>
      <c r="D291" s="5"/>
      <c r="E291" s="6">
        <v>5746</v>
      </c>
      <c r="F291" s="5">
        <v>5.401543566748451</v>
      </c>
      <c r="G291" s="5"/>
      <c r="H291" s="6">
        <v>14</v>
      </c>
      <c r="I291" s="5">
        <v>3.1674208144796379</v>
      </c>
      <c r="J291" s="5"/>
      <c r="K291" s="3" t="s">
        <v>96</v>
      </c>
      <c r="L291" s="16" t="s">
        <v>96</v>
      </c>
      <c r="N291" s="100">
        <f t="shared" si="34"/>
        <v>5.4</v>
      </c>
      <c r="O291" s="100">
        <f t="shared" si="35"/>
        <v>5.4</v>
      </c>
      <c r="P291" s="100">
        <f t="shared" si="36"/>
        <v>3.2</v>
      </c>
      <c r="Q291" s="100" t="e">
        <f t="shared" si="37"/>
        <v>#VALUE!</v>
      </c>
      <c r="R291" s="37"/>
      <c r="S291" s="37"/>
      <c r="T291" s="37"/>
      <c r="U291" s="37"/>
    </row>
    <row r="292" spans="1:21" ht="14.1" customHeight="1" x14ac:dyDescent="0.25">
      <c r="A292" s="61" t="s">
        <v>31</v>
      </c>
      <c r="B292" s="6">
        <v>218</v>
      </c>
      <c r="C292" s="5">
        <v>0.20406061910868567</v>
      </c>
      <c r="D292" s="5"/>
      <c r="E292" s="6">
        <v>218</v>
      </c>
      <c r="F292" s="5">
        <v>0.2049315171512639</v>
      </c>
      <c r="G292" s="5"/>
      <c r="H292" s="3" t="s">
        <v>96</v>
      </c>
      <c r="I292" s="3" t="s">
        <v>96</v>
      </c>
      <c r="J292" s="5"/>
      <c r="K292" s="3" t="s">
        <v>96</v>
      </c>
      <c r="L292" s="16" t="s">
        <v>96</v>
      </c>
      <c r="N292" s="100">
        <f t="shared" si="34"/>
        <v>0.2</v>
      </c>
      <c r="O292" s="100">
        <f t="shared" si="35"/>
        <v>0.2</v>
      </c>
      <c r="P292" s="100" t="e">
        <f t="shared" si="36"/>
        <v>#VALUE!</v>
      </c>
      <c r="Q292" s="100" t="e">
        <f t="shared" si="37"/>
        <v>#VALUE!</v>
      </c>
      <c r="R292" s="37"/>
      <c r="S292" s="37"/>
      <c r="T292" s="37"/>
      <c r="U292" s="37"/>
    </row>
    <row r="293" spans="1:21" ht="14.1" customHeight="1" x14ac:dyDescent="0.25">
      <c r="A293" s="61" t="s">
        <v>32</v>
      </c>
      <c r="B293" s="6">
        <v>1051</v>
      </c>
      <c r="C293" s="5">
        <v>0.98379683799646178</v>
      </c>
      <c r="D293" s="5"/>
      <c r="E293" s="6">
        <v>1041</v>
      </c>
      <c r="F293" s="5">
        <v>0.97859499703883357</v>
      </c>
      <c r="G293" s="5"/>
      <c r="H293" s="6">
        <v>9</v>
      </c>
      <c r="I293" s="5">
        <v>2.0361990950226243</v>
      </c>
      <c r="J293" s="5"/>
      <c r="K293" s="3">
        <v>1</v>
      </c>
      <c r="L293" s="16">
        <v>8.3333333333333321</v>
      </c>
      <c r="N293" s="100">
        <f t="shared" si="34"/>
        <v>1</v>
      </c>
      <c r="O293" s="100">
        <f t="shared" si="35"/>
        <v>1</v>
      </c>
      <c r="P293" s="100">
        <f t="shared" si="36"/>
        <v>2</v>
      </c>
      <c r="Q293" s="100">
        <f t="shared" si="37"/>
        <v>8.3000000000000007</v>
      </c>
      <c r="R293" s="37"/>
      <c r="S293" s="37"/>
      <c r="T293" s="37"/>
      <c r="U293" s="37"/>
    </row>
    <row r="294" spans="1:21" ht="14.1" customHeight="1" x14ac:dyDescent="0.25">
      <c r="A294" s="61" t="s">
        <v>33</v>
      </c>
      <c r="B294" s="6">
        <v>55146</v>
      </c>
      <c r="C294" s="5">
        <v>51.619848171410922</v>
      </c>
      <c r="D294" s="5"/>
      <c r="E294" s="6">
        <v>54964</v>
      </c>
      <c r="F294" s="5">
        <v>51.569063801385639</v>
      </c>
      <c r="G294" s="5"/>
      <c r="H294" s="6">
        <v>175</v>
      </c>
      <c r="I294" s="5">
        <v>39.492760180995475</v>
      </c>
      <c r="J294" s="5"/>
      <c r="K294" s="3">
        <v>7</v>
      </c>
      <c r="L294" s="16">
        <v>58.433333333333337</v>
      </c>
      <c r="N294" s="100">
        <f t="shared" si="34"/>
        <v>51.6</v>
      </c>
      <c r="O294" s="100">
        <f t="shared" si="35"/>
        <v>51.6</v>
      </c>
      <c r="P294" s="100">
        <f t="shared" si="36"/>
        <v>39.5</v>
      </c>
      <c r="Q294" s="100">
        <f t="shared" si="37"/>
        <v>58.4</v>
      </c>
      <c r="R294" s="37"/>
      <c r="S294" s="37"/>
      <c r="T294" s="37"/>
      <c r="U294" s="37"/>
    </row>
    <row r="295" spans="1:21" ht="14.1" customHeight="1" x14ac:dyDescent="0.25">
      <c r="A295" s="61" t="s">
        <v>34</v>
      </c>
      <c r="B295" s="6">
        <v>5140</v>
      </c>
      <c r="C295" s="5">
        <v>4.8113375331130479</v>
      </c>
      <c r="D295" s="5"/>
      <c r="E295" s="6">
        <v>5067</v>
      </c>
      <c r="F295" s="5">
        <v>4.7632476945204321</v>
      </c>
      <c r="G295" s="5"/>
      <c r="H295" s="6">
        <v>72</v>
      </c>
      <c r="I295" s="5">
        <v>16.289592760180994</v>
      </c>
      <c r="J295" s="5"/>
      <c r="K295" s="3">
        <v>1</v>
      </c>
      <c r="L295" s="16">
        <v>8.3333333333333321</v>
      </c>
      <c r="N295" s="100">
        <f t="shared" si="34"/>
        <v>4.8</v>
      </c>
      <c r="O295" s="100">
        <f t="shared" si="35"/>
        <v>4.8</v>
      </c>
      <c r="P295" s="100">
        <f t="shared" si="36"/>
        <v>16.3</v>
      </c>
      <c r="Q295" s="100">
        <f t="shared" si="37"/>
        <v>8.3000000000000007</v>
      </c>
      <c r="R295" s="37"/>
      <c r="S295" s="37"/>
      <c r="T295" s="37"/>
      <c r="U295" s="37"/>
    </row>
    <row r="296" spans="1:21" ht="14.1" customHeight="1" x14ac:dyDescent="0.25">
      <c r="A296" s="61" t="s">
        <v>67</v>
      </c>
      <c r="B296" s="6">
        <v>924</v>
      </c>
      <c r="C296" s="5">
        <v>0.86491748649736511</v>
      </c>
      <c r="D296" s="5"/>
      <c r="E296" s="6">
        <v>921</v>
      </c>
      <c r="F296" s="5">
        <v>0.86578865732254151</v>
      </c>
      <c r="G296" s="5"/>
      <c r="H296" s="6">
        <v>3</v>
      </c>
      <c r="I296" s="5">
        <v>0.67873303167420818</v>
      </c>
      <c r="J296" s="5"/>
      <c r="K296" s="3" t="s">
        <v>96</v>
      </c>
      <c r="L296" s="16" t="s">
        <v>96</v>
      </c>
      <c r="N296" s="100">
        <f t="shared" si="34"/>
        <v>0.9</v>
      </c>
      <c r="O296" s="100">
        <f t="shared" si="35"/>
        <v>0.9</v>
      </c>
      <c r="P296" s="100">
        <f t="shared" si="36"/>
        <v>0.7</v>
      </c>
      <c r="Q296" s="100" t="e">
        <f t="shared" si="37"/>
        <v>#VALUE!</v>
      </c>
      <c r="R296" s="37"/>
      <c r="S296" s="37"/>
      <c r="T296" s="37"/>
      <c r="U296" s="37"/>
    </row>
    <row r="297" spans="1:21" ht="14.1" customHeight="1" x14ac:dyDescent="0.25">
      <c r="A297" s="61" t="s">
        <v>70</v>
      </c>
      <c r="B297" s="6">
        <v>12004</v>
      </c>
      <c r="C297" s="5">
        <v>11.236438861379188</v>
      </c>
      <c r="D297" s="5"/>
      <c r="E297" s="6">
        <v>12000</v>
      </c>
      <c r="F297" s="5">
        <v>11.280633971629205</v>
      </c>
      <c r="G297" s="5"/>
      <c r="H297" s="6">
        <v>4</v>
      </c>
      <c r="I297" s="5">
        <v>0.90497737556561098</v>
      </c>
      <c r="J297" s="5"/>
      <c r="K297" s="3" t="s">
        <v>96</v>
      </c>
      <c r="L297" s="16" t="s">
        <v>96</v>
      </c>
      <c r="N297" s="100">
        <f t="shared" si="34"/>
        <v>11.2</v>
      </c>
      <c r="O297" s="100">
        <f t="shared" si="35"/>
        <v>11.3</v>
      </c>
      <c r="P297" s="100">
        <f t="shared" si="36"/>
        <v>0.9</v>
      </c>
      <c r="Q297" s="100" t="e">
        <f t="shared" si="37"/>
        <v>#VALUE!</v>
      </c>
      <c r="R297" s="37"/>
      <c r="S297" s="37"/>
      <c r="T297" s="37"/>
      <c r="U297" s="37"/>
    </row>
    <row r="298" spans="1:21" ht="14.1" customHeight="1" x14ac:dyDescent="0.25">
      <c r="A298" s="61" t="s">
        <v>35</v>
      </c>
      <c r="B298" s="6">
        <v>1380</v>
      </c>
      <c r="C298" s="5">
        <v>1.2917598824311296</v>
      </c>
      <c r="D298" s="5"/>
      <c r="E298" s="6">
        <v>1376</v>
      </c>
      <c r="F298" s="5">
        <v>1.2935126954134823</v>
      </c>
      <c r="G298" s="5"/>
      <c r="H298" s="6">
        <v>4</v>
      </c>
      <c r="I298" s="5">
        <v>0.90497737556561098</v>
      </c>
      <c r="J298" s="5"/>
      <c r="K298" s="3" t="s">
        <v>96</v>
      </c>
      <c r="L298" s="16" t="s">
        <v>96</v>
      </c>
      <c r="N298" s="100">
        <f t="shared" si="34"/>
        <v>1.3</v>
      </c>
      <c r="O298" s="100">
        <f t="shared" si="35"/>
        <v>1.3</v>
      </c>
      <c r="P298" s="100">
        <f t="shared" si="36"/>
        <v>0.9</v>
      </c>
      <c r="Q298" s="100" t="e">
        <f t="shared" si="37"/>
        <v>#VALUE!</v>
      </c>
      <c r="R298" s="37"/>
      <c r="S298" s="37"/>
      <c r="T298" s="37"/>
      <c r="U298" s="37"/>
    </row>
    <row r="299" spans="1:21" ht="14.1" customHeight="1" x14ac:dyDescent="0.25">
      <c r="A299" s="61" t="s">
        <v>36</v>
      </c>
      <c r="B299" s="6">
        <v>11822</v>
      </c>
      <c r="C299" s="5">
        <v>11.06607632616001</v>
      </c>
      <c r="D299" s="5"/>
      <c r="E299" s="6">
        <v>11793</v>
      </c>
      <c r="F299" s="5">
        <v>11.086043035618601</v>
      </c>
      <c r="G299" s="5"/>
      <c r="H299" s="6">
        <v>29</v>
      </c>
      <c r="I299" s="5">
        <v>6.5610859728506794</v>
      </c>
      <c r="J299" s="5"/>
      <c r="K299" s="3" t="s">
        <v>96</v>
      </c>
      <c r="L299" s="16" t="s">
        <v>96</v>
      </c>
      <c r="N299" s="100">
        <f t="shared" si="34"/>
        <v>11.1</v>
      </c>
      <c r="O299" s="100">
        <f t="shared" si="35"/>
        <v>11.1</v>
      </c>
      <c r="P299" s="100">
        <f t="shared" si="36"/>
        <v>6.6</v>
      </c>
      <c r="Q299" s="100" t="e">
        <f t="shared" si="37"/>
        <v>#VALUE!</v>
      </c>
      <c r="R299" s="37"/>
      <c r="S299" s="37"/>
      <c r="T299" s="37"/>
      <c r="U299" s="37"/>
    </row>
    <row r="300" spans="1:21" ht="14.1" customHeight="1" x14ac:dyDescent="0.25">
      <c r="A300" s="61" t="s">
        <v>37</v>
      </c>
      <c r="B300" s="6">
        <v>11506</v>
      </c>
      <c r="C300" s="5">
        <v>10.770282034240998</v>
      </c>
      <c r="D300" s="5"/>
      <c r="E300" s="6">
        <v>11484</v>
      </c>
      <c r="F300" s="5">
        <v>10.795566710849149</v>
      </c>
      <c r="G300" s="5"/>
      <c r="H300" s="6">
        <v>21</v>
      </c>
      <c r="I300" s="5">
        <v>4.751131221719457</v>
      </c>
      <c r="J300" s="5"/>
      <c r="K300" s="3">
        <v>1</v>
      </c>
      <c r="L300" s="16">
        <v>8.3333333333333321</v>
      </c>
      <c r="N300" s="100">
        <f t="shared" si="34"/>
        <v>10.8</v>
      </c>
      <c r="O300" s="100">
        <f t="shared" si="35"/>
        <v>10.8</v>
      </c>
      <c r="P300" s="100">
        <f t="shared" si="36"/>
        <v>4.8</v>
      </c>
      <c r="Q300" s="100">
        <f t="shared" si="37"/>
        <v>8.3000000000000007</v>
      </c>
      <c r="R300" s="37"/>
      <c r="S300" s="37"/>
      <c r="T300" s="37"/>
      <c r="U300" s="37"/>
    </row>
    <row r="301" spans="1:21" ht="14.1" customHeight="1" x14ac:dyDescent="0.25">
      <c r="A301" s="61"/>
      <c r="B301" s="6"/>
      <c r="C301" s="5"/>
      <c r="D301" s="5"/>
      <c r="E301" s="6"/>
      <c r="F301" s="5"/>
      <c r="G301" s="5"/>
      <c r="H301" s="6"/>
      <c r="I301" s="5"/>
      <c r="J301" s="5"/>
      <c r="K301" s="6"/>
      <c r="L301" s="5"/>
      <c r="N301" s="100">
        <f t="shared" si="34"/>
        <v>0</v>
      </c>
      <c r="O301" s="100">
        <f t="shared" si="35"/>
        <v>0</v>
      </c>
      <c r="P301" s="100">
        <f t="shared" si="36"/>
        <v>0</v>
      </c>
      <c r="Q301" s="100">
        <f t="shared" si="37"/>
        <v>0</v>
      </c>
      <c r="R301" s="37"/>
      <c r="S301" s="37"/>
      <c r="T301" s="37"/>
      <c r="U301" s="37"/>
    </row>
    <row r="302" spans="1:21" ht="14.1" customHeight="1" x14ac:dyDescent="0.25">
      <c r="A302" s="63" t="s">
        <v>5</v>
      </c>
      <c r="B302" s="9">
        <v>58012</v>
      </c>
      <c r="C302" s="15">
        <v>100</v>
      </c>
      <c r="D302" s="15"/>
      <c r="E302" s="9">
        <v>57368</v>
      </c>
      <c r="F302" s="15">
        <v>100</v>
      </c>
      <c r="G302" s="15"/>
      <c r="H302" s="9">
        <v>535</v>
      </c>
      <c r="I302" s="15">
        <v>100</v>
      </c>
      <c r="J302" s="15"/>
      <c r="K302" s="9">
        <v>109</v>
      </c>
      <c r="L302" s="15">
        <v>100</v>
      </c>
      <c r="N302" s="100">
        <f>SUM(N303:N314)</f>
        <v>100.00000000000001</v>
      </c>
      <c r="O302" s="100">
        <f t="shared" ref="O302:Q302" si="39">SUM(O303:O314)</f>
        <v>99.999999999999986</v>
      </c>
      <c r="P302" s="100" t="e">
        <f t="shared" si="39"/>
        <v>#VALUE!</v>
      </c>
      <c r="Q302" s="100" t="e">
        <f t="shared" si="39"/>
        <v>#VALUE!</v>
      </c>
      <c r="R302" s="37"/>
      <c r="S302" s="37"/>
      <c r="T302" s="37"/>
      <c r="U302" s="37"/>
    </row>
    <row r="303" spans="1:21" ht="14.1" customHeight="1" x14ac:dyDescent="0.25">
      <c r="A303" s="61" t="s">
        <v>57</v>
      </c>
      <c r="B303" s="6">
        <v>663</v>
      </c>
      <c r="C303" s="5">
        <v>1.1428669930359237</v>
      </c>
      <c r="D303" s="5"/>
      <c r="E303" s="6">
        <v>661</v>
      </c>
      <c r="F303" s="5">
        <v>1.1522102914516803</v>
      </c>
      <c r="G303" s="5"/>
      <c r="H303" s="6">
        <v>2</v>
      </c>
      <c r="I303" s="5">
        <v>0.37383177570093462</v>
      </c>
      <c r="J303" s="5"/>
      <c r="K303" s="3" t="s">
        <v>96</v>
      </c>
      <c r="L303" s="16" t="s">
        <v>96</v>
      </c>
      <c r="N303" s="100">
        <f t="shared" si="34"/>
        <v>1.1000000000000001</v>
      </c>
      <c r="O303" s="100">
        <f t="shared" si="35"/>
        <v>1.2</v>
      </c>
      <c r="P303" s="100">
        <f t="shared" si="36"/>
        <v>0.4</v>
      </c>
      <c r="Q303" s="100" t="e">
        <f t="shared" si="37"/>
        <v>#VALUE!</v>
      </c>
      <c r="R303" s="37"/>
      <c r="S303" s="37"/>
      <c r="T303" s="37"/>
      <c r="U303" s="37"/>
    </row>
    <row r="304" spans="1:21" ht="14.1" customHeight="1" x14ac:dyDescent="0.25">
      <c r="A304" s="61" t="s">
        <v>29</v>
      </c>
      <c r="B304" s="6">
        <v>3849</v>
      </c>
      <c r="C304" s="5">
        <v>6.6348341722402271</v>
      </c>
      <c r="D304" s="5"/>
      <c r="E304" s="6">
        <v>3453</v>
      </c>
      <c r="F304" s="5">
        <v>6.0190350020917585</v>
      </c>
      <c r="G304" s="5"/>
      <c r="H304" s="6">
        <v>304</v>
      </c>
      <c r="I304" s="5">
        <v>56.722429906542061</v>
      </c>
      <c r="J304" s="5"/>
      <c r="K304" s="3">
        <v>92</v>
      </c>
      <c r="L304" s="16">
        <v>84.503669724770646</v>
      </c>
      <c r="N304" s="100">
        <f t="shared" si="34"/>
        <v>6.6</v>
      </c>
      <c r="O304" s="100">
        <f t="shared" si="35"/>
        <v>6</v>
      </c>
      <c r="P304" s="100">
        <f t="shared" si="36"/>
        <v>56.7</v>
      </c>
      <c r="Q304" s="100">
        <f t="shared" si="37"/>
        <v>84.5</v>
      </c>
      <c r="R304" s="37"/>
      <c r="S304" s="37"/>
      <c r="T304" s="37"/>
      <c r="U304" s="37"/>
    </row>
    <row r="305" spans="1:21" ht="14.1" customHeight="1" x14ac:dyDescent="0.25">
      <c r="A305" s="61" t="s">
        <v>30</v>
      </c>
      <c r="B305" s="6">
        <v>6126</v>
      </c>
      <c r="C305" s="5">
        <v>10.559884161897539</v>
      </c>
      <c r="D305" s="5"/>
      <c r="E305" s="6">
        <v>6123</v>
      </c>
      <c r="F305" s="5">
        <v>10.673197601450287</v>
      </c>
      <c r="G305" s="5"/>
      <c r="H305" s="6">
        <v>3</v>
      </c>
      <c r="I305" s="5">
        <v>0.56074766355140182</v>
      </c>
      <c r="J305" s="5"/>
      <c r="K305" s="3" t="s">
        <v>96</v>
      </c>
      <c r="L305" s="16" t="s">
        <v>96</v>
      </c>
      <c r="N305" s="100">
        <f t="shared" si="34"/>
        <v>10.6</v>
      </c>
      <c r="O305" s="100">
        <f t="shared" si="35"/>
        <v>10.7</v>
      </c>
      <c r="P305" s="100">
        <f t="shared" si="36"/>
        <v>0.6</v>
      </c>
      <c r="Q305" s="100" t="e">
        <f t="shared" si="37"/>
        <v>#VALUE!</v>
      </c>
      <c r="R305" s="37"/>
      <c r="S305" s="37"/>
      <c r="T305" s="37"/>
      <c r="U305" s="37"/>
    </row>
    <row r="306" spans="1:21" ht="14.1" customHeight="1" x14ac:dyDescent="0.25">
      <c r="A306" s="61" t="s">
        <v>31</v>
      </c>
      <c r="B306" s="6">
        <v>58</v>
      </c>
      <c r="C306" s="5">
        <v>9.9979314624560431E-2</v>
      </c>
      <c r="D306" s="5"/>
      <c r="E306" s="6">
        <v>58</v>
      </c>
      <c r="F306" s="5">
        <v>0.10110165946172081</v>
      </c>
      <c r="G306" s="5"/>
      <c r="H306" s="3" t="s">
        <v>100</v>
      </c>
      <c r="I306" s="16" t="s">
        <v>100</v>
      </c>
      <c r="J306" s="5"/>
      <c r="K306" s="3" t="s">
        <v>96</v>
      </c>
      <c r="L306" s="16" t="s">
        <v>96</v>
      </c>
      <c r="N306" s="100">
        <f t="shared" si="34"/>
        <v>0.1</v>
      </c>
      <c r="O306" s="100">
        <f t="shared" si="35"/>
        <v>0.1</v>
      </c>
      <c r="P306" s="100" t="e">
        <f t="shared" si="36"/>
        <v>#VALUE!</v>
      </c>
      <c r="Q306" s="100" t="e">
        <f t="shared" si="37"/>
        <v>#VALUE!</v>
      </c>
      <c r="R306" s="37"/>
      <c r="S306" s="37"/>
      <c r="T306" s="37"/>
      <c r="U306" s="37"/>
    </row>
    <row r="307" spans="1:21" ht="14.1" customHeight="1" x14ac:dyDescent="0.25">
      <c r="A307" s="61" t="s">
        <v>32</v>
      </c>
      <c r="B307" s="6">
        <v>299</v>
      </c>
      <c r="C307" s="5">
        <v>0.51541060470247535</v>
      </c>
      <c r="D307" s="5"/>
      <c r="E307" s="6">
        <v>297</v>
      </c>
      <c r="F307" s="5">
        <v>0.51771022172639791</v>
      </c>
      <c r="G307" s="5"/>
      <c r="H307" s="3">
        <v>2</v>
      </c>
      <c r="I307" s="16">
        <v>0.37383177570093462</v>
      </c>
      <c r="J307" s="5"/>
      <c r="K307" s="3" t="s">
        <v>96</v>
      </c>
      <c r="L307" s="16" t="s">
        <v>96</v>
      </c>
      <c r="N307" s="100">
        <f t="shared" si="34"/>
        <v>0.5</v>
      </c>
      <c r="O307" s="100">
        <f t="shared" si="35"/>
        <v>0.5</v>
      </c>
      <c r="P307" s="100">
        <f t="shared" si="36"/>
        <v>0.4</v>
      </c>
      <c r="Q307" s="100" t="e">
        <f t="shared" si="37"/>
        <v>#VALUE!</v>
      </c>
      <c r="R307" s="37"/>
      <c r="S307" s="37"/>
      <c r="T307" s="37"/>
      <c r="U307" s="37"/>
    </row>
    <row r="308" spans="1:21" ht="14.1" customHeight="1" x14ac:dyDescent="0.25">
      <c r="A308" s="61" t="s">
        <v>33</v>
      </c>
      <c r="B308" s="6">
        <v>27549</v>
      </c>
      <c r="C308" s="5">
        <v>47.488450665379581</v>
      </c>
      <c r="D308" s="5"/>
      <c r="E308" s="6">
        <v>27371</v>
      </c>
      <c r="F308" s="5">
        <v>47.611267605633799</v>
      </c>
      <c r="G308" s="5"/>
      <c r="H308" s="3">
        <v>164</v>
      </c>
      <c r="I308" s="16">
        <v>30.654205607476637</v>
      </c>
      <c r="J308" s="5"/>
      <c r="K308" s="3">
        <v>14</v>
      </c>
      <c r="L308" s="16">
        <v>12.844036697247708</v>
      </c>
      <c r="N308" s="100">
        <f t="shared" si="34"/>
        <v>47.5</v>
      </c>
      <c r="O308" s="100">
        <f t="shared" si="35"/>
        <v>47.6</v>
      </c>
      <c r="P308" s="100">
        <f t="shared" si="36"/>
        <v>30.7</v>
      </c>
      <c r="Q308" s="100">
        <f t="shared" si="37"/>
        <v>12.8</v>
      </c>
      <c r="R308" s="37"/>
      <c r="S308" s="37"/>
      <c r="T308" s="37"/>
      <c r="U308" s="37"/>
    </row>
    <row r="309" spans="1:21" ht="14.1" customHeight="1" x14ac:dyDescent="0.25">
      <c r="A309" s="61" t="s">
        <v>34</v>
      </c>
      <c r="B309" s="6">
        <v>3299</v>
      </c>
      <c r="C309" s="5">
        <v>5.6867544645935322</v>
      </c>
      <c r="D309" s="5"/>
      <c r="E309" s="6">
        <v>3255</v>
      </c>
      <c r="F309" s="5">
        <v>5.6738948542741596</v>
      </c>
      <c r="G309" s="5"/>
      <c r="H309" s="3">
        <v>42</v>
      </c>
      <c r="I309" s="16">
        <v>7.8504672897196262</v>
      </c>
      <c r="J309" s="5"/>
      <c r="K309" s="3">
        <v>2</v>
      </c>
      <c r="L309" s="16">
        <v>1.834862385321101</v>
      </c>
      <c r="N309" s="100">
        <f t="shared" si="34"/>
        <v>5.7</v>
      </c>
      <c r="O309" s="100">
        <f t="shared" si="35"/>
        <v>5.7</v>
      </c>
      <c r="P309" s="100">
        <f t="shared" si="36"/>
        <v>7.9</v>
      </c>
      <c r="Q309" s="100">
        <f t="shared" si="37"/>
        <v>1.8</v>
      </c>
      <c r="R309" s="37"/>
      <c r="S309" s="37"/>
      <c r="T309" s="37"/>
      <c r="U309" s="37"/>
    </row>
    <row r="310" spans="1:21" ht="14.1" customHeight="1" x14ac:dyDescent="0.25">
      <c r="A310" s="61" t="s">
        <v>67</v>
      </c>
      <c r="B310" s="6">
        <v>993</v>
      </c>
      <c r="C310" s="5">
        <v>1.7117148176239401</v>
      </c>
      <c r="D310" s="5"/>
      <c r="E310" s="6">
        <v>993</v>
      </c>
      <c r="F310" s="5">
        <v>1.7309301352670479</v>
      </c>
      <c r="G310" s="5"/>
      <c r="H310" s="3" t="s">
        <v>100</v>
      </c>
      <c r="I310" s="16" t="s">
        <v>100</v>
      </c>
      <c r="J310" s="5"/>
      <c r="K310" s="3" t="s">
        <v>96</v>
      </c>
      <c r="L310" s="16" t="s">
        <v>96</v>
      </c>
      <c r="N310" s="100">
        <f t="shared" si="34"/>
        <v>1.7</v>
      </c>
      <c r="O310" s="100">
        <f t="shared" si="35"/>
        <v>1.7</v>
      </c>
      <c r="P310" s="100" t="e">
        <f t="shared" si="36"/>
        <v>#VALUE!</v>
      </c>
      <c r="Q310" s="100" t="e">
        <f t="shared" si="37"/>
        <v>#VALUE!</v>
      </c>
      <c r="R310" s="37"/>
      <c r="S310" s="37"/>
      <c r="T310" s="37"/>
      <c r="U310" s="37"/>
    </row>
    <row r="311" spans="1:21" ht="14.1" customHeight="1" x14ac:dyDescent="0.25">
      <c r="A311" s="61" t="s">
        <v>70</v>
      </c>
      <c r="B311" s="6">
        <v>3991</v>
      </c>
      <c r="C311" s="5">
        <v>6.8796111149417358</v>
      </c>
      <c r="D311" s="5"/>
      <c r="E311" s="6">
        <v>3989</v>
      </c>
      <c r="F311" s="5">
        <v>6.9533537860828334</v>
      </c>
      <c r="G311" s="5"/>
      <c r="H311" s="3">
        <v>2</v>
      </c>
      <c r="I311" s="16">
        <v>0.37383177570093462</v>
      </c>
      <c r="J311" s="5"/>
      <c r="K311" s="3" t="s">
        <v>96</v>
      </c>
      <c r="L311" s="16" t="s">
        <v>96</v>
      </c>
      <c r="N311" s="100">
        <f t="shared" si="34"/>
        <v>6.9</v>
      </c>
      <c r="O311" s="100">
        <f t="shared" si="35"/>
        <v>7</v>
      </c>
      <c r="P311" s="100">
        <f t="shared" si="36"/>
        <v>0.4</v>
      </c>
      <c r="Q311" s="100" t="e">
        <f t="shared" si="37"/>
        <v>#VALUE!</v>
      </c>
      <c r="R311" s="37"/>
      <c r="S311" s="37"/>
      <c r="T311" s="37"/>
      <c r="U311" s="37"/>
    </row>
    <row r="312" spans="1:21" ht="14.1" customHeight="1" x14ac:dyDescent="0.25">
      <c r="A312" s="61" t="s">
        <v>35</v>
      </c>
      <c r="B312" s="6">
        <v>1031</v>
      </c>
      <c r="C312" s="5">
        <v>1.7772185065158934</v>
      </c>
      <c r="D312" s="5"/>
      <c r="E312" s="6">
        <v>1031</v>
      </c>
      <c r="F312" s="5">
        <v>1.7971691535350716</v>
      </c>
      <c r="G312" s="5"/>
      <c r="H312" s="3" t="s">
        <v>100</v>
      </c>
      <c r="I312" s="16" t="s">
        <v>100</v>
      </c>
      <c r="J312" s="5"/>
      <c r="K312" s="3" t="s">
        <v>96</v>
      </c>
      <c r="L312" s="16" t="s">
        <v>96</v>
      </c>
      <c r="N312" s="100">
        <f t="shared" si="34"/>
        <v>1.8</v>
      </c>
      <c r="O312" s="100">
        <f t="shared" si="35"/>
        <v>1.8</v>
      </c>
      <c r="P312" s="100" t="e">
        <f t="shared" si="36"/>
        <v>#VALUE!</v>
      </c>
      <c r="Q312" s="100" t="e">
        <f t="shared" si="37"/>
        <v>#VALUE!</v>
      </c>
      <c r="R312" s="37"/>
      <c r="S312" s="37"/>
      <c r="T312" s="37"/>
      <c r="U312" s="37"/>
    </row>
    <row r="313" spans="1:21" ht="14.1" customHeight="1" x14ac:dyDescent="0.25">
      <c r="A313" s="61" t="s">
        <v>36</v>
      </c>
      <c r="B313" s="6">
        <v>4942</v>
      </c>
      <c r="C313" s="5">
        <v>8.518927118527202</v>
      </c>
      <c r="D313" s="5"/>
      <c r="E313" s="6">
        <v>4929</v>
      </c>
      <c r="F313" s="5">
        <v>8.5918979221865843</v>
      </c>
      <c r="G313" s="5"/>
      <c r="H313" s="6">
        <v>12</v>
      </c>
      <c r="I313" s="5">
        <v>2.2429906542056073</v>
      </c>
      <c r="J313" s="5"/>
      <c r="K313" s="3">
        <v>1</v>
      </c>
      <c r="L313" s="16">
        <v>0.91743119266055051</v>
      </c>
      <c r="N313" s="100">
        <f t="shared" si="34"/>
        <v>8.5</v>
      </c>
      <c r="O313" s="100">
        <f t="shared" si="35"/>
        <v>8.6</v>
      </c>
      <c r="P313" s="100">
        <f t="shared" si="36"/>
        <v>2.2000000000000002</v>
      </c>
      <c r="Q313" s="100">
        <f t="shared" si="37"/>
        <v>0.9</v>
      </c>
      <c r="R313" s="37"/>
      <c r="S313" s="37"/>
      <c r="T313" s="37"/>
      <c r="U313" s="37"/>
    </row>
    <row r="314" spans="1:21" ht="14.1" customHeight="1" x14ac:dyDescent="0.25">
      <c r="A314" s="61" t="s">
        <v>37</v>
      </c>
      <c r="B314" s="6">
        <v>5212</v>
      </c>
      <c r="C314" s="5">
        <v>8.9843480659173967</v>
      </c>
      <c r="D314" s="5"/>
      <c r="E314" s="6">
        <v>5208</v>
      </c>
      <c r="F314" s="5">
        <v>9.0782317668386554</v>
      </c>
      <c r="G314" s="5"/>
      <c r="H314" s="6">
        <v>4</v>
      </c>
      <c r="I314" s="5">
        <v>0.74766355140186924</v>
      </c>
      <c r="J314" s="5"/>
      <c r="K314" s="3" t="s">
        <v>96</v>
      </c>
      <c r="L314" s="16" t="s">
        <v>96</v>
      </c>
      <c r="N314" s="100">
        <f t="shared" si="34"/>
        <v>9</v>
      </c>
      <c r="O314" s="100">
        <f t="shared" si="35"/>
        <v>9.1</v>
      </c>
      <c r="P314" s="100">
        <f t="shared" si="36"/>
        <v>0.7</v>
      </c>
      <c r="Q314" s="100" t="e">
        <f t="shared" si="37"/>
        <v>#VALUE!</v>
      </c>
      <c r="R314" s="37"/>
      <c r="S314" s="37"/>
      <c r="T314" s="37"/>
      <c r="U314" s="37"/>
    </row>
    <row r="315" spans="1:21" ht="14.1" customHeight="1" x14ac:dyDescent="0.25">
      <c r="A315" s="61"/>
      <c r="B315" s="6"/>
      <c r="C315" s="5"/>
      <c r="D315" s="5"/>
      <c r="E315" s="6"/>
      <c r="F315" s="5"/>
      <c r="G315" s="5"/>
      <c r="H315" s="6"/>
      <c r="I315" s="5"/>
      <c r="J315" s="5"/>
      <c r="K315" s="6"/>
      <c r="L315" s="5"/>
      <c r="N315" s="100">
        <f t="shared" si="34"/>
        <v>0</v>
      </c>
      <c r="O315" s="100">
        <f t="shared" si="35"/>
        <v>0</v>
      </c>
      <c r="P315" s="100">
        <f t="shared" si="36"/>
        <v>0</v>
      </c>
      <c r="Q315" s="100">
        <f t="shared" si="37"/>
        <v>0</v>
      </c>
      <c r="R315" s="37"/>
      <c r="S315" s="37"/>
      <c r="T315" s="37"/>
      <c r="U315" s="37"/>
    </row>
    <row r="316" spans="1:21" ht="14.1" customHeight="1" x14ac:dyDescent="0.25">
      <c r="A316" s="63" t="s">
        <v>4</v>
      </c>
      <c r="B316" s="9">
        <v>48298</v>
      </c>
      <c r="C316" s="15">
        <v>100</v>
      </c>
      <c r="D316" s="15"/>
      <c r="E316" s="9">
        <v>48101</v>
      </c>
      <c r="F316" s="15">
        <v>100</v>
      </c>
      <c r="G316" s="15"/>
      <c r="H316" s="9">
        <v>189</v>
      </c>
      <c r="I316" s="15">
        <v>100</v>
      </c>
      <c r="J316" s="15"/>
      <c r="K316" s="9">
        <v>8</v>
      </c>
      <c r="L316" s="15">
        <v>100</v>
      </c>
      <c r="N316" s="100">
        <f>SUM(N317:N328)</f>
        <v>99.999999999999986</v>
      </c>
      <c r="O316" s="100">
        <f t="shared" ref="O316:Q316" si="40">SUM(O317:O328)</f>
        <v>99.999999999999986</v>
      </c>
      <c r="P316" s="100" t="e">
        <f t="shared" si="40"/>
        <v>#VALUE!</v>
      </c>
      <c r="Q316" s="100" t="e">
        <f t="shared" si="40"/>
        <v>#VALUE!</v>
      </c>
      <c r="R316" s="37"/>
      <c r="S316" s="37"/>
      <c r="T316" s="37"/>
      <c r="U316" s="37"/>
    </row>
    <row r="317" spans="1:21" ht="14.1" customHeight="1" x14ac:dyDescent="0.25">
      <c r="A317" s="61" t="s">
        <v>57</v>
      </c>
      <c r="B317" s="6">
        <v>1296</v>
      </c>
      <c r="C317" s="5">
        <v>2.6833409250900657</v>
      </c>
      <c r="D317" s="5"/>
      <c r="E317" s="6">
        <v>1283</v>
      </c>
      <c r="F317" s="5">
        <v>2.6673042140496039</v>
      </c>
      <c r="G317" s="5"/>
      <c r="H317" s="6">
        <v>12</v>
      </c>
      <c r="I317" s="5">
        <v>6.3492063492063489</v>
      </c>
      <c r="J317" s="5"/>
      <c r="K317" s="6">
        <v>1</v>
      </c>
      <c r="L317" s="5">
        <v>12.5</v>
      </c>
      <c r="N317" s="100">
        <f t="shared" si="34"/>
        <v>2.7</v>
      </c>
      <c r="O317" s="100">
        <f t="shared" si="35"/>
        <v>2.7</v>
      </c>
      <c r="P317" s="100">
        <f t="shared" si="36"/>
        <v>6.3</v>
      </c>
      <c r="Q317" s="100">
        <f t="shared" si="37"/>
        <v>12.5</v>
      </c>
      <c r="R317" s="37"/>
      <c r="S317" s="37"/>
      <c r="T317" s="37"/>
      <c r="U317" s="37"/>
    </row>
    <row r="318" spans="1:21" ht="14.1" customHeight="1" x14ac:dyDescent="0.25">
      <c r="A318" s="61" t="s">
        <v>29</v>
      </c>
      <c r="B318" s="6">
        <v>96</v>
      </c>
      <c r="C318" s="5">
        <v>0.19876599445111601</v>
      </c>
      <c r="D318" s="5"/>
      <c r="E318" s="6">
        <v>94</v>
      </c>
      <c r="F318" s="5">
        <v>0.19542213259599595</v>
      </c>
      <c r="G318" s="5"/>
      <c r="H318" s="6">
        <v>2</v>
      </c>
      <c r="I318" s="5">
        <v>1.0582010582010581</v>
      </c>
      <c r="J318" s="5"/>
      <c r="K318" s="3" t="s">
        <v>96</v>
      </c>
      <c r="L318" s="16" t="s">
        <v>96</v>
      </c>
      <c r="N318" s="100">
        <f t="shared" si="34"/>
        <v>0.2</v>
      </c>
      <c r="O318" s="100">
        <f t="shared" si="35"/>
        <v>0.2</v>
      </c>
      <c r="P318" s="100">
        <f t="shared" si="36"/>
        <v>1.1000000000000001</v>
      </c>
      <c r="Q318" s="100" t="e">
        <f t="shared" si="37"/>
        <v>#VALUE!</v>
      </c>
      <c r="R318" s="37"/>
      <c r="S318" s="37"/>
      <c r="T318" s="37"/>
      <c r="U318" s="37"/>
    </row>
    <row r="319" spans="1:21" ht="14.1" customHeight="1" x14ac:dyDescent="0.25">
      <c r="A319" s="61" t="s">
        <v>30</v>
      </c>
      <c r="B319" s="6">
        <v>3395</v>
      </c>
      <c r="C319" s="5">
        <v>7.0292765745993622</v>
      </c>
      <c r="D319" s="5"/>
      <c r="E319" s="6">
        <v>3386</v>
      </c>
      <c r="F319" s="5">
        <v>7.0393546911706615</v>
      </c>
      <c r="G319" s="5"/>
      <c r="H319" s="6">
        <v>9</v>
      </c>
      <c r="I319" s="5">
        <v>4.7619047619047619</v>
      </c>
      <c r="J319" s="5"/>
      <c r="K319" s="3" t="s">
        <v>96</v>
      </c>
      <c r="L319" s="16" t="s">
        <v>96</v>
      </c>
      <c r="N319" s="100">
        <f t="shared" si="34"/>
        <v>7</v>
      </c>
      <c r="O319" s="100">
        <f t="shared" si="35"/>
        <v>7</v>
      </c>
      <c r="P319" s="100">
        <f t="shared" si="36"/>
        <v>4.8</v>
      </c>
      <c r="Q319" s="100" t="e">
        <f t="shared" si="37"/>
        <v>#VALUE!</v>
      </c>
      <c r="R319" s="37"/>
      <c r="S319" s="37"/>
      <c r="T319" s="37"/>
      <c r="U319" s="37"/>
    </row>
    <row r="320" spans="1:21" ht="14.1" customHeight="1" x14ac:dyDescent="0.25">
      <c r="A320" s="61" t="s">
        <v>31</v>
      </c>
      <c r="B320" s="6">
        <v>76</v>
      </c>
      <c r="C320" s="5">
        <v>0.15735641227380015</v>
      </c>
      <c r="D320" s="5"/>
      <c r="E320" s="6">
        <v>76</v>
      </c>
      <c r="F320" s="5">
        <v>0.1580008731627201</v>
      </c>
      <c r="G320" s="5"/>
      <c r="H320" s="3" t="s">
        <v>96</v>
      </c>
      <c r="I320" s="16" t="s">
        <v>96</v>
      </c>
      <c r="J320" s="5"/>
      <c r="K320" s="3" t="s">
        <v>96</v>
      </c>
      <c r="L320" s="16" t="s">
        <v>96</v>
      </c>
      <c r="N320" s="100">
        <f t="shared" si="34"/>
        <v>0.2</v>
      </c>
      <c r="O320" s="100">
        <f t="shared" si="35"/>
        <v>0.2</v>
      </c>
      <c r="P320" s="100" t="e">
        <f t="shared" si="36"/>
        <v>#VALUE!</v>
      </c>
      <c r="Q320" s="100" t="e">
        <f t="shared" si="37"/>
        <v>#VALUE!</v>
      </c>
      <c r="R320" s="37"/>
      <c r="S320" s="37"/>
      <c r="T320" s="37"/>
      <c r="U320" s="37"/>
    </row>
    <row r="321" spans="1:21" ht="14.1" customHeight="1" x14ac:dyDescent="0.25">
      <c r="A321" s="61" t="s">
        <v>32</v>
      </c>
      <c r="B321" s="6">
        <v>734</v>
      </c>
      <c r="C321" s="5">
        <v>1.5197316659074911</v>
      </c>
      <c r="D321" s="5"/>
      <c r="E321" s="6">
        <v>728</v>
      </c>
      <c r="F321" s="5">
        <v>1.5134820481902664</v>
      </c>
      <c r="G321" s="5"/>
      <c r="H321" s="3">
        <v>5</v>
      </c>
      <c r="I321" s="16">
        <v>2.6455026455026456</v>
      </c>
      <c r="J321" s="5"/>
      <c r="K321" s="3">
        <v>1</v>
      </c>
      <c r="L321" s="16">
        <v>12.5</v>
      </c>
      <c r="N321" s="100">
        <f t="shared" si="34"/>
        <v>1.5</v>
      </c>
      <c r="O321" s="100">
        <f t="shared" si="35"/>
        <v>1.5</v>
      </c>
      <c r="P321" s="100">
        <f t="shared" si="36"/>
        <v>2.6</v>
      </c>
      <c r="Q321" s="100">
        <f t="shared" si="37"/>
        <v>12.5</v>
      </c>
      <c r="R321" s="37"/>
      <c r="S321" s="37"/>
      <c r="T321" s="37"/>
      <c r="U321" s="37"/>
    </row>
    <row r="322" spans="1:21" ht="14.1" customHeight="1" x14ac:dyDescent="0.25">
      <c r="A322" s="61" t="s">
        <v>33</v>
      </c>
      <c r="B322" s="6">
        <v>23677</v>
      </c>
      <c r="C322" s="5">
        <v>48.922733860615345</v>
      </c>
      <c r="D322" s="5"/>
      <c r="E322" s="6">
        <v>23559</v>
      </c>
      <c r="F322" s="5">
        <v>48.878191721585829</v>
      </c>
      <c r="G322" s="5"/>
      <c r="H322" s="3">
        <v>114</v>
      </c>
      <c r="I322" s="16">
        <v>60.417460317460318</v>
      </c>
      <c r="J322" s="5"/>
      <c r="K322" s="3">
        <v>4</v>
      </c>
      <c r="L322" s="16">
        <v>50</v>
      </c>
      <c r="N322" s="100">
        <f t="shared" si="34"/>
        <v>48.9</v>
      </c>
      <c r="O322" s="100">
        <f t="shared" si="35"/>
        <v>48.9</v>
      </c>
      <c r="P322" s="100">
        <f t="shared" si="36"/>
        <v>60.4</v>
      </c>
      <c r="Q322" s="100">
        <f t="shared" si="37"/>
        <v>50</v>
      </c>
      <c r="R322" s="37"/>
      <c r="S322" s="37"/>
      <c r="T322" s="37"/>
      <c r="U322" s="37"/>
    </row>
    <row r="323" spans="1:21" ht="14.1" customHeight="1" x14ac:dyDescent="0.25">
      <c r="A323" s="61" t="s">
        <v>34</v>
      </c>
      <c r="B323" s="6">
        <v>1538</v>
      </c>
      <c r="C323" s="5">
        <v>3.1843968694355871</v>
      </c>
      <c r="D323" s="5"/>
      <c r="E323" s="6">
        <v>1518</v>
      </c>
      <c r="F323" s="5">
        <v>3.1558595455395939</v>
      </c>
      <c r="G323" s="5"/>
      <c r="H323" s="3">
        <v>18</v>
      </c>
      <c r="I323" s="16">
        <v>9.5238095238095237</v>
      </c>
      <c r="J323" s="5"/>
      <c r="K323" s="3">
        <v>2</v>
      </c>
      <c r="L323" s="16">
        <v>25</v>
      </c>
      <c r="N323" s="100">
        <f t="shared" si="34"/>
        <v>3.2</v>
      </c>
      <c r="O323" s="100">
        <f t="shared" si="35"/>
        <v>3.2</v>
      </c>
      <c r="P323" s="100">
        <f t="shared" si="36"/>
        <v>9.5</v>
      </c>
      <c r="Q323" s="100">
        <f t="shared" si="37"/>
        <v>25</v>
      </c>
      <c r="R323" s="37"/>
      <c r="S323" s="37"/>
      <c r="T323" s="37"/>
      <c r="U323" s="37"/>
    </row>
    <row r="324" spans="1:21" ht="14.1" customHeight="1" x14ac:dyDescent="0.25">
      <c r="A324" s="61" t="s">
        <v>67</v>
      </c>
      <c r="B324" s="6">
        <v>719</v>
      </c>
      <c r="C324" s="5">
        <v>1.4886744792745041</v>
      </c>
      <c r="D324" s="5"/>
      <c r="E324" s="6">
        <v>719</v>
      </c>
      <c r="F324" s="5">
        <v>1.4947714184736285</v>
      </c>
      <c r="G324" s="5"/>
      <c r="H324" s="3" t="s">
        <v>96</v>
      </c>
      <c r="I324" s="16" t="s">
        <v>96</v>
      </c>
      <c r="J324" s="5"/>
      <c r="K324" s="3" t="s">
        <v>96</v>
      </c>
      <c r="L324" s="16" t="s">
        <v>96</v>
      </c>
      <c r="N324" s="100">
        <f t="shared" si="34"/>
        <v>1.5</v>
      </c>
      <c r="O324" s="100">
        <f t="shared" si="35"/>
        <v>1.5</v>
      </c>
      <c r="P324" s="100" t="e">
        <f t="shared" si="36"/>
        <v>#VALUE!</v>
      </c>
      <c r="Q324" s="100" t="e">
        <f t="shared" si="37"/>
        <v>#VALUE!</v>
      </c>
      <c r="R324" s="37"/>
      <c r="S324" s="37"/>
      <c r="T324" s="37"/>
      <c r="U324" s="37"/>
    </row>
    <row r="325" spans="1:21" ht="14.1" customHeight="1" x14ac:dyDescent="0.25">
      <c r="A325" s="61" t="s">
        <v>70</v>
      </c>
      <c r="B325" s="6">
        <v>6063</v>
      </c>
      <c r="C325" s="5">
        <v>12.553314837053295</v>
      </c>
      <c r="D325" s="5"/>
      <c r="E325" s="6">
        <v>6062</v>
      </c>
      <c r="F325" s="5">
        <v>12.602648593584334</v>
      </c>
      <c r="G325" s="5"/>
      <c r="H325" s="6">
        <v>1</v>
      </c>
      <c r="I325" s="5">
        <v>0.52910052910052907</v>
      </c>
      <c r="J325" s="5"/>
      <c r="K325" s="3" t="s">
        <v>96</v>
      </c>
      <c r="L325" s="16" t="s">
        <v>96</v>
      </c>
      <c r="N325" s="100">
        <f t="shared" si="34"/>
        <v>12.6</v>
      </c>
      <c r="O325" s="100">
        <f t="shared" si="35"/>
        <v>12.6</v>
      </c>
      <c r="P325" s="100">
        <f t="shared" si="36"/>
        <v>0.5</v>
      </c>
      <c r="Q325" s="100" t="e">
        <f t="shared" si="37"/>
        <v>#VALUE!</v>
      </c>
      <c r="R325" s="37"/>
      <c r="S325" s="37"/>
      <c r="T325" s="37"/>
      <c r="U325" s="37"/>
    </row>
    <row r="326" spans="1:21" ht="14.1" customHeight="1" x14ac:dyDescent="0.25">
      <c r="A326" s="61" t="s">
        <v>35</v>
      </c>
      <c r="B326" s="6">
        <v>763</v>
      </c>
      <c r="C326" s="5">
        <v>1.5797755600645988</v>
      </c>
      <c r="D326" s="5"/>
      <c r="E326" s="6">
        <v>762</v>
      </c>
      <c r="F326" s="5">
        <v>1.5841666493420095</v>
      </c>
      <c r="G326" s="5"/>
      <c r="H326" s="6">
        <v>1</v>
      </c>
      <c r="I326" s="5">
        <v>0.52910052910052907</v>
      </c>
      <c r="J326" s="5"/>
      <c r="K326" s="3" t="s">
        <v>96</v>
      </c>
      <c r="L326" s="16" t="s">
        <v>96</v>
      </c>
      <c r="N326" s="100">
        <f t="shared" si="34"/>
        <v>1.6</v>
      </c>
      <c r="O326" s="100">
        <f t="shared" si="35"/>
        <v>1.6</v>
      </c>
      <c r="P326" s="100">
        <f t="shared" si="36"/>
        <v>0.5</v>
      </c>
      <c r="Q326" s="100" t="e">
        <f t="shared" si="37"/>
        <v>#VALUE!</v>
      </c>
      <c r="R326" s="37"/>
      <c r="S326" s="37"/>
      <c r="T326" s="37"/>
      <c r="U326" s="37"/>
    </row>
    <row r="327" spans="1:21" ht="14.1" customHeight="1" x14ac:dyDescent="0.25">
      <c r="A327" s="61" t="s">
        <v>36</v>
      </c>
      <c r="B327" s="6">
        <v>2708</v>
      </c>
      <c r="C327" s="5">
        <v>5.6068574268085634</v>
      </c>
      <c r="D327" s="5"/>
      <c r="E327" s="6">
        <v>2690</v>
      </c>
      <c r="F327" s="5">
        <v>5.59239932641733</v>
      </c>
      <c r="G327" s="5"/>
      <c r="H327" s="6">
        <v>18</v>
      </c>
      <c r="I327" s="5">
        <v>9.5238095238095237</v>
      </c>
      <c r="J327" s="5"/>
      <c r="K327" s="3" t="s">
        <v>96</v>
      </c>
      <c r="L327" s="16" t="s">
        <v>96</v>
      </c>
      <c r="N327" s="100">
        <f t="shared" si="34"/>
        <v>5.6</v>
      </c>
      <c r="O327" s="100">
        <f t="shared" si="35"/>
        <v>5.6</v>
      </c>
      <c r="P327" s="100">
        <f t="shared" si="36"/>
        <v>9.5</v>
      </c>
      <c r="Q327" s="100" t="e">
        <f t="shared" si="37"/>
        <v>#VALUE!</v>
      </c>
      <c r="R327" s="37"/>
      <c r="S327" s="37"/>
      <c r="T327" s="37"/>
      <c r="U327" s="37"/>
    </row>
    <row r="328" spans="1:21" ht="14.1" customHeight="1" x14ac:dyDescent="0.25">
      <c r="A328" s="61" t="s">
        <v>37</v>
      </c>
      <c r="B328" s="6">
        <v>7233</v>
      </c>
      <c r="C328" s="5">
        <v>14.975775394426268</v>
      </c>
      <c r="D328" s="5"/>
      <c r="E328" s="6">
        <v>7224</v>
      </c>
      <c r="F328" s="5">
        <v>15.018398785888026</v>
      </c>
      <c r="G328" s="5"/>
      <c r="H328" s="6">
        <v>9</v>
      </c>
      <c r="I328" s="5">
        <v>4.7619047619047619</v>
      </c>
      <c r="J328" s="5"/>
      <c r="K328" s="3" t="s">
        <v>96</v>
      </c>
      <c r="L328" s="16" t="s">
        <v>96</v>
      </c>
      <c r="N328" s="100">
        <f t="shared" si="34"/>
        <v>15</v>
      </c>
      <c r="O328" s="100">
        <f t="shared" si="35"/>
        <v>15</v>
      </c>
      <c r="P328" s="100">
        <f t="shared" si="36"/>
        <v>4.8</v>
      </c>
      <c r="Q328" s="100" t="e">
        <f t="shared" si="37"/>
        <v>#VALUE!</v>
      </c>
      <c r="R328" s="37"/>
      <c r="S328" s="37"/>
      <c r="T328" s="37"/>
      <c r="U328" s="37"/>
    </row>
    <row r="329" spans="1:21" ht="14.1" customHeight="1" x14ac:dyDescent="0.25">
      <c r="A329" s="61"/>
      <c r="B329" s="6"/>
      <c r="C329" s="5"/>
      <c r="D329" s="5"/>
      <c r="E329" s="6"/>
      <c r="F329" s="5"/>
      <c r="G329" s="5"/>
      <c r="H329" s="6"/>
      <c r="I329" s="5"/>
      <c r="J329" s="5"/>
      <c r="K329" s="6"/>
      <c r="L329" s="5"/>
      <c r="N329" s="100">
        <f t="shared" si="34"/>
        <v>0</v>
      </c>
      <c r="O329" s="100">
        <f t="shared" si="35"/>
        <v>0</v>
      </c>
      <c r="P329" s="100">
        <f t="shared" si="36"/>
        <v>0</v>
      </c>
      <c r="Q329" s="100">
        <f t="shared" si="37"/>
        <v>0</v>
      </c>
      <c r="R329" s="37"/>
      <c r="S329" s="37"/>
      <c r="T329" s="37"/>
      <c r="U329" s="37"/>
    </row>
    <row r="330" spans="1:21" ht="14.1" customHeight="1" x14ac:dyDescent="0.25">
      <c r="A330" s="63" t="s">
        <v>3</v>
      </c>
      <c r="B330" s="9">
        <v>34049</v>
      </c>
      <c r="C330" s="15">
        <v>100</v>
      </c>
      <c r="D330" s="15"/>
      <c r="E330" s="9">
        <v>33978</v>
      </c>
      <c r="F330" s="15">
        <v>100</v>
      </c>
      <c r="G330" s="15"/>
      <c r="H330" s="9">
        <v>71</v>
      </c>
      <c r="I330" s="15">
        <v>100</v>
      </c>
      <c r="J330" s="15"/>
      <c r="K330" s="8" t="s">
        <v>96</v>
      </c>
      <c r="L330" s="8" t="s">
        <v>96</v>
      </c>
      <c r="M330" s="155"/>
      <c r="N330" s="100">
        <f>SUM(N331:N342)</f>
        <v>100</v>
      </c>
      <c r="O330" s="100">
        <f t="shared" ref="O330:Q330" si="41">SUM(O331:O342)</f>
        <v>100</v>
      </c>
      <c r="P330" s="100" t="e">
        <f t="shared" si="41"/>
        <v>#VALUE!</v>
      </c>
      <c r="Q330" s="100" t="e">
        <f t="shared" si="41"/>
        <v>#VALUE!</v>
      </c>
      <c r="R330" s="37"/>
      <c r="S330" s="37"/>
      <c r="T330" s="37"/>
      <c r="U330" s="37"/>
    </row>
    <row r="331" spans="1:21" ht="14.1" customHeight="1" x14ac:dyDescent="0.25">
      <c r="A331" s="61" t="s">
        <v>57</v>
      </c>
      <c r="B331" s="6">
        <v>361</v>
      </c>
      <c r="C331" s="5">
        <v>1.060236717671591</v>
      </c>
      <c r="D331" s="5"/>
      <c r="E331" s="6">
        <v>359</v>
      </c>
      <c r="F331" s="5">
        <v>1.0565660133027253</v>
      </c>
      <c r="G331" s="5"/>
      <c r="H331" s="6">
        <v>2</v>
      </c>
      <c r="I331" s="5">
        <v>2.8169014084507045</v>
      </c>
      <c r="J331" s="5"/>
      <c r="K331" s="3" t="s">
        <v>96</v>
      </c>
      <c r="L331" s="3" t="s">
        <v>96</v>
      </c>
      <c r="N331" s="100">
        <f t="shared" si="34"/>
        <v>1.1000000000000001</v>
      </c>
      <c r="O331" s="100">
        <f t="shared" si="35"/>
        <v>1.1000000000000001</v>
      </c>
      <c r="P331" s="100">
        <f t="shared" si="36"/>
        <v>2.8</v>
      </c>
      <c r="Q331" s="100" t="e">
        <f t="shared" si="37"/>
        <v>#VALUE!</v>
      </c>
      <c r="R331" s="37"/>
      <c r="S331" s="37"/>
      <c r="T331" s="37"/>
      <c r="U331" s="37"/>
    </row>
    <row r="332" spans="1:21" ht="14.1" customHeight="1" x14ac:dyDescent="0.25">
      <c r="A332" s="61" t="s">
        <v>29</v>
      </c>
      <c r="B332" s="6">
        <v>107</v>
      </c>
      <c r="C332" s="5">
        <v>0.31425298834033305</v>
      </c>
      <c r="D332" s="5"/>
      <c r="E332" s="6">
        <v>104</v>
      </c>
      <c r="F332" s="5">
        <v>0.30608040496792044</v>
      </c>
      <c r="G332" s="5"/>
      <c r="H332" s="6">
        <v>3</v>
      </c>
      <c r="I332" s="5">
        <v>4.225352112676056</v>
      </c>
      <c r="J332" s="5"/>
      <c r="K332" s="3" t="s">
        <v>96</v>
      </c>
      <c r="L332" s="3" t="s">
        <v>96</v>
      </c>
      <c r="N332" s="100">
        <f t="shared" si="34"/>
        <v>0.3</v>
      </c>
      <c r="O332" s="100">
        <f t="shared" si="35"/>
        <v>0.3</v>
      </c>
      <c r="P332" s="100">
        <f t="shared" si="36"/>
        <v>4.2</v>
      </c>
      <c r="Q332" s="100" t="e">
        <f t="shared" si="37"/>
        <v>#VALUE!</v>
      </c>
      <c r="R332" s="37"/>
      <c r="S332" s="37"/>
      <c r="T332" s="37"/>
      <c r="U332" s="37"/>
    </row>
    <row r="333" spans="1:21" ht="14.1" customHeight="1" x14ac:dyDescent="0.25">
      <c r="A333" s="61" t="s">
        <v>30</v>
      </c>
      <c r="B333" s="6">
        <v>2202</v>
      </c>
      <c r="C333" s="5">
        <v>6.4671502834150782</v>
      </c>
      <c r="D333" s="5"/>
      <c r="E333" s="6">
        <v>2200</v>
      </c>
      <c r="F333" s="5">
        <v>6.4747777973983167</v>
      </c>
      <c r="G333" s="5"/>
      <c r="H333" s="6">
        <v>2</v>
      </c>
      <c r="I333" s="5">
        <v>2.8169014084507045</v>
      </c>
      <c r="J333" s="5"/>
      <c r="K333" s="3" t="s">
        <v>96</v>
      </c>
      <c r="L333" s="3" t="s">
        <v>96</v>
      </c>
      <c r="N333" s="100">
        <f t="shared" si="34"/>
        <v>6.5</v>
      </c>
      <c r="O333" s="100">
        <f t="shared" si="35"/>
        <v>6.5</v>
      </c>
      <c r="P333" s="100">
        <f t="shared" si="36"/>
        <v>2.8</v>
      </c>
      <c r="Q333" s="100" t="e">
        <f t="shared" si="37"/>
        <v>#VALUE!</v>
      </c>
      <c r="R333" s="37"/>
      <c r="S333" s="37"/>
      <c r="T333" s="37"/>
      <c r="U333" s="37"/>
    </row>
    <row r="334" spans="1:21" ht="14.1" customHeight="1" x14ac:dyDescent="0.25">
      <c r="A334" s="61" t="s">
        <v>31</v>
      </c>
      <c r="B334" s="6">
        <v>20</v>
      </c>
      <c r="C334" s="5">
        <v>5.8738876325295897E-2</v>
      </c>
      <c r="D334" s="5"/>
      <c r="E334" s="6">
        <v>20</v>
      </c>
      <c r="F334" s="5">
        <v>5.8861616339984699E-2</v>
      </c>
      <c r="G334" s="5"/>
      <c r="H334" s="3" t="s">
        <v>100</v>
      </c>
      <c r="I334" s="16" t="s">
        <v>100</v>
      </c>
      <c r="J334" s="5"/>
      <c r="K334" s="3" t="s">
        <v>96</v>
      </c>
      <c r="L334" s="3" t="s">
        <v>96</v>
      </c>
      <c r="N334" s="100">
        <f t="shared" si="34"/>
        <v>0.1</v>
      </c>
      <c r="O334" s="100">
        <f t="shared" si="35"/>
        <v>0.1</v>
      </c>
      <c r="P334" s="100" t="e">
        <f t="shared" si="36"/>
        <v>#VALUE!</v>
      </c>
      <c r="Q334" s="100" t="e">
        <f t="shared" si="37"/>
        <v>#VALUE!</v>
      </c>
      <c r="R334" s="37"/>
      <c r="S334" s="37"/>
      <c r="T334" s="37"/>
      <c r="U334" s="37"/>
    </row>
    <row r="335" spans="1:21" ht="14.1" customHeight="1" x14ac:dyDescent="0.25">
      <c r="A335" s="61" t="s">
        <v>32</v>
      </c>
      <c r="B335" s="6">
        <v>208</v>
      </c>
      <c r="C335" s="5">
        <v>0.61088431378307728</v>
      </c>
      <c r="D335" s="5"/>
      <c r="E335" s="6">
        <v>207</v>
      </c>
      <c r="F335" s="5">
        <v>0.60921772911884164</v>
      </c>
      <c r="G335" s="5"/>
      <c r="H335" s="3">
        <v>1</v>
      </c>
      <c r="I335" s="16">
        <v>1.4084507042253522</v>
      </c>
      <c r="J335" s="5"/>
      <c r="K335" s="3" t="s">
        <v>96</v>
      </c>
      <c r="L335" s="3" t="s">
        <v>96</v>
      </c>
      <c r="N335" s="100">
        <f t="shared" si="34"/>
        <v>0.6</v>
      </c>
      <c r="O335" s="100">
        <f t="shared" si="35"/>
        <v>0.6</v>
      </c>
      <c r="P335" s="100">
        <f t="shared" si="36"/>
        <v>1.4</v>
      </c>
      <c r="Q335" s="100" t="e">
        <f t="shared" si="37"/>
        <v>#VALUE!</v>
      </c>
      <c r="R335" s="37"/>
      <c r="S335" s="37"/>
      <c r="T335" s="37"/>
      <c r="U335" s="37"/>
    </row>
    <row r="336" spans="1:21" ht="14.1" customHeight="1" x14ac:dyDescent="0.25">
      <c r="A336" s="61" t="s">
        <v>33</v>
      </c>
      <c r="B336" s="6">
        <v>18280</v>
      </c>
      <c r="C336" s="5">
        <v>53.587332961320456</v>
      </c>
      <c r="D336" s="5"/>
      <c r="E336" s="6">
        <v>18228</v>
      </c>
      <c r="F336" s="5">
        <v>53.646477132262049</v>
      </c>
      <c r="G336" s="5"/>
      <c r="H336" s="3">
        <v>52</v>
      </c>
      <c r="I336" s="16">
        <v>73.439436619718322</v>
      </c>
      <c r="J336" s="5"/>
      <c r="K336" s="3" t="s">
        <v>96</v>
      </c>
      <c r="L336" s="3" t="s">
        <v>96</v>
      </c>
      <c r="N336" s="100">
        <f t="shared" si="34"/>
        <v>53.6</v>
      </c>
      <c r="O336" s="100">
        <f t="shared" si="35"/>
        <v>53.6</v>
      </c>
      <c r="P336" s="100">
        <f t="shared" si="36"/>
        <v>73.400000000000006</v>
      </c>
      <c r="Q336" s="100" t="e">
        <f t="shared" si="37"/>
        <v>#VALUE!</v>
      </c>
      <c r="R336" s="37"/>
      <c r="S336" s="37"/>
      <c r="T336" s="37"/>
      <c r="U336" s="37"/>
    </row>
    <row r="337" spans="1:21" ht="14.1" customHeight="1" x14ac:dyDescent="0.25">
      <c r="A337" s="61" t="s">
        <v>34</v>
      </c>
      <c r="B337" s="6">
        <v>1370</v>
      </c>
      <c r="C337" s="5">
        <v>4.0236130282827691</v>
      </c>
      <c r="D337" s="5"/>
      <c r="E337" s="6">
        <v>1365</v>
      </c>
      <c r="F337" s="5">
        <v>4.0173053152039557</v>
      </c>
      <c r="G337" s="5"/>
      <c r="H337" s="3">
        <v>5</v>
      </c>
      <c r="I337" s="16">
        <v>7.042253521126761</v>
      </c>
      <c r="J337" s="5"/>
      <c r="K337" s="3" t="s">
        <v>96</v>
      </c>
      <c r="L337" s="3" t="s">
        <v>96</v>
      </c>
      <c r="N337" s="100">
        <f t="shared" si="34"/>
        <v>4</v>
      </c>
      <c r="O337" s="100">
        <f t="shared" si="35"/>
        <v>4</v>
      </c>
      <c r="P337" s="100">
        <f t="shared" si="36"/>
        <v>7</v>
      </c>
      <c r="Q337" s="100" t="e">
        <f t="shared" si="37"/>
        <v>#VALUE!</v>
      </c>
      <c r="R337" s="37"/>
      <c r="S337" s="37"/>
      <c r="T337" s="37"/>
      <c r="U337" s="37"/>
    </row>
    <row r="338" spans="1:21" ht="14.1" customHeight="1" x14ac:dyDescent="0.25">
      <c r="A338" s="61" t="s">
        <v>67</v>
      </c>
      <c r="B338" s="6">
        <v>413</v>
      </c>
      <c r="C338" s="5">
        <v>1.2129577961173603</v>
      </c>
      <c r="D338" s="5"/>
      <c r="E338" s="6">
        <v>413</v>
      </c>
      <c r="F338" s="5">
        <v>1.2154923774206838</v>
      </c>
      <c r="G338" s="5"/>
      <c r="H338" s="3" t="s">
        <v>100</v>
      </c>
      <c r="I338" s="16" t="s">
        <v>100</v>
      </c>
      <c r="J338" s="5"/>
      <c r="K338" s="3" t="s">
        <v>96</v>
      </c>
      <c r="L338" s="3" t="s">
        <v>96</v>
      </c>
      <c r="N338" s="100">
        <f t="shared" si="34"/>
        <v>1.2</v>
      </c>
      <c r="O338" s="100">
        <f t="shared" si="35"/>
        <v>1.2</v>
      </c>
      <c r="P338" s="100" t="e">
        <f t="shared" si="36"/>
        <v>#VALUE!</v>
      </c>
      <c r="Q338" s="100" t="e">
        <f t="shared" si="37"/>
        <v>#VALUE!</v>
      </c>
      <c r="R338" s="37"/>
      <c r="S338" s="37"/>
      <c r="T338" s="37"/>
      <c r="U338" s="37"/>
    </row>
    <row r="339" spans="1:21" ht="14.1" customHeight="1" x14ac:dyDescent="0.25">
      <c r="A339" s="61" t="s">
        <v>70</v>
      </c>
      <c r="B339" s="6">
        <v>3244</v>
      </c>
      <c r="C339" s="5">
        <v>9.5274457399629942</v>
      </c>
      <c r="D339" s="5"/>
      <c r="E339" s="6">
        <v>3243</v>
      </c>
      <c r="F339" s="5">
        <v>9.5444110895285181</v>
      </c>
      <c r="G339" s="5"/>
      <c r="H339" s="3">
        <v>1</v>
      </c>
      <c r="I339" s="16">
        <v>1.4084507042253522</v>
      </c>
      <c r="J339" s="5"/>
      <c r="K339" s="3" t="s">
        <v>96</v>
      </c>
      <c r="L339" s="3" t="s">
        <v>96</v>
      </c>
      <c r="N339" s="100">
        <f t="shared" si="34"/>
        <v>9.5</v>
      </c>
      <c r="O339" s="100">
        <f t="shared" si="35"/>
        <v>9.5</v>
      </c>
      <c r="P339" s="100">
        <f t="shared" si="36"/>
        <v>1.4</v>
      </c>
      <c r="Q339" s="100" t="e">
        <f t="shared" si="37"/>
        <v>#VALUE!</v>
      </c>
      <c r="R339" s="37"/>
      <c r="S339" s="37"/>
      <c r="T339" s="37"/>
      <c r="U339" s="37"/>
    </row>
    <row r="340" spans="1:21" ht="14.1" customHeight="1" x14ac:dyDescent="0.25">
      <c r="A340" s="61" t="s">
        <v>35</v>
      </c>
      <c r="B340" s="6">
        <v>529</v>
      </c>
      <c r="C340" s="5">
        <v>1.5536432788040764</v>
      </c>
      <c r="D340" s="5"/>
      <c r="E340" s="6">
        <v>529</v>
      </c>
      <c r="F340" s="5">
        <v>1.5568897521925953</v>
      </c>
      <c r="G340" s="5"/>
      <c r="H340" s="3" t="s">
        <v>100</v>
      </c>
      <c r="I340" s="16" t="s">
        <v>100</v>
      </c>
      <c r="J340" s="5"/>
      <c r="K340" s="3" t="s">
        <v>96</v>
      </c>
      <c r="L340" s="3" t="s">
        <v>96</v>
      </c>
      <c r="N340" s="100">
        <f t="shared" si="34"/>
        <v>1.6</v>
      </c>
      <c r="O340" s="100">
        <f t="shared" si="35"/>
        <v>1.6</v>
      </c>
      <c r="P340" s="100" t="e">
        <f t="shared" si="36"/>
        <v>#VALUE!</v>
      </c>
      <c r="Q340" s="100" t="e">
        <f t="shared" si="37"/>
        <v>#VALUE!</v>
      </c>
      <c r="R340" s="37"/>
      <c r="S340" s="37"/>
      <c r="T340" s="37"/>
      <c r="U340" s="37"/>
    </row>
    <row r="341" spans="1:21" ht="14.1" customHeight="1" x14ac:dyDescent="0.25">
      <c r="A341" s="61" t="s">
        <v>36</v>
      </c>
      <c r="B341" s="6">
        <v>1930</v>
      </c>
      <c r="C341" s="5">
        <v>5.6683015653910545</v>
      </c>
      <c r="D341" s="5"/>
      <c r="E341" s="6">
        <v>1928</v>
      </c>
      <c r="F341" s="5">
        <v>5.6742598151745245</v>
      </c>
      <c r="G341" s="5"/>
      <c r="H341" s="6">
        <v>2</v>
      </c>
      <c r="I341" s="5">
        <v>2.8169014084507045</v>
      </c>
      <c r="J341" s="5"/>
      <c r="K341" s="3" t="s">
        <v>96</v>
      </c>
      <c r="L341" s="3" t="s">
        <v>96</v>
      </c>
      <c r="N341" s="100">
        <f t="shared" si="34"/>
        <v>5.7</v>
      </c>
      <c r="O341" s="100">
        <f t="shared" si="35"/>
        <v>5.7</v>
      </c>
      <c r="P341" s="100">
        <f t="shared" si="36"/>
        <v>2.8</v>
      </c>
      <c r="Q341" s="100" t="e">
        <f t="shared" si="37"/>
        <v>#VALUE!</v>
      </c>
      <c r="R341" s="37"/>
      <c r="S341" s="37"/>
      <c r="T341" s="37"/>
      <c r="U341" s="37"/>
    </row>
    <row r="342" spans="1:21" ht="14.1" customHeight="1" x14ac:dyDescent="0.25">
      <c r="A342" s="61" t="s">
        <v>37</v>
      </c>
      <c r="B342" s="6">
        <v>5385</v>
      </c>
      <c r="C342" s="5">
        <v>15.81544245058592</v>
      </c>
      <c r="D342" s="5"/>
      <c r="E342" s="6">
        <v>5382</v>
      </c>
      <c r="F342" s="5">
        <v>15.839660957089881</v>
      </c>
      <c r="G342" s="5"/>
      <c r="H342" s="6">
        <v>3</v>
      </c>
      <c r="I342" s="5">
        <v>4.225352112676056</v>
      </c>
      <c r="J342" s="5"/>
      <c r="K342" s="3" t="s">
        <v>96</v>
      </c>
      <c r="L342" s="3" t="s">
        <v>96</v>
      </c>
      <c r="N342" s="100">
        <f t="shared" si="34"/>
        <v>15.8</v>
      </c>
      <c r="O342" s="100">
        <f t="shared" si="35"/>
        <v>15.8</v>
      </c>
      <c r="P342" s="100">
        <f t="shared" si="36"/>
        <v>4.2</v>
      </c>
      <c r="Q342" s="100" t="e">
        <f t="shared" si="37"/>
        <v>#VALUE!</v>
      </c>
      <c r="R342" s="37"/>
      <c r="S342" s="37"/>
      <c r="T342" s="37"/>
      <c r="U342" s="37"/>
    </row>
    <row r="343" spans="1:21" ht="14.1" customHeight="1" x14ac:dyDescent="0.25">
      <c r="A343" s="61"/>
      <c r="B343" s="6"/>
      <c r="C343" s="5"/>
      <c r="D343" s="5"/>
      <c r="E343" s="6"/>
      <c r="F343" s="5"/>
      <c r="G343" s="5"/>
      <c r="H343" s="6"/>
      <c r="I343" s="5"/>
      <c r="J343" s="5"/>
      <c r="K343" s="6"/>
      <c r="L343" s="5"/>
      <c r="N343" s="100">
        <f t="shared" si="34"/>
        <v>0</v>
      </c>
      <c r="O343" s="100">
        <f t="shared" si="35"/>
        <v>0</v>
      </c>
      <c r="P343" s="100">
        <f t="shared" si="36"/>
        <v>0</v>
      </c>
      <c r="Q343" s="100">
        <f t="shared" si="37"/>
        <v>0</v>
      </c>
      <c r="R343" s="37"/>
      <c r="S343" s="37"/>
      <c r="T343" s="37"/>
      <c r="U343" s="37"/>
    </row>
    <row r="344" spans="1:21" ht="14.1" customHeight="1" x14ac:dyDescent="0.25">
      <c r="A344" s="63" t="s">
        <v>2</v>
      </c>
      <c r="B344" s="9">
        <v>19505</v>
      </c>
      <c r="C344" s="15">
        <v>100</v>
      </c>
      <c r="D344" s="15"/>
      <c r="E344" s="9">
        <v>19459</v>
      </c>
      <c r="F344" s="15">
        <v>100</v>
      </c>
      <c r="G344" s="9"/>
      <c r="H344" s="9">
        <v>43</v>
      </c>
      <c r="I344" s="15">
        <v>100</v>
      </c>
      <c r="J344" s="15"/>
      <c r="K344" s="9">
        <v>3</v>
      </c>
      <c r="L344" s="15">
        <v>100</v>
      </c>
      <c r="N344" s="100">
        <f>SUM(N345:N356)</f>
        <v>100</v>
      </c>
      <c r="O344" s="100">
        <f t="shared" ref="O344:Q344" si="42">SUM(O345:O356)</f>
        <v>100</v>
      </c>
      <c r="P344" s="100" t="e">
        <f t="shared" si="42"/>
        <v>#VALUE!</v>
      </c>
      <c r="Q344" s="100" t="e">
        <f t="shared" si="42"/>
        <v>#VALUE!</v>
      </c>
      <c r="R344" s="37"/>
      <c r="S344" s="37"/>
      <c r="T344" s="37"/>
      <c r="U344" s="37"/>
    </row>
    <row r="345" spans="1:21" ht="14.1" customHeight="1" x14ac:dyDescent="0.25">
      <c r="A345" s="61" t="s">
        <v>57</v>
      </c>
      <c r="B345" s="6">
        <v>357</v>
      </c>
      <c r="C345" s="5">
        <v>1.8302999230966419</v>
      </c>
      <c r="D345" s="5"/>
      <c r="E345" s="6">
        <v>356</v>
      </c>
      <c r="F345" s="5">
        <v>1.829487640680405</v>
      </c>
      <c r="G345" s="5"/>
      <c r="H345" s="6">
        <v>1</v>
      </c>
      <c r="I345" s="5">
        <v>2.3255813953488373</v>
      </c>
      <c r="J345" s="5"/>
      <c r="K345" s="3" t="s">
        <v>96</v>
      </c>
      <c r="L345" s="16" t="s">
        <v>96</v>
      </c>
      <c r="N345" s="100">
        <f t="shared" ref="N345:N398" si="43">ROUND(C345,1)</f>
        <v>1.8</v>
      </c>
      <c r="O345" s="100">
        <f t="shared" ref="O345:O398" si="44">ROUND(F345,1)</f>
        <v>1.8</v>
      </c>
      <c r="P345" s="100">
        <f t="shared" ref="P345:P398" si="45">ROUND(I345,1)</f>
        <v>2.2999999999999998</v>
      </c>
      <c r="Q345" s="100" t="e">
        <f t="shared" ref="Q345:Q398" si="46">ROUND(L345,1)</f>
        <v>#VALUE!</v>
      </c>
      <c r="R345" s="37"/>
      <c r="S345" s="37"/>
      <c r="T345" s="37"/>
      <c r="U345" s="37"/>
    </row>
    <row r="346" spans="1:21" ht="14.1" customHeight="1" x14ac:dyDescent="0.25">
      <c r="A346" s="61" t="s">
        <v>29</v>
      </c>
      <c r="B346" s="6">
        <v>34</v>
      </c>
      <c r="C346" s="5">
        <v>0.17431427839015637</v>
      </c>
      <c r="D346" s="5"/>
      <c r="E346" s="6">
        <v>34</v>
      </c>
      <c r="F346" s="5">
        <v>0.17472634770543194</v>
      </c>
      <c r="G346" s="5"/>
      <c r="H346" s="3" t="s">
        <v>96</v>
      </c>
      <c r="I346" s="16" t="s">
        <v>96</v>
      </c>
      <c r="J346" s="16"/>
      <c r="K346" s="3" t="s">
        <v>96</v>
      </c>
      <c r="L346" s="16" t="s">
        <v>96</v>
      </c>
      <c r="N346" s="100">
        <f t="shared" si="43"/>
        <v>0.2</v>
      </c>
      <c r="O346" s="100">
        <f t="shared" si="44"/>
        <v>0.2</v>
      </c>
      <c r="P346" s="100" t="e">
        <f t="shared" si="45"/>
        <v>#VALUE!</v>
      </c>
      <c r="Q346" s="100" t="e">
        <f t="shared" si="46"/>
        <v>#VALUE!</v>
      </c>
      <c r="R346" s="37"/>
      <c r="S346" s="37"/>
      <c r="T346" s="37"/>
      <c r="U346" s="37"/>
    </row>
    <row r="347" spans="1:21" ht="14.1" customHeight="1" x14ac:dyDescent="0.25">
      <c r="A347" s="61" t="s">
        <v>30</v>
      </c>
      <c r="B347" s="6">
        <v>628</v>
      </c>
      <c r="C347" s="5">
        <v>3.2196872596770056</v>
      </c>
      <c r="D347" s="5"/>
      <c r="E347" s="6">
        <v>625</v>
      </c>
      <c r="F347" s="5">
        <v>3.2118813916439692</v>
      </c>
      <c r="G347" s="5"/>
      <c r="H347" s="3">
        <v>2</v>
      </c>
      <c r="I347" s="16">
        <v>4.6511627906976747</v>
      </c>
      <c r="J347" s="5"/>
      <c r="K347" s="3">
        <v>1</v>
      </c>
      <c r="L347" s="16">
        <v>33.333333333333329</v>
      </c>
      <c r="N347" s="100">
        <f t="shared" si="43"/>
        <v>3.2</v>
      </c>
      <c r="O347" s="100">
        <f t="shared" si="44"/>
        <v>3.2</v>
      </c>
      <c r="P347" s="100">
        <f t="shared" si="45"/>
        <v>4.7</v>
      </c>
      <c r="Q347" s="100">
        <f t="shared" si="46"/>
        <v>33.299999999999997</v>
      </c>
      <c r="R347" s="37"/>
      <c r="S347" s="37"/>
      <c r="T347" s="37"/>
      <c r="U347" s="37"/>
    </row>
    <row r="348" spans="1:21" ht="14.1" customHeight="1" x14ac:dyDescent="0.25">
      <c r="A348" s="61" t="s">
        <v>31</v>
      </c>
      <c r="B348" s="6">
        <v>55</v>
      </c>
      <c r="C348" s="5">
        <v>0.28197897974878239</v>
      </c>
      <c r="D348" s="5"/>
      <c r="E348" s="6">
        <v>55</v>
      </c>
      <c r="F348" s="5">
        <v>0.28264556246466932</v>
      </c>
      <c r="G348" s="5"/>
      <c r="H348" s="3" t="s">
        <v>96</v>
      </c>
      <c r="I348" s="16" t="s">
        <v>96</v>
      </c>
      <c r="J348" s="5"/>
      <c r="K348" s="3" t="s">
        <v>96</v>
      </c>
      <c r="L348" s="16" t="s">
        <v>96</v>
      </c>
      <c r="N348" s="100">
        <f t="shared" si="43"/>
        <v>0.3</v>
      </c>
      <c r="O348" s="100">
        <f t="shared" si="44"/>
        <v>0.3</v>
      </c>
      <c r="P348" s="100" t="e">
        <f t="shared" si="45"/>
        <v>#VALUE!</v>
      </c>
      <c r="Q348" s="100" t="e">
        <f t="shared" si="46"/>
        <v>#VALUE!</v>
      </c>
      <c r="R348" s="37"/>
      <c r="S348" s="37"/>
      <c r="T348" s="37"/>
      <c r="U348" s="37"/>
    </row>
    <row r="349" spans="1:21" ht="14.1" customHeight="1" x14ac:dyDescent="0.25">
      <c r="A349" s="61" t="s">
        <v>32</v>
      </c>
      <c r="B349" s="6">
        <v>131</v>
      </c>
      <c r="C349" s="5">
        <v>0.67162266085619071</v>
      </c>
      <c r="D349" s="5"/>
      <c r="E349" s="6">
        <v>131</v>
      </c>
      <c r="F349" s="5">
        <v>0.67321033968857602</v>
      </c>
      <c r="G349" s="5"/>
      <c r="H349" s="3" t="s">
        <v>96</v>
      </c>
      <c r="I349" s="16" t="s">
        <v>96</v>
      </c>
      <c r="J349" s="5"/>
      <c r="K349" s="3" t="s">
        <v>96</v>
      </c>
      <c r="L349" s="16" t="s">
        <v>96</v>
      </c>
      <c r="N349" s="100">
        <f t="shared" si="43"/>
        <v>0.7</v>
      </c>
      <c r="O349" s="100">
        <f t="shared" si="44"/>
        <v>0.7</v>
      </c>
      <c r="P349" s="100" t="e">
        <f t="shared" si="45"/>
        <v>#VALUE!</v>
      </c>
      <c r="Q349" s="100" t="e">
        <f t="shared" si="46"/>
        <v>#VALUE!</v>
      </c>
      <c r="R349" s="37"/>
      <c r="S349" s="37"/>
      <c r="T349" s="37"/>
      <c r="U349" s="37"/>
    </row>
    <row r="350" spans="1:21" s="20" customFormat="1" ht="14.1" customHeight="1" x14ac:dyDescent="0.25">
      <c r="A350" s="61" t="s">
        <v>33</v>
      </c>
      <c r="B350" s="6">
        <v>10251</v>
      </c>
      <c r="C350" s="5">
        <v>52.455754934632147</v>
      </c>
      <c r="D350" s="5"/>
      <c r="E350" s="6">
        <v>10220</v>
      </c>
      <c r="F350" s="5">
        <v>52.420684516162183</v>
      </c>
      <c r="G350" s="5"/>
      <c r="H350" s="3">
        <v>30</v>
      </c>
      <c r="I350" s="16">
        <v>69.667441860465118</v>
      </c>
      <c r="J350" s="5"/>
      <c r="K350" s="3">
        <v>1</v>
      </c>
      <c r="L350" s="16">
        <v>33.333333333333329</v>
      </c>
      <c r="M350" s="101"/>
      <c r="N350" s="100">
        <f t="shared" si="43"/>
        <v>52.5</v>
      </c>
      <c r="O350" s="100">
        <f t="shared" si="44"/>
        <v>52.4</v>
      </c>
      <c r="P350" s="100">
        <f t="shared" si="45"/>
        <v>69.7</v>
      </c>
      <c r="Q350" s="100">
        <f t="shared" si="46"/>
        <v>33.299999999999997</v>
      </c>
      <c r="R350" s="37"/>
      <c r="S350" s="37"/>
      <c r="T350" s="37"/>
      <c r="U350" s="37"/>
    </row>
    <row r="351" spans="1:21" ht="14.1" customHeight="1" x14ac:dyDescent="0.25">
      <c r="A351" s="61" t="s">
        <v>34</v>
      </c>
      <c r="B351" s="6">
        <v>545</v>
      </c>
      <c r="C351" s="5">
        <v>2.7941553447833889</v>
      </c>
      <c r="D351" s="5"/>
      <c r="E351" s="6">
        <v>542</v>
      </c>
      <c r="F351" s="5">
        <v>2.7853435428336502</v>
      </c>
      <c r="G351" s="5"/>
      <c r="H351" s="3">
        <v>3</v>
      </c>
      <c r="I351" s="16">
        <v>6.9767441860465116</v>
      </c>
      <c r="J351" s="5"/>
      <c r="K351" s="3" t="s">
        <v>96</v>
      </c>
      <c r="L351" s="16" t="s">
        <v>96</v>
      </c>
      <c r="N351" s="100">
        <f t="shared" si="43"/>
        <v>2.8</v>
      </c>
      <c r="O351" s="100">
        <f t="shared" si="44"/>
        <v>2.8</v>
      </c>
      <c r="P351" s="100">
        <f t="shared" si="45"/>
        <v>7</v>
      </c>
      <c r="Q351" s="100" t="e">
        <f t="shared" si="46"/>
        <v>#VALUE!</v>
      </c>
      <c r="R351" s="37"/>
      <c r="S351" s="37"/>
      <c r="T351" s="37"/>
      <c r="U351" s="37"/>
    </row>
    <row r="352" spans="1:21" ht="14.1" customHeight="1" x14ac:dyDescent="0.25">
      <c r="A352" s="61" t="s">
        <v>67</v>
      </c>
      <c r="B352" s="6">
        <v>187</v>
      </c>
      <c r="C352" s="5">
        <v>0.9587285311458601</v>
      </c>
      <c r="D352" s="5"/>
      <c r="E352" s="6">
        <v>186</v>
      </c>
      <c r="F352" s="5">
        <v>0.95585590215324523</v>
      </c>
      <c r="G352" s="5"/>
      <c r="H352" s="3">
        <v>1</v>
      </c>
      <c r="I352" s="16">
        <v>2.3255813953488373</v>
      </c>
      <c r="J352" s="5"/>
      <c r="K352" s="3" t="s">
        <v>96</v>
      </c>
      <c r="L352" s="16" t="s">
        <v>96</v>
      </c>
      <c r="N352" s="100">
        <f t="shared" si="43"/>
        <v>1</v>
      </c>
      <c r="O352" s="100">
        <f t="shared" si="44"/>
        <v>1</v>
      </c>
      <c r="P352" s="100">
        <f t="shared" si="45"/>
        <v>2.2999999999999998</v>
      </c>
      <c r="Q352" s="100" t="e">
        <f t="shared" si="46"/>
        <v>#VALUE!</v>
      </c>
      <c r="R352" s="37"/>
      <c r="S352" s="37"/>
      <c r="T352" s="37"/>
      <c r="U352" s="37"/>
    </row>
    <row r="353" spans="1:21" ht="14.1" customHeight="1" x14ac:dyDescent="0.25">
      <c r="A353" s="61" t="s">
        <v>70</v>
      </c>
      <c r="B353" s="6">
        <v>2097</v>
      </c>
      <c r="C353" s="5">
        <v>10.751089464239937</v>
      </c>
      <c r="D353" s="5"/>
      <c r="E353" s="6">
        <v>2096</v>
      </c>
      <c r="F353" s="5">
        <v>10.771365435017216</v>
      </c>
      <c r="G353" s="5"/>
      <c r="H353" s="3">
        <v>1</v>
      </c>
      <c r="I353" s="16">
        <v>2.3255813953488373</v>
      </c>
      <c r="J353" s="5"/>
      <c r="K353" s="3" t="s">
        <v>96</v>
      </c>
      <c r="L353" s="16" t="s">
        <v>96</v>
      </c>
      <c r="N353" s="100">
        <f t="shared" si="43"/>
        <v>10.8</v>
      </c>
      <c r="O353" s="100">
        <f t="shared" si="44"/>
        <v>10.8</v>
      </c>
      <c r="P353" s="100">
        <f t="shared" si="45"/>
        <v>2.2999999999999998</v>
      </c>
      <c r="Q353" s="100" t="e">
        <f t="shared" si="46"/>
        <v>#VALUE!</v>
      </c>
      <c r="R353" s="37"/>
      <c r="S353" s="37"/>
      <c r="T353" s="37"/>
      <c r="U353" s="37"/>
    </row>
    <row r="354" spans="1:21" ht="14.1" customHeight="1" x14ac:dyDescent="0.25">
      <c r="A354" s="61" t="s">
        <v>35</v>
      </c>
      <c r="B354" s="6">
        <v>176</v>
      </c>
      <c r="C354" s="5">
        <v>0.90233273519610357</v>
      </c>
      <c r="D354" s="5"/>
      <c r="E354" s="6">
        <v>176</v>
      </c>
      <c r="F354" s="5">
        <v>0.90446579988694176</v>
      </c>
      <c r="G354" s="5"/>
      <c r="H354" s="3" t="s">
        <v>96</v>
      </c>
      <c r="I354" s="16" t="s">
        <v>96</v>
      </c>
      <c r="J354" s="5"/>
      <c r="K354" s="3" t="s">
        <v>96</v>
      </c>
      <c r="L354" s="16" t="s">
        <v>96</v>
      </c>
      <c r="N354" s="100">
        <f t="shared" si="43"/>
        <v>0.9</v>
      </c>
      <c r="O354" s="100">
        <f t="shared" si="44"/>
        <v>0.9</v>
      </c>
      <c r="P354" s="100" t="e">
        <f t="shared" si="45"/>
        <v>#VALUE!</v>
      </c>
      <c r="Q354" s="100" t="e">
        <f t="shared" si="46"/>
        <v>#VALUE!</v>
      </c>
      <c r="R354" s="37"/>
      <c r="S354" s="37"/>
      <c r="T354" s="37"/>
      <c r="U354" s="37"/>
    </row>
    <row r="355" spans="1:21" ht="14.1" customHeight="1" x14ac:dyDescent="0.25">
      <c r="A355" s="61" t="s">
        <v>36</v>
      </c>
      <c r="B355" s="6">
        <v>1814</v>
      </c>
      <c r="C355" s="5">
        <v>9.3001794411689307</v>
      </c>
      <c r="D355" s="5"/>
      <c r="E355" s="6">
        <v>1811</v>
      </c>
      <c r="F355" s="5">
        <v>9.3067475204275656</v>
      </c>
      <c r="G355" s="5"/>
      <c r="H355" s="3">
        <v>2</v>
      </c>
      <c r="I355" s="16">
        <v>4.6511627906976747</v>
      </c>
      <c r="J355" s="5"/>
      <c r="K355" s="3">
        <v>1</v>
      </c>
      <c r="L355" s="16">
        <v>33.333333333333329</v>
      </c>
      <c r="N355" s="100">
        <f t="shared" si="43"/>
        <v>9.3000000000000007</v>
      </c>
      <c r="O355" s="100">
        <f t="shared" si="44"/>
        <v>9.3000000000000007</v>
      </c>
      <c r="P355" s="100">
        <f t="shared" si="45"/>
        <v>4.7</v>
      </c>
      <c r="Q355" s="100">
        <f t="shared" si="46"/>
        <v>33.299999999999997</v>
      </c>
      <c r="R355" s="37"/>
      <c r="S355" s="37"/>
      <c r="T355" s="37"/>
      <c r="U355" s="37"/>
    </row>
    <row r="356" spans="1:21" ht="14.1" customHeight="1" x14ac:dyDescent="0.25">
      <c r="A356" s="61" t="s">
        <v>37</v>
      </c>
      <c r="B356" s="6">
        <v>3230</v>
      </c>
      <c r="C356" s="5">
        <v>16.459856447064855</v>
      </c>
      <c r="D356" s="5"/>
      <c r="E356" s="6">
        <v>3227</v>
      </c>
      <c r="F356" s="5">
        <v>16.583586001336144</v>
      </c>
      <c r="G356" s="5"/>
      <c r="H356" s="3">
        <v>3</v>
      </c>
      <c r="I356" s="16">
        <v>6.9767441860465116</v>
      </c>
      <c r="J356" s="5"/>
      <c r="K356" s="3" t="s">
        <v>96</v>
      </c>
      <c r="L356" s="16" t="s">
        <v>96</v>
      </c>
      <c r="N356" s="100">
        <f t="shared" si="43"/>
        <v>16.5</v>
      </c>
      <c r="O356" s="100">
        <f t="shared" si="44"/>
        <v>16.600000000000001</v>
      </c>
      <c r="P356" s="100">
        <f t="shared" si="45"/>
        <v>7</v>
      </c>
      <c r="Q356" s="100" t="e">
        <f t="shared" si="46"/>
        <v>#VALUE!</v>
      </c>
      <c r="R356" s="37"/>
      <c r="S356" s="37"/>
      <c r="T356" s="37"/>
      <c r="U356" s="37"/>
    </row>
    <row r="357" spans="1:21" ht="14.1" customHeight="1" x14ac:dyDescent="0.25">
      <c r="A357" s="61"/>
      <c r="B357" s="6"/>
      <c r="C357" s="5"/>
      <c r="D357" s="5"/>
      <c r="E357" s="6"/>
      <c r="F357" s="5"/>
      <c r="G357" s="5"/>
      <c r="H357" s="6"/>
      <c r="I357" s="5"/>
      <c r="J357" s="5"/>
      <c r="K357" s="6"/>
      <c r="L357" s="5"/>
      <c r="N357" s="100">
        <f t="shared" si="43"/>
        <v>0</v>
      </c>
      <c r="O357" s="100">
        <f t="shared" si="44"/>
        <v>0</v>
      </c>
      <c r="P357" s="100">
        <f t="shared" si="45"/>
        <v>0</v>
      </c>
      <c r="Q357" s="100">
        <f t="shared" si="46"/>
        <v>0</v>
      </c>
      <c r="R357" s="37"/>
      <c r="S357" s="37"/>
      <c r="T357" s="37"/>
      <c r="U357" s="37"/>
    </row>
    <row r="358" spans="1:21" ht="14.1" customHeight="1" x14ac:dyDescent="0.25">
      <c r="A358" s="63" t="s">
        <v>1</v>
      </c>
      <c r="B358" s="9">
        <v>35901</v>
      </c>
      <c r="C358" s="15">
        <v>100</v>
      </c>
      <c r="D358" s="15"/>
      <c r="E358" s="9">
        <v>35701</v>
      </c>
      <c r="F358" s="15">
        <v>100</v>
      </c>
      <c r="G358" s="15"/>
      <c r="H358" s="9">
        <v>194</v>
      </c>
      <c r="I358" s="15">
        <v>100</v>
      </c>
      <c r="J358" s="15"/>
      <c r="K358" s="9">
        <v>6</v>
      </c>
      <c r="L358" s="15">
        <v>100</v>
      </c>
      <c r="N358" s="100">
        <f>SUM(N359:N370)</f>
        <v>99.999999999999986</v>
      </c>
      <c r="O358" s="100">
        <f t="shared" ref="O358:Q358" si="47">SUM(O359:O370)</f>
        <v>100</v>
      </c>
      <c r="P358" s="100" t="e">
        <f t="shared" si="47"/>
        <v>#VALUE!</v>
      </c>
      <c r="Q358" s="100" t="e">
        <f t="shared" si="47"/>
        <v>#VALUE!</v>
      </c>
      <c r="R358" s="37"/>
      <c r="S358" s="37"/>
      <c r="T358" s="37"/>
      <c r="U358" s="37"/>
    </row>
    <row r="359" spans="1:21" ht="14.1" customHeight="1" x14ac:dyDescent="0.25">
      <c r="A359" s="61" t="s">
        <v>57</v>
      </c>
      <c r="B359" s="6">
        <v>2268</v>
      </c>
      <c r="C359" s="5">
        <v>6.317372775131612</v>
      </c>
      <c r="D359" s="5"/>
      <c r="E359" s="6">
        <v>2258</v>
      </c>
      <c r="F359" s="5">
        <v>6.3247528080445923</v>
      </c>
      <c r="G359" s="5"/>
      <c r="H359" s="6">
        <v>10</v>
      </c>
      <c r="I359" s="5">
        <v>5.1546391752577314</v>
      </c>
      <c r="J359" s="5"/>
      <c r="K359" s="3" t="s">
        <v>96</v>
      </c>
      <c r="L359" s="16" t="s">
        <v>96</v>
      </c>
      <c r="M359" s="100"/>
      <c r="N359" s="100">
        <f t="shared" si="43"/>
        <v>6.3</v>
      </c>
      <c r="O359" s="100">
        <f t="shared" si="44"/>
        <v>6.3</v>
      </c>
      <c r="P359" s="100">
        <f t="shared" si="45"/>
        <v>5.2</v>
      </c>
      <c r="Q359" s="100" t="e">
        <f t="shared" si="46"/>
        <v>#VALUE!</v>
      </c>
      <c r="R359" s="37"/>
      <c r="S359" s="37"/>
      <c r="T359" s="37"/>
      <c r="U359" s="37"/>
    </row>
    <row r="360" spans="1:21" ht="14.1" customHeight="1" x14ac:dyDescent="0.25">
      <c r="A360" s="61" t="s">
        <v>29</v>
      </c>
      <c r="B360" s="6">
        <v>46</v>
      </c>
      <c r="C360" s="5">
        <v>0.12813013565081752</v>
      </c>
      <c r="D360" s="5"/>
      <c r="E360" s="6">
        <v>45</v>
      </c>
      <c r="F360" s="5">
        <v>0.12604688944287276</v>
      </c>
      <c r="G360" s="5"/>
      <c r="H360" s="6">
        <v>1</v>
      </c>
      <c r="I360" s="5">
        <v>0.51546391752577314</v>
      </c>
      <c r="J360" s="16"/>
      <c r="K360" s="3" t="s">
        <v>96</v>
      </c>
      <c r="L360" s="16" t="s">
        <v>96</v>
      </c>
      <c r="M360" s="100"/>
      <c r="N360" s="100">
        <f t="shared" si="43"/>
        <v>0.1</v>
      </c>
      <c r="O360" s="100">
        <f t="shared" si="44"/>
        <v>0.1</v>
      </c>
      <c r="P360" s="100">
        <f t="shared" si="45"/>
        <v>0.5</v>
      </c>
      <c r="Q360" s="100" t="e">
        <f t="shared" si="46"/>
        <v>#VALUE!</v>
      </c>
      <c r="R360" s="37"/>
      <c r="S360" s="37"/>
      <c r="T360" s="37"/>
      <c r="U360" s="37"/>
    </row>
    <row r="361" spans="1:21" ht="14.1" customHeight="1" x14ac:dyDescent="0.25">
      <c r="A361" s="61" t="s">
        <v>30</v>
      </c>
      <c r="B361" s="6">
        <v>1740</v>
      </c>
      <c r="C361" s="5">
        <v>4.8466616528787494</v>
      </c>
      <c r="D361" s="5"/>
      <c r="E361" s="6">
        <v>1732</v>
      </c>
      <c r="F361" s="5">
        <v>4.8514047225567909</v>
      </c>
      <c r="G361" s="5"/>
      <c r="H361" s="6">
        <v>8</v>
      </c>
      <c r="I361" s="5">
        <v>4.1237113402061851</v>
      </c>
      <c r="J361" s="5"/>
      <c r="K361" s="3" t="s">
        <v>96</v>
      </c>
      <c r="L361" s="16" t="s">
        <v>96</v>
      </c>
      <c r="M361" s="100"/>
      <c r="N361" s="100">
        <f t="shared" si="43"/>
        <v>4.8</v>
      </c>
      <c r="O361" s="100">
        <f t="shared" si="44"/>
        <v>4.9000000000000004</v>
      </c>
      <c r="P361" s="100">
        <f t="shared" si="45"/>
        <v>4.0999999999999996</v>
      </c>
      <c r="Q361" s="100" t="e">
        <f t="shared" si="46"/>
        <v>#VALUE!</v>
      </c>
      <c r="R361" s="37"/>
      <c r="S361" s="37"/>
      <c r="T361" s="37"/>
      <c r="U361" s="37"/>
    </row>
    <row r="362" spans="1:21" ht="14.1" customHeight="1" x14ac:dyDescent="0.25">
      <c r="A362" s="61" t="s">
        <v>31</v>
      </c>
      <c r="B362" s="6">
        <v>75</v>
      </c>
      <c r="C362" s="5">
        <v>0.20890782986546336</v>
      </c>
      <c r="D362" s="5"/>
      <c r="E362" s="6">
        <v>75</v>
      </c>
      <c r="F362" s="5">
        <v>0.21007814907145458</v>
      </c>
      <c r="G362" s="5"/>
      <c r="H362" s="3" t="s">
        <v>96</v>
      </c>
      <c r="I362" s="3" t="s">
        <v>96</v>
      </c>
      <c r="J362" s="5"/>
      <c r="K362" s="3" t="s">
        <v>96</v>
      </c>
      <c r="L362" s="16" t="s">
        <v>96</v>
      </c>
      <c r="M362" s="100"/>
      <c r="N362" s="100">
        <f t="shared" si="43"/>
        <v>0.2</v>
      </c>
      <c r="O362" s="100">
        <f t="shared" si="44"/>
        <v>0.2</v>
      </c>
      <c r="P362" s="100" t="e">
        <f t="shared" si="45"/>
        <v>#VALUE!</v>
      </c>
      <c r="Q362" s="100" t="e">
        <f t="shared" si="46"/>
        <v>#VALUE!</v>
      </c>
      <c r="R362" s="37"/>
      <c r="S362" s="37"/>
      <c r="T362" s="37"/>
      <c r="U362" s="37"/>
    </row>
    <row r="363" spans="1:21" ht="14.1" customHeight="1" x14ac:dyDescent="0.25">
      <c r="A363" s="61" t="s">
        <v>32</v>
      </c>
      <c r="B363" s="6">
        <v>443</v>
      </c>
      <c r="C363" s="5">
        <v>1.2339489150720035</v>
      </c>
      <c r="D363" s="5"/>
      <c r="E363" s="6">
        <v>439</v>
      </c>
      <c r="F363" s="5">
        <v>1.2296574325649141</v>
      </c>
      <c r="G363" s="5"/>
      <c r="H363" s="6">
        <v>4</v>
      </c>
      <c r="I363" s="5">
        <v>2.0618556701030926</v>
      </c>
      <c r="J363" s="5"/>
      <c r="K363" s="3" t="s">
        <v>96</v>
      </c>
      <c r="L363" s="16" t="s">
        <v>96</v>
      </c>
      <c r="M363" s="100"/>
      <c r="N363" s="100">
        <f t="shared" si="43"/>
        <v>1.2</v>
      </c>
      <c r="O363" s="100">
        <f t="shared" si="44"/>
        <v>1.2</v>
      </c>
      <c r="P363" s="100">
        <f t="shared" si="45"/>
        <v>2.1</v>
      </c>
      <c r="Q363" s="100" t="e">
        <f t="shared" si="46"/>
        <v>#VALUE!</v>
      </c>
      <c r="R363" s="37"/>
      <c r="S363" s="37"/>
      <c r="T363" s="37"/>
      <c r="U363" s="37"/>
    </row>
    <row r="364" spans="1:21" s="21" customFormat="1" x14ac:dyDescent="0.25">
      <c r="A364" s="61" t="s">
        <v>33</v>
      </c>
      <c r="B364" s="6">
        <v>18189</v>
      </c>
      <c r="C364" s="5">
        <v>50.86432689897218</v>
      </c>
      <c r="D364" s="5"/>
      <c r="E364" s="6">
        <v>18061</v>
      </c>
      <c r="F364" s="5">
        <v>50.589619338393888</v>
      </c>
      <c r="G364" s="5"/>
      <c r="H364" s="6">
        <v>122</v>
      </c>
      <c r="I364" s="5">
        <v>62.886597938144327</v>
      </c>
      <c r="J364" s="5"/>
      <c r="K364" s="3">
        <v>6</v>
      </c>
      <c r="L364" s="16">
        <v>100</v>
      </c>
      <c r="M364" s="122"/>
      <c r="N364" s="100">
        <f t="shared" si="43"/>
        <v>50.9</v>
      </c>
      <c r="O364" s="100">
        <f t="shared" si="44"/>
        <v>50.6</v>
      </c>
      <c r="P364" s="100">
        <f t="shared" si="45"/>
        <v>62.9</v>
      </c>
      <c r="Q364" s="100">
        <f t="shared" si="46"/>
        <v>100</v>
      </c>
      <c r="R364" s="37"/>
      <c r="S364" s="37"/>
      <c r="T364" s="37"/>
      <c r="U364" s="37"/>
    </row>
    <row r="365" spans="1:21" ht="14.1" customHeight="1" x14ac:dyDescent="0.25">
      <c r="A365" s="61" t="s">
        <v>34</v>
      </c>
      <c r="B365" s="6">
        <v>1116</v>
      </c>
      <c r="C365" s="5">
        <v>3.1085485083980946</v>
      </c>
      <c r="D365" s="5"/>
      <c r="E365" s="6">
        <v>1100</v>
      </c>
      <c r="F365" s="5">
        <v>3.0811461863813339</v>
      </c>
      <c r="G365" s="5"/>
      <c r="H365" s="6">
        <v>16</v>
      </c>
      <c r="I365" s="5">
        <v>8.2474226804123703</v>
      </c>
      <c r="J365" s="5"/>
      <c r="K365" s="3" t="s">
        <v>96</v>
      </c>
      <c r="L365" s="16" t="s">
        <v>96</v>
      </c>
      <c r="M365" s="100"/>
      <c r="N365" s="100">
        <f t="shared" si="43"/>
        <v>3.1</v>
      </c>
      <c r="O365" s="100">
        <f t="shared" si="44"/>
        <v>3.1</v>
      </c>
      <c r="P365" s="100">
        <f t="shared" si="45"/>
        <v>8.1999999999999993</v>
      </c>
      <c r="Q365" s="100" t="e">
        <f t="shared" si="46"/>
        <v>#VALUE!</v>
      </c>
      <c r="R365" s="37"/>
      <c r="S365" s="37"/>
      <c r="T365" s="37"/>
      <c r="U365" s="37"/>
    </row>
    <row r="366" spans="1:21" ht="14.1" customHeight="1" x14ac:dyDescent="0.25">
      <c r="A366" s="61" t="s">
        <v>67</v>
      </c>
      <c r="B366" s="6">
        <v>477</v>
      </c>
      <c r="C366" s="5">
        <v>1.3286537979443469</v>
      </c>
      <c r="D366" s="5"/>
      <c r="E366" s="6">
        <v>475</v>
      </c>
      <c r="F366" s="5">
        <v>1.3304949441192122</v>
      </c>
      <c r="G366" s="5"/>
      <c r="H366" s="6">
        <v>2</v>
      </c>
      <c r="I366" s="5">
        <v>1.0309278350515463</v>
      </c>
      <c r="J366" s="5"/>
      <c r="K366" s="3" t="s">
        <v>96</v>
      </c>
      <c r="L366" s="16" t="s">
        <v>96</v>
      </c>
      <c r="M366" s="100"/>
      <c r="N366" s="100">
        <f t="shared" si="43"/>
        <v>1.3</v>
      </c>
      <c r="O366" s="100">
        <f t="shared" si="44"/>
        <v>1.3</v>
      </c>
      <c r="P366" s="100">
        <f t="shared" si="45"/>
        <v>1</v>
      </c>
      <c r="Q366" s="100" t="e">
        <f t="shared" si="46"/>
        <v>#VALUE!</v>
      </c>
      <c r="R366" s="37"/>
      <c r="S366" s="37"/>
      <c r="T366" s="37"/>
      <c r="U366" s="37"/>
    </row>
    <row r="367" spans="1:21" ht="14.1" customHeight="1" x14ac:dyDescent="0.25">
      <c r="A367" s="61" t="s">
        <v>70</v>
      </c>
      <c r="B367" s="6">
        <v>4172</v>
      </c>
      <c r="C367" s="5">
        <v>11.620846215982841</v>
      </c>
      <c r="D367" s="5"/>
      <c r="E367" s="6">
        <v>4168</v>
      </c>
      <c r="F367" s="5">
        <v>11.674743004397637</v>
      </c>
      <c r="G367" s="5"/>
      <c r="H367" s="6">
        <v>4</v>
      </c>
      <c r="I367" s="5">
        <v>2.0618556701030926</v>
      </c>
      <c r="J367" s="5"/>
      <c r="K367" s="3" t="s">
        <v>96</v>
      </c>
      <c r="L367" s="16" t="s">
        <v>96</v>
      </c>
      <c r="M367" s="100"/>
      <c r="N367" s="100">
        <f t="shared" si="43"/>
        <v>11.6</v>
      </c>
      <c r="O367" s="100">
        <f t="shared" si="44"/>
        <v>11.7</v>
      </c>
      <c r="P367" s="100">
        <f t="shared" si="45"/>
        <v>2.1</v>
      </c>
      <c r="Q367" s="100" t="e">
        <f t="shared" si="46"/>
        <v>#VALUE!</v>
      </c>
      <c r="R367" s="37"/>
      <c r="S367" s="37"/>
      <c r="T367" s="37"/>
      <c r="U367" s="37"/>
    </row>
    <row r="368" spans="1:21" ht="14.1" customHeight="1" x14ac:dyDescent="0.25">
      <c r="A368" s="61" t="s">
        <v>35</v>
      </c>
      <c r="B368" s="6">
        <v>432</v>
      </c>
      <c r="C368" s="5">
        <v>1.2033091000250689</v>
      </c>
      <c r="D368" s="5"/>
      <c r="E368" s="6">
        <v>431</v>
      </c>
      <c r="F368" s="5">
        <v>1.2072490966639589</v>
      </c>
      <c r="G368" s="5"/>
      <c r="H368" s="6">
        <v>1</v>
      </c>
      <c r="I368" s="5">
        <v>0.51546391752577314</v>
      </c>
      <c r="J368" s="5"/>
      <c r="K368" s="3" t="s">
        <v>96</v>
      </c>
      <c r="L368" s="16" t="s">
        <v>96</v>
      </c>
      <c r="M368" s="100"/>
      <c r="N368" s="100">
        <f t="shared" si="43"/>
        <v>1.2</v>
      </c>
      <c r="O368" s="100">
        <f t="shared" si="44"/>
        <v>1.2</v>
      </c>
      <c r="P368" s="100">
        <f t="shared" si="45"/>
        <v>0.5</v>
      </c>
      <c r="Q368" s="100" t="e">
        <f t="shared" si="46"/>
        <v>#VALUE!</v>
      </c>
      <c r="R368" s="37"/>
      <c r="S368" s="37"/>
      <c r="T368" s="37"/>
      <c r="U368" s="37"/>
    </row>
    <row r="369" spans="1:21" ht="14.1" customHeight="1" x14ac:dyDescent="0.25">
      <c r="A369" s="61" t="s">
        <v>36</v>
      </c>
      <c r="B369" s="6">
        <v>1187</v>
      </c>
      <c r="C369" s="5">
        <v>3.3063145873374</v>
      </c>
      <c r="D369" s="5"/>
      <c r="E369" s="6">
        <v>1172</v>
      </c>
      <c r="F369" s="5">
        <v>3.2828212094899301</v>
      </c>
      <c r="G369" s="5"/>
      <c r="H369" s="6">
        <v>15</v>
      </c>
      <c r="I369" s="5">
        <v>7.731958762886598</v>
      </c>
      <c r="J369" s="5"/>
      <c r="K369" s="3" t="s">
        <v>96</v>
      </c>
      <c r="L369" s="16" t="s">
        <v>96</v>
      </c>
      <c r="M369" s="100"/>
      <c r="N369" s="100">
        <f t="shared" si="43"/>
        <v>3.3</v>
      </c>
      <c r="O369" s="100">
        <f t="shared" si="44"/>
        <v>3.3</v>
      </c>
      <c r="P369" s="100">
        <f t="shared" si="45"/>
        <v>7.7</v>
      </c>
      <c r="Q369" s="100" t="e">
        <f t="shared" si="46"/>
        <v>#VALUE!</v>
      </c>
      <c r="R369" s="37"/>
      <c r="S369" s="37"/>
      <c r="T369" s="37"/>
      <c r="U369" s="37"/>
    </row>
    <row r="370" spans="1:21" x14ac:dyDescent="0.25">
      <c r="A370" s="61" t="s">
        <v>37</v>
      </c>
      <c r="B370" s="6">
        <v>5756</v>
      </c>
      <c r="C370" s="5">
        <v>16.032979582741426</v>
      </c>
      <c r="D370" s="5"/>
      <c r="E370" s="6">
        <v>5745</v>
      </c>
      <c r="F370" s="5">
        <v>16.091986218873423</v>
      </c>
      <c r="G370" s="5"/>
      <c r="H370" s="6">
        <v>11</v>
      </c>
      <c r="I370" s="5">
        <v>5.6701030927835054</v>
      </c>
      <c r="J370" s="5"/>
      <c r="K370" s="3" t="s">
        <v>96</v>
      </c>
      <c r="L370" s="16" t="s">
        <v>96</v>
      </c>
      <c r="M370" s="100"/>
      <c r="N370" s="100">
        <f t="shared" si="43"/>
        <v>16</v>
      </c>
      <c r="O370" s="100">
        <f t="shared" si="44"/>
        <v>16.100000000000001</v>
      </c>
      <c r="P370" s="100">
        <f t="shared" si="45"/>
        <v>5.7</v>
      </c>
      <c r="Q370" s="100" t="e">
        <f t="shared" si="46"/>
        <v>#VALUE!</v>
      </c>
      <c r="R370" s="37"/>
      <c r="S370" s="37"/>
      <c r="T370" s="37"/>
      <c r="U370" s="37"/>
    </row>
    <row r="371" spans="1:21" ht="14.1" customHeight="1" x14ac:dyDescent="0.25">
      <c r="A371" s="61"/>
      <c r="B371" s="6"/>
      <c r="C371" s="5"/>
      <c r="D371" s="5"/>
      <c r="E371" s="6"/>
      <c r="F371" s="5"/>
      <c r="G371" s="5"/>
      <c r="H371" s="6"/>
      <c r="I371" s="5"/>
      <c r="J371" s="5"/>
      <c r="K371" s="6"/>
      <c r="L371" s="5"/>
      <c r="N371" s="100">
        <f t="shared" si="43"/>
        <v>0</v>
      </c>
      <c r="O371" s="100">
        <f t="shared" si="44"/>
        <v>0</v>
      </c>
      <c r="P371" s="100">
        <f t="shared" si="45"/>
        <v>0</v>
      </c>
      <c r="Q371" s="100">
        <f t="shared" si="46"/>
        <v>0</v>
      </c>
      <c r="R371" s="37"/>
      <c r="S371" s="37"/>
      <c r="T371" s="37"/>
      <c r="U371" s="37"/>
    </row>
    <row r="372" spans="1:21" ht="14.1" customHeight="1" x14ac:dyDescent="0.25">
      <c r="A372" s="63" t="s">
        <v>76</v>
      </c>
      <c r="B372" s="9">
        <v>862863</v>
      </c>
      <c r="C372" s="15">
        <v>100</v>
      </c>
      <c r="D372" s="15"/>
      <c r="E372" s="9">
        <v>860166</v>
      </c>
      <c r="F372" s="15">
        <v>100</v>
      </c>
      <c r="G372" s="15"/>
      <c r="H372" s="9">
        <v>2601</v>
      </c>
      <c r="I372" s="15">
        <v>100</v>
      </c>
      <c r="J372" s="15"/>
      <c r="K372" s="9">
        <v>96</v>
      </c>
      <c r="L372" s="15">
        <v>100</v>
      </c>
      <c r="N372" s="100">
        <f>SUM(N373:N384)</f>
        <v>100</v>
      </c>
      <c r="O372" s="100">
        <f t="shared" ref="O372:Q372" si="48">SUM(O373:O384)</f>
        <v>100</v>
      </c>
      <c r="P372" s="100">
        <f t="shared" si="48"/>
        <v>100.00000000000001</v>
      </c>
      <c r="Q372" s="100" t="e">
        <f t="shared" si="48"/>
        <v>#VALUE!</v>
      </c>
      <c r="R372" s="37"/>
      <c r="S372" s="37"/>
      <c r="T372" s="37"/>
      <c r="U372" s="37"/>
    </row>
    <row r="373" spans="1:21" ht="14.1" customHeight="1" x14ac:dyDescent="0.25">
      <c r="A373" s="61" t="s">
        <v>57</v>
      </c>
      <c r="B373" s="6">
        <v>1689</v>
      </c>
      <c r="C373" s="5">
        <v>0.1957437043887616</v>
      </c>
      <c r="D373" s="5"/>
      <c r="E373" s="6">
        <v>1638</v>
      </c>
      <c r="F373" s="5">
        <v>0.19042835917718209</v>
      </c>
      <c r="G373" s="5"/>
      <c r="H373" s="6">
        <v>47</v>
      </c>
      <c r="I373" s="5">
        <v>1.8069973087274125</v>
      </c>
      <c r="J373" s="5"/>
      <c r="K373" s="6">
        <v>4</v>
      </c>
      <c r="L373" s="5">
        <v>4.1666666666666661</v>
      </c>
      <c r="N373" s="100">
        <f t="shared" si="43"/>
        <v>0.2</v>
      </c>
      <c r="O373" s="100">
        <f t="shared" si="44"/>
        <v>0.2</v>
      </c>
      <c r="P373" s="100">
        <f t="shared" si="45"/>
        <v>1.8</v>
      </c>
      <c r="Q373" s="100">
        <f t="shared" si="46"/>
        <v>4.2</v>
      </c>
      <c r="R373" s="37"/>
      <c r="S373" s="37"/>
      <c r="T373" s="37"/>
      <c r="U373" s="37"/>
    </row>
    <row r="374" spans="1:21" ht="14.1" customHeight="1" x14ac:dyDescent="0.25">
      <c r="A374" s="61" t="s">
        <v>29</v>
      </c>
      <c r="B374" s="6">
        <v>1691</v>
      </c>
      <c r="C374" s="5">
        <v>0.19597549089484656</v>
      </c>
      <c r="D374" s="5"/>
      <c r="E374" s="6">
        <v>1632</v>
      </c>
      <c r="F374" s="5">
        <v>0.18973081939997627</v>
      </c>
      <c r="G374" s="5"/>
      <c r="H374" s="6">
        <v>54</v>
      </c>
      <c r="I374" s="5">
        <v>2.0761245674740483</v>
      </c>
      <c r="J374" s="5"/>
      <c r="K374" s="6">
        <v>5</v>
      </c>
      <c r="L374" s="5">
        <v>5.2083333333333339</v>
      </c>
      <c r="N374" s="100">
        <f t="shared" si="43"/>
        <v>0.2</v>
      </c>
      <c r="O374" s="100">
        <f t="shared" si="44"/>
        <v>0.2</v>
      </c>
      <c r="P374" s="100">
        <f t="shared" si="45"/>
        <v>2.1</v>
      </c>
      <c r="Q374" s="100">
        <f t="shared" si="46"/>
        <v>5.2</v>
      </c>
      <c r="R374" s="37"/>
      <c r="S374" s="37"/>
      <c r="T374" s="37"/>
      <c r="U374" s="37"/>
    </row>
    <row r="375" spans="1:21" ht="14.1" customHeight="1" x14ac:dyDescent="0.25">
      <c r="A375" s="61" t="s">
        <v>30</v>
      </c>
      <c r="B375" s="6">
        <v>69712</v>
      </c>
      <c r="C375" s="5">
        <v>8.0791504560978975</v>
      </c>
      <c r="D375" s="5"/>
      <c r="E375" s="6">
        <v>69524</v>
      </c>
      <c r="F375" s="5">
        <v>8.0826259117426176</v>
      </c>
      <c r="G375" s="5"/>
      <c r="H375" s="6">
        <v>183</v>
      </c>
      <c r="I375" s="5">
        <v>7.035755478662054</v>
      </c>
      <c r="J375" s="5"/>
      <c r="K375" s="6">
        <v>5</v>
      </c>
      <c r="L375" s="5">
        <v>5.2083333333333339</v>
      </c>
      <c r="N375" s="100">
        <f t="shared" si="43"/>
        <v>8.1</v>
      </c>
      <c r="O375" s="100">
        <f t="shared" si="44"/>
        <v>8.1</v>
      </c>
      <c r="P375" s="100">
        <f t="shared" si="45"/>
        <v>7</v>
      </c>
      <c r="Q375" s="100">
        <f t="shared" si="46"/>
        <v>5.2</v>
      </c>
      <c r="R375" s="37"/>
      <c r="S375" s="37"/>
      <c r="T375" s="37"/>
      <c r="U375" s="37"/>
    </row>
    <row r="376" spans="1:21" ht="14.1" customHeight="1" x14ac:dyDescent="0.25">
      <c r="A376" s="61" t="s">
        <v>31</v>
      </c>
      <c r="B376" s="6">
        <v>1389</v>
      </c>
      <c r="C376" s="5">
        <v>0.1609757284760153</v>
      </c>
      <c r="D376" s="5"/>
      <c r="E376" s="6">
        <v>1377</v>
      </c>
      <c r="F376" s="5">
        <v>0.16008537886872998</v>
      </c>
      <c r="G376" s="5"/>
      <c r="H376" s="6">
        <v>11</v>
      </c>
      <c r="I376" s="5">
        <v>0.42291426374471358</v>
      </c>
      <c r="J376" s="5"/>
      <c r="K376" s="6">
        <v>1</v>
      </c>
      <c r="L376" s="5">
        <v>1.0416666666666665</v>
      </c>
      <c r="N376" s="100">
        <f t="shared" si="43"/>
        <v>0.2</v>
      </c>
      <c r="O376" s="100">
        <f t="shared" si="44"/>
        <v>0.2</v>
      </c>
      <c r="P376" s="100">
        <f t="shared" si="45"/>
        <v>0.4</v>
      </c>
      <c r="Q376" s="100">
        <f t="shared" si="46"/>
        <v>1</v>
      </c>
      <c r="R376" s="37"/>
      <c r="S376" s="37"/>
      <c r="T376" s="37"/>
      <c r="U376" s="37"/>
    </row>
    <row r="377" spans="1:21" ht="14.1" customHeight="1" x14ac:dyDescent="0.25">
      <c r="A377" s="61" t="s">
        <v>32</v>
      </c>
      <c r="B377" s="6">
        <v>7874</v>
      </c>
      <c r="C377" s="5">
        <v>0.91254347445654749</v>
      </c>
      <c r="D377" s="5"/>
      <c r="E377" s="6">
        <v>7812</v>
      </c>
      <c r="F377" s="5">
        <v>0.90819678992194519</v>
      </c>
      <c r="G377" s="5"/>
      <c r="H377" s="6">
        <v>62</v>
      </c>
      <c r="I377" s="5">
        <v>2.3836985774702035</v>
      </c>
      <c r="J377" s="5"/>
      <c r="K377" s="3" t="s">
        <v>96</v>
      </c>
      <c r="L377" s="16" t="s">
        <v>96</v>
      </c>
      <c r="N377" s="100">
        <f t="shared" si="43"/>
        <v>0.9</v>
      </c>
      <c r="O377" s="100">
        <f t="shared" si="44"/>
        <v>0.9</v>
      </c>
      <c r="P377" s="100">
        <f t="shared" si="45"/>
        <v>2.4</v>
      </c>
      <c r="Q377" s="100" t="e">
        <f t="shared" si="46"/>
        <v>#VALUE!</v>
      </c>
      <c r="R377" s="37"/>
      <c r="S377" s="37"/>
      <c r="T377" s="37"/>
      <c r="U377" s="37"/>
    </row>
    <row r="378" spans="1:21" ht="14.1" customHeight="1" x14ac:dyDescent="0.25">
      <c r="A378" s="61" t="s">
        <v>33</v>
      </c>
      <c r="B378" s="6">
        <v>438395</v>
      </c>
      <c r="C378" s="5">
        <v>50.707022667561361</v>
      </c>
      <c r="D378" s="5"/>
      <c r="E378" s="6">
        <v>436757</v>
      </c>
      <c r="F378" s="5">
        <v>50.675896745511913</v>
      </c>
      <c r="G378" s="5"/>
      <c r="H378" s="6">
        <v>1578</v>
      </c>
      <c r="I378" s="5">
        <v>60.668973471741637</v>
      </c>
      <c r="J378" s="5"/>
      <c r="K378" s="3">
        <v>60</v>
      </c>
      <c r="L378" s="16">
        <v>62.4</v>
      </c>
      <c r="N378" s="100">
        <f t="shared" si="43"/>
        <v>50.7</v>
      </c>
      <c r="O378" s="100">
        <f t="shared" si="44"/>
        <v>50.7</v>
      </c>
      <c r="P378" s="100">
        <f t="shared" si="45"/>
        <v>60.7</v>
      </c>
      <c r="Q378" s="100">
        <f t="shared" si="46"/>
        <v>62.4</v>
      </c>
      <c r="R378" s="37"/>
      <c r="S378" s="37"/>
      <c r="T378" s="37"/>
      <c r="U378" s="37"/>
    </row>
    <row r="379" spans="1:21" ht="14.1" customHeight="1" x14ac:dyDescent="0.25">
      <c r="A379" s="61" t="s">
        <v>34</v>
      </c>
      <c r="B379" s="6">
        <v>52343</v>
      </c>
      <c r="C379" s="5">
        <v>6.0662005440029292</v>
      </c>
      <c r="D379" s="5"/>
      <c r="E379" s="6">
        <v>52126</v>
      </c>
      <c r="F379" s="5">
        <v>6.0599930711048797</v>
      </c>
      <c r="G379" s="5"/>
      <c r="H379" s="6">
        <v>208</v>
      </c>
      <c r="I379" s="5">
        <v>7.9969242599000383</v>
      </c>
      <c r="J379" s="5"/>
      <c r="K379" s="3">
        <v>9</v>
      </c>
      <c r="L379" s="16">
        <v>9.375</v>
      </c>
      <c r="N379" s="100">
        <f t="shared" si="43"/>
        <v>6.1</v>
      </c>
      <c r="O379" s="100">
        <f t="shared" si="44"/>
        <v>6.1</v>
      </c>
      <c r="P379" s="100">
        <f t="shared" si="45"/>
        <v>8</v>
      </c>
      <c r="Q379" s="100">
        <f t="shared" si="46"/>
        <v>9.4</v>
      </c>
      <c r="R379" s="37"/>
      <c r="S379" s="37"/>
      <c r="T379" s="37"/>
      <c r="U379" s="37"/>
    </row>
    <row r="380" spans="1:21" ht="14.1" customHeight="1" x14ac:dyDescent="0.25">
      <c r="A380" s="61" t="s">
        <v>67</v>
      </c>
      <c r="B380" s="6">
        <v>3936</v>
      </c>
      <c r="C380" s="5">
        <v>0.45615584397523129</v>
      </c>
      <c r="D380" s="5"/>
      <c r="E380" s="6">
        <v>3930</v>
      </c>
      <c r="F380" s="5">
        <v>0.45688855406979584</v>
      </c>
      <c r="G380" s="5"/>
      <c r="H380" s="6">
        <v>6</v>
      </c>
      <c r="I380" s="5">
        <v>0.23068050749711649</v>
      </c>
      <c r="J380" s="5"/>
      <c r="K380" s="3" t="s">
        <v>96</v>
      </c>
      <c r="L380" s="16" t="s">
        <v>96</v>
      </c>
      <c r="N380" s="100">
        <f t="shared" si="43"/>
        <v>0.5</v>
      </c>
      <c r="O380" s="100">
        <f t="shared" si="44"/>
        <v>0.5</v>
      </c>
      <c r="P380" s="100">
        <f t="shared" si="45"/>
        <v>0.2</v>
      </c>
      <c r="Q380" s="100" t="e">
        <f t="shared" si="46"/>
        <v>#VALUE!</v>
      </c>
      <c r="R380" s="37"/>
      <c r="S380" s="37"/>
      <c r="T380" s="37"/>
      <c r="U380" s="37"/>
    </row>
    <row r="381" spans="1:21" ht="14.1" customHeight="1" x14ac:dyDescent="0.25">
      <c r="A381" s="61" t="s">
        <v>70</v>
      </c>
      <c r="B381" s="6">
        <v>65555</v>
      </c>
      <c r="C381" s="5">
        <v>7.5973822032002758</v>
      </c>
      <c r="D381" s="5"/>
      <c r="E381" s="6">
        <v>65499</v>
      </c>
      <c r="F381" s="5">
        <v>7.6146929778670627</v>
      </c>
      <c r="G381" s="5"/>
      <c r="H381" s="6">
        <v>55</v>
      </c>
      <c r="I381" s="5">
        <v>2.1145713187235677</v>
      </c>
      <c r="J381" s="5"/>
      <c r="K381" s="3">
        <v>1</v>
      </c>
      <c r="L381" s="16">
        <v>1.0416666666666665</v>
      </c>
      <c r="N381" s="100">
        <f t="shared" si="43"/>
        <v>7.6</v>
      </c>
      <c r="O381" s="100">
        <f t="shared" si="44"/>
        <v>7.6</v>
      </c>
      <c r="P381" s="100">
        <f t="shared" si="45"/>
        <v>2.1</v>
      </c>
      <c r="Q381" s="100">
        <f t="shared" si="46"/>
        <v>1</v>
      </c>
      <c r="R381" s="37"/>
      <c r="S381" s="37"/>
      <c r="T381" s="37"/>
      <c r="U381" s="37"/>
    </row>
    <row r="382" spans="1:21" ht="14.1" customHeight="1" x14ac:dyDescent="0.25">
      <c r="A382" s="61" t="s">
        <v>35</v>
      </c>
      <c r="B382" s="6">
        <v>13960</v>
      </c>
      <c r="C382" s="5">
        <v>1.6178698124731272</v>
      </c>
      <c r="D382" s="5"/>
      <c r="E382" s="6">
        <v>13950</v>
      </c>
      <c r="F382" s="5">
        <v>1.6217799820034735</v>
      </c>
      <c r="G382" s="5"/>
      <c r="H382" s="6">
        <v>10</v>
      </c>
      <c r="I382" s="5">
        <v>0.38446751249519417</v>
      </c>
      <c r="J382" s="5"/>
      <c r="K382" s="3" t="s">
        <v>96</v>
      </c>
      <c r="L382" s="16" t="s">
        <v>96</v>
      </c>
      <c r="N382" s="100">
        <f t="shared" si="43"/>
        <v>1.6</v>
      </c>
      <c r="O382" s="100">
        <f t="shared" si="44"/>
        <v>1.6</v>
      </c>
      <c r="P382" s="100">
        <f t="shared" si="45"/>
        <v>0.4</v>
      </c>
      <c r="Q382" s="100" t="e">
        <f t="shared" si="46"/>
        <v>#VALUE!</v>
      </c>
      <c r="R382" s="37"/>
      <c r="S382" s="37"/>
      <c r="T382" s="37"/>
      <c r="U382" s="37"/>
    </row>
    <row r="383" spans="1:21" ht="14.1" customHeight="1" x14ac:dyDescent="0.25">
      <c r="A383" s="61" t="s">
        <v>36</v>
      </c>
      <c r="B383" s="6">
        <v>59693</v>
      </c>
      <c r="C383" s="5">
        <v>6.918015953865214</v>
      </c>
      <c r="D383" s="5"/>
      <c r="E383" s="6">
        <v>59454</v>
      </c>
      <c r="F383" s="5">
        <v>6.9119216523322242</v>
      </c>
      <c r="G383" s="5"/>
      <c r="H383" s="6">
        <v>231</v>
      </c>
      <c r="I383" s="5">
        <v>8.8811995386389864</v>
      </c>
      <c r="J383" s="5"/>
      <c r="K383" s="3">
        <v>8</v>
      </c>
      <c r="L383" s="16">
        <v>8.3333333333333321</v>
      </c>
      <c r="N383" s="100">
        <f t="shared" si="43"/>
        <v>6.9</v>
      </c>
      <c r="O383" s="100">
        <f t="shared" si="44"/>
        <v>6.9</v>
      </c>
      <c r="P383" s="100">
        <f t="shared" si="45"/>
        <v>8.9</v>
      </c>
      <c r="Q383" s="100">
        <f t="shared" si="46"/>
        <v>8.3000000000000007</v>
      </c>
      <c r="R383" s="37"/>
      <c r="S383" s="37"/>
      <c r="T383" s="37"/>
      <c r="U383" s="37"/>
    </row>
    <row r="384" spans="1:21" ht="14.1" customHeight="1" x14ac:dyDescent="0.25">
      <c r="A384" s="61" t="s">
        <v>37</v>
      </c>
      <c r="B384" s="6">
        <v>146626</v>
      </c>
      <c r="C384" s="5">
        <v>16.992964120607791</v>
      </c>
      <c r="D384" s="5"/>
      <c r="E384" s="6">
        <v>146467</v>
      </c>
      <c r="F384" s="5">
        <v>17.027759758000201</v>
      </c>
      <c r="G384" s="5"/>
      <c r="H384" s="6">
        <v>156</v>
      </c>
      <c r="I384" s="5">
        <v>5.9976931949250289</v>
      </c>
      <c r="J384" s="5"/>
      <c r="K384" s="3">
        <v>3</v>
      </c>
      <c r="L384" s="16">
        <v>3.125</v>
      </c>
      <c r="N384" s="100">
        <f t="shared" si="43"/>
        <v>17</v>
      </c>
      <c r="O384" s="100">
        <f t="shared" si="44"/>
        <v>17</v>
      </c>
      <c r="P384" s="100">
        <f t="shared" si="45"/>
        <v>6</v>
      </c>
      <c r="Q384" s="100">
        <f t="shared" si="46"/>
        <v>3.1</v>
      </c>
      <c r="R384" s="37"/>
      <c r="S384" s="37"/>
      <c r="T384" s="37"/>
      <c r="U384" s="37"/>
    </row>
    <row r="385" spans="1:21" ht="7.5" customHeight="1" x14ac:dyDescent="0.25">
      <c r="C385" s="37"/>
      <c r="F385" s="37"/>
      <c r="H385" s="125"/>
      <c r="I385" s="37"/>
      <c r="K385" s="9"/>
      <c r="L385" s="15"/>
      <c r="N385" s="100">
        <f t="shared" si="43"/>
        <v>0</v>
      </c>
      <c r="O385" s="100">
        <f t="shared" si="44"/>
        <v>0</v>
      </c>
      <c r="P385" s="100">
        <f t="shared" si="45"/>
        <v>0</v>
      </c>
      <c r="Q385" s="100">
        <f t="shared" si="46"/>
        <v>0</v>
      </c>
      <c r="R385" s="37"/>
      <c r="S385" s="37"/>
      <c r="T385" s="37"/>
      <c r="U385" s="37"/>
    </row>
    <row r="386" spans="1:21" ht="14.1" customHeight="1" x14ac:dyDescent="0.25">
      <c r="A386" s="63" t="s">
        <v>77</v>
      </c>
      <c r="B386" s="9">
        <v>62865</v>
      </c>
      <c r="C386" s="15">
        <v>100</v>
      </c>
      <c r="D386" s="15"/>
      <c r="E386" s="9">
        <v>62674</v>
      </c>
      <c r="F386" s="15">
        <v>100</v>
      </c>
      <c r="G386" s="15"/>
      <c r="H386" s="9">
        <v>188</v>
      </c>
      <c r="I386" s="15">
        <v>100</v>
      </c>
      <c r="J386" s="15"/>
      <c r="K386" s="9">
        <v>3</v>
      </c>
      <c r="L386" s="15">
        <v>100</v>
      </c>
      <c r="M386" s="114"/>
      <c r="N386" s="100">
        <f>SUM(N387:N398)</f>
        <v>100</v>
      </c>
      <c r="O386" s="100">
        <f t="shared" ref="O386:Q386" si="49">SUM(O387:O398)</f>
        <v>100</v>
      </c>
      <c r="P386" s="100" t="e">
        <f t="shared" si="49"/>
        <v>#VALUE!</v>
      </c>
      <c r="Q386" s="100" t="e">
        <f t="shared" si="49"/>
        <v>#VALUE!</v>
      </c>
      <c r="R386" s="37"/>
      <c r="S386" s="37"/>
      <c r="T386" s="37"/>
      <c r="U386" s="37"/>
    </row>
    <row r="387" spans="1:21" ht="14.1" customHeight="1" x14ac:dyDescent="0.25">
      <c r="A387" s="61" t="s">
        <v>57</v>
      </c>
      <c r="B387" s="6">
        <v>1318</v>
      </c>
      <c r="C387" s="5">
        <v>2.0965561123041438</v>
      </c>
      <c r="D387" s="5"/>
      <c r="E387" s="6">
        <v>1286</v>
      </c>
      <c r="F387" s="5">
        <v>2.0518875450745124</v>
      </c>
      <c r="G387" s="5"/>
      <c r="H387" s="6">
        <v>32</v>
      </c>
      <c r="I387" s="5">
        <v>17.021276595744681</v>
      </c>
      <c r="J387" s="5"/>
      <c r="K387" s="3" t="s">
        <v>96</v>
      </c>
      <c r="L387" s="16" t="s">
        <v>96</v>
      </c>
      <c r="N387" s="100">
        <f t="shared" si="43"/>
        <v>2.1</v>
      </c>
      <c r="O387" s="100">
        <f t="shared" si="44"/>
        <v>2.1</v>
      </c>
      <c r="P387" s="100">
        <f t="shared" si="45"/>
        <v>17</v>
      </c>
      <c r="Q387" s="100" t="e">
        <f t="shared" si="46"/>
        <v>#VALUE!</v>
      </c>
      <c r="R387" s="37"/>
      <c r="S387" s="37"/>
      <c r="T387" s="37"/>
      <c r="U387" s="37"/>
    </row>
    <row r="388" spans="1:21" ht="14.1" customHeight="1" x14ac:dyDescent="0.25">
      <c r="A388" s="61" t="s">
        <v>29</v>
      </c>
      <c r="B388" s="6">
        <v>213</v>
      </c>
      <c r="C388" s="5">
        <v>0.33882128370317344</v>
      </c>
      <c r="D388" s="5"/>
      <c r="E388" s="6">
        <v>212</v>
      </c>
      <c r="F388" s="5">
        <v>0.33825828892363657</v>
      </c>
      <c r="G388" s="5"/>
      <c r="H388" s="6">
        <v>1</v>
      </c>
      <c r="I388" s="5">
        <v>0.53191489361702127</v>
      </c>
      <c r="J388" s="5"/>
      <c r="K388" s="3" t="s">
        <v>96</v>
      </c>
      <c r="L388" s="16" t="s">
        <v>96</v>
      </c>
      <c r="N388" s="100">
        <f t="shared" si="43"/>
        <v>0.3</v>
      </c>
      <c r="O388" s="100">
        <f t="shared" si="44"/>
        <v>0.3</v>
      </c>
      <c r="P388" s="100">
        <f t="shared" si="45"/>
        <v>0.5</v>
      </c>
      <c r="Q388" s="100" t="e">
        <f t="shared" si="46"/>
        <v>#VALUE!</v>
      </c>
      <c r="R388" s="37"/>
      <c r="S388" s="37"/>
      <c r="T388" s="37"/>
      <c r="U388" s="37"/>
    </row>
    <row r="389" spans="1:21" ht="14.1" customHeight="1" x14ac:dyDescent="0.25">
      <c r="A389" s="61" t="s">
        <v>30</v>
      </c>
      <c r="B389" s="6">
        <v>2625</v>
      </c>
      <c r="C389" s="5">
        <v>4.1756144118348839</v>
      </c>
      <c r="D389" s="5"/>
      <c r="E389" s="6">
        <v>2617</v>
      </c>
      <c r="F389" s="5">
        <v>4.1755751986469667</v>
      </c>
      <c r="G389" s="5"/>
      <c r="H389" s="6">
        <v>7</v>
      </c>
      <c r="I389" s="5">
        <v>3.7234042553191489</v>
      </c>
      <c r="J389" s="5"/>
      <c r="K389" s="3">
        <v>1</v>
      </c>
      <c r="L389" s="16">
        <v>33.333333333333329</v>
      </c>
      <c r="N389" s="100">
        <f>ROUND(C389,1)</f>
        <v>4.2</v>
      </c>
      <c r="O389" s="100">
        <f t="shared" si="44"/>
        <v>4.2</v>
      </c>
      <c r="P389" s="100">
        <f t="shared" si="45"/>
        <v>3.7</v>
      </c>
      <c r="Q389" s="100">
        <f t="shared" si="46"/>
        <v>33.299999999999997</v>
      </c>
      <c r="R389" s="37"/>
      <c r="S389" s="37"/>
      <c r="T389" s="37"/>
      <c r="U389" s="37"/>
    </row>
    <row r="390" spans="1:21" ht="14.1" customHeight="1" x14ac:dyDescent="0.25">
      <c r="A390" s="61" t="s">
        <v>31</v>
      </c>
      <c r="B390" s="6">
        <v>85</v>
      </c>
      <c r="C390" s="5">
        <v>0.13521037143084386</v>
      </c>
      <c r="D390" s="5"/>
      <c r="E390" s="6">
        <v>85</v>
      </c>
      <c r="F390" s="5">
        <v>0.13562242716277884</v>
      </c>
      <c r="G390" s="5"/>
      <c r="H390" s="3" t="s">
        <v>96</v>
      </c>
      <c r="I390" s="16" t="s">
        <v>96</v>
      </c>
      <c r="J390" s="5"/>
      <c r="K390" s="3" t="s">
        <v>96</v>
      </c>
      <c r="L390" s="16" t="s">
        <v>96</v>
      </c>
      <c r="N390" s="100">
        <f t="shared" si="43"/>
        <v>0.1</v>
      </c>
      <c r="O390" s="100">
        <f t="shared" si="44"/>
        <v>0.1</v>
      </c>
      <c r="P390" s="100" t="e">
        <f t="shared" si="45"/>
        <v>#VALUE!</v>
      </c>
      <c r="Q390" s="100" t="e">
        <f t="shared" si="46"/>
        <v>#VALUE!</v>
      </c>
      <c r="R390" s="37"/>
      <c r="S390" s="37"/>
      <c r="T390" s="37"/>
      <c r="U390" s="37"/>
    </row>
    <row r="391" spans="1:21" ht="14.1" customHeight="1" x14ac:dyDescent="0.25">
      <c r="A391" s="61" t="s">
        <v>32</v>
      </c>
      <c r="B391" s="6">
        <v>585</v>
      </c>
      <c r="C391" s="5">
        <v>0.93056549749463124</v>
      </c>
      <c r="D391" s="5"/>
      <c r="E391" s="6">
        <v>584</v>
      </c>
      <c r="F391" s="5">
        <v>0.93180585250662151</v>
      </c>
      <c r="G391" s="5"/>
      <c r="H391" s="3">
        <v>1</v>
      </c>
      <c r="I391" s="16">
        <v>0.53191489361702127</v>
      </c>
      <c r="J391" s="5"/>
      <c r="K391" s="3" t="s">
        <v>96</v>
      </c>
      <c r="L391" s="16" t="s">
        <v>96</v>
      </c>
      <c r="N391" s="100">
        <f t="shared" si="43"/>
        <v>0.9</v>
      </c>
      <c r="O391" s="100">
        <f t="shared" si="44"/>
        <v>0.9</v>
      </c>
      <c r="P391" s="100">
        <f t="shared" si="45"/>
        <v>0.5</v>
      </c>
      <c r="Q391" s="100" t="e">
        <f t="shared" si="46"/>
        <v>#VALUE!</v>
      </c>
      <c r="R391" s="37"/>
      <c r="S391" s="37"/>
      <c r="T391" s="37"/>
      <c r="U391" s="37"/>
    </row>
    <row r="392" spans="1:21" ht="14.1" customHeight="1" x14ac:dyDescent="0.25">
      <c r="A392" s="61" t="s">
        <v>33</v>
      </c>
      <c r="B392" s="6">
        <v>32600</v>
      </c>
      <c r="C392" s="5">
        <v>51.957154219358948</v>
      </c>
      <c r="D392" s="5"/>
      <c r="E392" s="6">
        <v>32484</v>
      </c>
      <c r="F392" s="5">
        <v>51.830104987714201</v>
      </c>
      <c r="G392" s="5"/>
      <c r="H392" s="3">
        <v>114</v>
      </c>
      <c r="I392" s="16">
        <v>60.738297872340404</v>
      </c>
      <c r="J392" s="5"/>
      <c r="K392" s="3">
        <v>2</v>
      </c>
      <c r="L392" s="16">
        <v>66.666666666666657</v>
      </c>
      <c r="N392" s="100">
        <f t="shared" si="43"/>
        <v>52</v>
      </c>
      <c r="O392" s="100">
        <f t="shared" si="44"/>
        <v>51.8</v>
      </c>
      <c r="P392" s="100">
        <f t="shared" si="45"/>
        <v>60.7</v>
      </c>
      <c r="Q392" s="100">
        <f t="shared" si="46"/>
        <v>66.7</v>
      </c>
      <c r="R392" s="37"/>
      <c r="S392" s="37"/>
      <c r="T392" s="37"/>
      <c r="U392" s="37"/>
    </row>
    <row r="393" spans="1:21" ht="14.1" customHeight="1" x14ac:dyDescent="0.25">
      <c r="A393" s="61" t="s">
        <v>34</v>
      </c>
      <c r="B393" s="6">
        <v>3066</v>
      </c>
      <c r="C393" s="5">
        <v>4.8771176330231443</v>
      </c>
      <c r="D393" s="5"/>
      <c r="E393" s="6">
        <v>3044</v>
      </c>
      <c r="F393" s="5">
        <v>4.8568784503941034</v>
      </c>
      <c r="G393" s="5"/>
      <c r="H393" s="3">
        <v>22</v>
      </c>
      <c r="I393" s="16">
        <v>11.702127659574469</v>
      </c>
      <c r="J393" s="5"/>
      <c r="K393" s="3" t="s">
        <v>96</v>
      </c>
      <c r="L393" s="16" t="s">
        <v>96</v>
      </c>
      <c r="N393" s="100">
        <f t="shared" si="43"/>
        <v>4.9000000000000004</v>
      </c>
      <c r="O393" s="100">
        <f t="shared" si="44"/>
        <v>4.9000000000000004</v>
      </c>
      <c r="P393" s="100">
        <f t="shared" si="45"/>
        <v>11.7</v>
      </c>
      <c r="Q393" s="100" t="e">
        <f t="shared" si="46"/>
        <v>#VALUE!</v>
      </c>
      <c r="R393" s="37"/>
      <c r="S393" s="37"/>
      <c r="T393" s="37"/>
      <c r="U393" s="37"/>
    </row>
    <row r="394" spans="1:21" ht="14.1" customHeight="1" x14ac:dyDescent="0.25">
      <c r="A394" s="61" t="s">
        <v>67</v>
      </c>
      <c r="B394" s="6">
        <v>1061</v>
      </c>
      <c r="C394" s="5">
        <v>1.687743577507357</v>
      </c>
      <c r="D394" s="5"/>
      <c r="E394" s="6">
        <v>1061</v>
      </c>
      <c r="F394" s="5">
        <v>1.6928870025848037</v>
      </c>
      <c r="G394" s="5"/>
      <c r="H394" s="3" t="s">
        <v>96</v>
      </c>
      <c r="I394" s="16" t="s">
        <v>96</v>
      </c>
      <c r="J394" s="5"/>
      <c r="K394" s="3" t="s">
        <v>96</v>
      </c>
      <c r="L394" s="16" t="s">
        <v>96</v>
      </c>
      <c r="N394" s="100">
        <f t="shared" si="43"/>
        <v>1.7</v>
      </c>
      <c r="O394" s="100">
        <f t="shared" si="44"/>
        <v>1.7</v>
      </c>
      <c r="P394" s="100" t="e">
        <f t="shared" si="45"/>
        <v>#VALUE!</v>
      </c>
      <c r="Q394" s="100" t="e">
        <f t="shared" si="46"/>
        <v>#VALUE!</v>
      </c>
      <c r="R394" s="37"/>
      <c r="S394" s="37"/>
      <c r="T394" s="37"/>
      <c r="U394" s="37"/>
    </row>
    <row r="395" spans="1:21" ht="14.1" customHeight="1" x14ac:dyDescent="0.25">
      <c r="A395" s="61" t="s">
        <v>70</v>
      </c>
      <c r="B395" s="6">
        <v>9018</v>
      </c>
      <c r="C395" s="5">
        <v>14.345025053686472</v>
      </c>
      <c r="D395" s="5"/>
      <c r="E395" s="6">
        <v>9013</v>
      </c>
      <c r="F395" s="5">
        <v>14.380763953154418</v>
      </c>
      <c r="G395" s="5"/>
      <c r="H395" s="3">
        <v>5</v>
      </c>
      <c r="I395" s="16">
        <v>2.6595744680851063</v>
      </c>
      <c r="J395" s="5"/>
      <c r="K395" s="3" t="s">
        <v>96</v>
      </c>
      <c r="L395" s="16" t="s">
        <v>96</v>
      </c>
      <c r="N395" s="100">
        <f t="shared" si="43"/>
        <v>14.3</v>
      </c>
      <c r="O395" s="100">
        <f t="shared" si="44"/>
        <v>14.4</v>
      </c>
      <c r="P395" s="100">
        <f t="shared" si="45"/>
        <v>2.7</v>
      </c>
      <c r="Q395" s="100" t="e">
        <f t="shared" si="46"/>
        <v>#VALUE!</v>
      </c>
      <c r="R395" s="37"/>
      <c r="S395" s="37"/>
      <c r="T395" s="37"/>
      <c r="U395" s="37"/>
    </row>
    <row r="396" spans="1:21" ht="14.1" customHeight="1" x14ac:dyDescent="0.25">
      <c r="A396" s="61" t="s">
        <v>35</v>
      </c>
      <c r="B396" s="6">
        <v>1131</v>
      </c>
      <c r="C396" s="5">
        <v>1.799093295156287</v>
      </c>
      <c r="D396" s="5"/>
      <c r="E396" s="6">
        <v>1130</v>
      </c>
      <c r="F396" s="5">
        <v>1.8029805022816476</v>
      </c>
      <c r="G396" s="5"/>
      <c r="H396" s="3">
        <v>1</v>
      </c>
      <c r="I396" s="16">
        <v>0.53191489361702127</v>
      </c>
      <c r="J396" s="5"/>
      <c r="K396" s="3" t="s">
        <v>96</v>
      </c>
      <c r="L396" s="16" t="s">
        <v>96</v>
      </c>
      <c r="N396" s="100">
        <f t="shared" si="43"/>
        <v>1.8</v>
      </c>
      <c r="O396" s="100">
        <f t="shared" si="44"/>
        <v>1.8</v>
      </c>
      <c r="P396" s="100">
        <f t="shared" si="45"/>
        <v>0.5</v>
      </c>
      <c r="Q396" s="100" t="e">
        <f t="shared" si="46"/>
        <v>#VALUE!</v>
      </c>
      <c r="R396" s="37"/>
      <c r="S396" s="37"/>
      <c r="T396" s="37"/>
      <c r="U396" s="37"/>
    </row>
    <row r="397" spans="1:21" ht="14.1" customHeight="1" x14ac:dyDescent="0.25">
      <c r="A397" s="61" t="s">
        <v>36</v>
      </c>
      <c r="B397" s="6">
        <v>3908</v>
      </c>
      <c r="C397" s="5">
        <v>6.2164956653145627</v>
      </c>
      <c r="D397" s="5"/>
      <c r="E397" s="6">
        <v>3903</v>
      </c>
      <c r="F397" s="5">
        <v>6.2274627437214791</v>
      </c>
      <c r="G397" s="5"/>
      <c r="H397" s="3">
        <v>5</v>
      </c>
      <c r="I397" s="16">
        <v>2.6595744680851063</v>
      </c>
      <c r="J397" s="5"/>
      <c r="K397" s="3" t="s">
        <v>96</v>
      </c>
      <c r="L397" s="16" t="s">
        <v>96</v>
      </c>
      <c r="N397" s="100">
        <f t="shared" si="43"/>
        <v>6.2</v>
      </c>
      <c r="O397" s="100">
        <f t="shared" si="44"/>
        <v>6.2</v>
      </c>
      <c r="P397" s="100">
        <f t="shared" si="45"/>
        <v>2.7</v>
      </c>
      <c r="Q397" s="100" t="e">
        <f t="shared" si="46"/>
        <v>#VALUE!</v>
      </c>
      <c r="R397" s="37"/>
      <c r="S397" s="37"/>
      <c r="T397" s="37"/>
      <c r="U397" s="37"/>
    </row>
    <row r="398" spans="1:21" ht="14.1" customHeight="1" x14ac:dyDescent="0.25">
      <c r="A398" s="61" t="s">
        <v>37</v>
      </c>
      <c r="B398" s="6">
        <v>7255</v>
      </c>
      <c r="C398" s="5">
        <v>11.540602879185556</v>
      </c>
      <c r="D398" s="5"/>
      <c r="E398" s="6">
        <v>7255</v>
      </c>
      <c r="F398" s="5">
        <v>11.575773047834828</v>
      </c>
      <c r="G398" s="5"/>
      <c r="H398" s="3" t="s">
        <v>96</v>
      </c>
      <c r="I398" s="16" t="s">
        <v>96</v>
      </c>
      <c r="J398" s="5"/>
      <c r="K398" s="3" t="s">
        <v>96</v>
      </c>
      <c r="L398" s="16" t="s">
        <v>96</v>
      </c>
      <c r="N398" s="100">
        <f t="shared" si="43"/>
        <v>11.5</v>
      </c>
      <c r="O398" s="100">
        <f t="shared" si="44"/>
        <v>11.6</v>
      </c>
      <c r="P398" s="100" t="e">
        <f t="shared" si="45"/>
        <v>#VALUE!</v>
      </c>
      <c r="Q398" s="100" t="e">
        <f t="shared" si="46"/>
        <v>#VALUE!</v>
      </c>
      <c r="R398" s="37"/>
      <c r="S398" s="37"/>
      <c r="T398" s="37"/>
      <c r="U398" s="37"/>
    </row>
    <row r="399" spans="1:21" ht="13.5" thickBot="1" x14ac:dyDescent="0.3">
      <c r="A399" s="75"/>
      <c r="B399" s="76"/>
      <c r="C399" s="77"/>
      <c r="D399" s="77"/>
      <c r="E399" s="76"/>
      <c r="F399" s="77"/>
      <c r="G399" s="77"/>
      <c r="H399" s="76"/>
      <c r="I399" s="77"/>
      <c r="J399" s="77"/>
      <c r="K399" s="6"/>
      <c r="L399" s="5"/>
    </row>
    <row r="400" spans="1:21" ht="43.5" customHeight="1" x14ac:dyDescent="0.25">
      <c r="A400" s="175" t="s">
        <v>79</v>
      </c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</row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</sheetData>
  <mergeCells count="9">
    <mergeCell ref="A400:L400"/>
    <mergeCell ref="A1:L1"/>
    <mergeCell ref="A2:L2"/>
    <mergeCell ref="A4:A6"/>
    <mergeCell ref="B4:C5"/>
    <mergeCell ref="E4:L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76" orientation="portrait" r:id="rId1"/>
  <rowBreaks count="8" manualBreakCount="8">
    <brk id="49" max="16383" man="1"/>
    <brk id="91" max="16383" man="1"/>
    <brk id="133" max="16383" man="1"/>
    <brk id="175" max="16383" man="1"/>
    <brk id="217" max="16383" man="1"/>
    <brk id="259" max="16383" man="1"/>
    <brk id="301" max="16383" man="1"/>
    <brk id="3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8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5.42578125" style="1" customWidth="1"/>
    <col min="2" max="2" width="7.140625" style="1" customWidth="1"/>
    <col min="3" max="3" width="5.140625" style="1" customWidth="1"/>
    <col min="4" max="4" width="1" style="1" customWidth="1"/>
    <col min="5" max="5" width="7.140625" style="1" customWidth="1"/>
    <col min="6" max="6" width="5.140625" style="1" customWidth="1"/>
    <col min="7" max="7" width="1.5703125" style="1" customWidth="1"/>
    <col min="8" max="8" width="7.140625" style="1" customWidth="1"/>
    <col min="9" max="9" width="5.140625" style="1" customWidth="1"/>
    <col min="10" max="10" width="1.42578125" style="1" customWidth="1"/>
    <col min="11" max="11" width="7.140625" style="1" customWidth="1"/>
    <col min="12" max="12" width="5.140625" style="1" customWidth="1"/>
    <col min="13" max="13" width="1" style="1" customWidth="1"/>
    <col min="14" max="16384" width="11.42578125" style="1"/>
  </cols>
  <sheetData>
    <row r="1" spans="1:18" ht="13.5" x14ac:dyDescent="0.25">
      <c r="A1" s="163" t="s">
        <v>51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8" ht="28.5" customHeight="1" x14ac:dyDescent="0.25">
      <c r="A2" s="163" t="s">
        <v>92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8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8" ht="15.95" customHeight="1" thickBot="1" x14ac:dyDescent="0.3">
      <c r="A4" s="164" t="s">
        <v>72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22"/>
    </row>
    <row r="5" spans="1:18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</row>
    <row r="6" spans="1:18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</row>
    <row r="7" spans="1:18" ht="6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</row>
    <row r="8" spans="1:18" ht="15.95" customHeight="1" x14ac:dyDescent="0.25">
      <c r="A8" s="78" t="s">
        <v>22</v>
      </c>
      <c r="B8" s="9">
        <v>374852</v>
      </c>
      <c r="C8" s="15">
        <v>100</v>
      </c>
      <c r="D8" s="15"/>
      <c r="E8" s="9">
        <v>328988</v>
      </c>
      <c r="F8" s="15">
        <v>100</v>
      </c>
      <c r="G8" s="15"/>
      <c r="H8" s="9">
        <v>35951</v>
      </c>
      <c r="I8" s="15">
        <v>100</v>
      </c>
      <c r="J8" s="15"/>
      <c r="K8" s="9">
        <v>9913</v>
      </c>
      <c r="L8" s="15">
        <v>100</v>
      </c>
      <c r="M8" s="10"/>
      <c r="O8" s="120"/>
      <c r="P8" s="120"/>
      <c r="Q8" s="120"/>
      <c r="R8" s="120"/>
    </row>
    <row r="9" spans="1:18" ht="15.95" customHeight="1" x14ac:dyDescent="0.25">
      <c r="A9" s="79" t="s">
        <v>21</v>
      </c>
      <c r="B9" s="6">
        <v>1177</v>
      </c>
      <c r="C9" s="5">
        <v>0.31399058828551002</v>
      </c>
      <c r="D9" s="5"/>
      <c r="E9" s="6">
        <v>1091</v>
      </c>
      <c r="F9" s="5">
        <v>0.33162303792235581</v>
      </c>
      <c r="G9" s="5"/>
      <c r="H9" s="6">
        <v>71</v>
      </c>
      <c r="I9" s="5">
        <v>0.19749102945676059</v>
      </c>
      <c r="J9" s="5"/>
      <c r="K9" s="6">
        <v>15</v>
      </c>
      <c r="L9" s="5">
        <v>0.15131645314233833</v>
      </c>
      <c r="O9" s="120"/>
      <c r="P9" s="120"/>
      <c r="Q9" s="120"/>
      <c r="R9" s="120"/>
    </row>
    <row r="10" spans="1:18" ht="15.95" customHeight="1" x14ac:dyDescent="0.25">
      <c r="A10" s="79" t="s">
        <v>56</v>
      </c>
      <c r="B10" s="6">
        <v>7840</v>
      </c>
      <c r="C10" s="5">
        <v>2.0914921088856402</v>
      </c>
      <c r="D10" s="5"/>
      <c r="E10" s="6">
        <v>7313</v>
      </c>
      <c r="F10" s="5">
        <v>2.2228774301798242</v>
      </c>
      <c r="G10" s="5"/>
      <c r="H10" s="6">
        <v>462</v>
      </c>
      <c r="I10" s="5">
        <v>1.2850824733665267</v>
      </c>
      <c r="J10" s="5"/>
      <c r="K10" s="6">
        <v>65</v>
      </c>
      <c r="L10" s="5">
        <v>0.65570463028346615</v>
      </c>
      <c r="O10" s="120"/>
      <c r="P10" s="120"/>
      <c r="Q10" s="120"/>
      <c r="R10" s="120"/>
    </row>
    <row r="11" spans="1:18" ht="15.95" customHeight="1" x14ac:dyDescent="0.25">
      <c r="A11" s="79" t="s">
        <v>49</v>
      </c>
      <c r="B11" s="6">
        <v>2131</v>
      </c>
      <c r="C11" s="5">
        <v>0.56849103112695143</v>
      </c>
      <c r="D11" s="5"/>
      <c r="E11" s="6">
        <v>1999</v>
      </c>
      <c r="F11" s="5">
        <v>0.60762094666066846</v>
      </c>
      <c r="G11" s="5"/>
      <c r="H11" s="6">
        <v>115</v>
      </c>
      <c r="I11" s="5">
        <v>0.31987983644404883</v>
      </c>
      <c r="J11" s="5"/>
      <c r="K11" s="6">
        <v>17</v>
      </c>
      <c r="L11" s="5">
        <v>0.17149198022798345</v>
      </c>
      <c r="O11" s="120"/>
      <c r="P11" s="120"/>
      <c r="Q11" s="120"/>
      <c r="R11" s="120"/>
    </row>
    <row r="12" spans="1:18" ht="15.95" customHeight="1" x14ac:dyDescent="0.25">
      <c r="A12" s="79" t="s">
        <v>20</v>
      </c>
      <c r="B12" s="6">
        <v>13926</v>
      </c>
      <c r="C12" s="5">
        <v>3.7650662127986507</v>
      </c>
      <c r="D12" s="5"/>
      <c r="E12" s="6">
        <v>12626</v>
      </c>
      <c r="F12" s="5">
        <v>3.8378299512444225</v>
      </c>
      <c r="G12" s="5"/>
      <c r="H12" s="6">
        <v>1051</v>
      </c>
      <c r="I12" s="5">
        <v>2.9234235487190898</v>
      </c>
      <c r="J12" s="5"/>
      <c r="K12" s="6">
        <v>249</v>
      </c>
      <c r="L12" s="5">
        <v>2.5118531221628166</v>
      </c>
      <c r="O12" s="120"/>
      <c r="P12" s="120"/>
      <c r="Q12" s="120"/>
      <c r="R12" s="120"/>
    </row>
    <row r="13" spans="1:18" ht="15.95" customHeight="1" x14ac:dyDescent="0.25">
      <c r="A13" s="79" t="s">
        <v>19</v>
      </c>
      <c r="B13" s="6">
        <v>3552</v>
      </c>
      <c r="C13" s="5">
        <v>0.94757397586247383</v>
      </c>
      <c r="D13" s="5"/>
      <c r="E13" s="6">
        <v>3322</v>
      </c>
      <c r="F13" s="5">
        <v>1.0097632740403906</v>
      </c>
      <c r="G13" s="5"/>
      <c r="H13" s="6">
        <v>195</v>
      </c>
      <c r="I13" s="5">
        <v>0.54240494005730022</v>
      </c>
      <c r="J13" s="5"/>
      <c r="K13" s="6">
        <v>35</v>
      </c>
      <c r="L13" s="5">
        <v>0.35307172399878944</v>
      </c>
      <c r="O13" s="120"/>
      <c r="P13" s="120"/>
      <c r="Q13" s="120"/>
      <c r="R13" s="120"/>
    </row>
    <row r="14" spans="1:18" ht="15.95" customHeight="1" x14ac:dyDescent="0.25">
      <c r="A14" s="79" t="s">
        <v>18</v>
      </c>
      <c r="B14" s="6">
        <v>4678</v>
      </c>
      <c r="C14" s="5">
        <v>1.2479591945621205</v>
      </c>
      <c r="D14" s="5"/>
      <c r="E14" s="6">
        <v>4309</v>
      </c>
      <c r="F14" s="5">
        <v>1.3097742166887547</v>
      </c>
      <c r="G14" s="5"/>
      <c r="H14" s="6">
        <v>277</v>
      </c>
      <c r="I14" s="5">
        <v>0.7704931712608829</v>
      </c>
      <c r="J14" s="5"/>
      <c r="K14" s="6">
        <v>92</v>
      </c>
      <c r="L14" s="5">
        <v>0.92807424593967514</v>
      </c>
      <c r="O14" s="120"/>
      <c r="P14" s="120"/>
      <c r="Q14" s="120"/>
      <c r="R14" s="120"/>
    </row>
    <row r="15" spans="1:18" ht="15.95" customHeight="1" x14ac:dyDescent="0.25">
      <c r="A15" s="79" t="s">
        <v>55</v>
      </c>
      <c r="B15" s="6">
        <v>13486</v>
      </c>
      <c r="C15" s="5">
        <v>3.697686553626498</v>
      </c>
      <c r="D15" s="5"/>
      <c r="E15" s="6">
        <v>11763</v>
      </c>
      <c r="F15" s="5">
        <v>3.5755103529612025</v>
      </c>
      <c r="G15" s="5"/>
      <c r="H15" s="6">
        <v>1302</v>
      </c>
      <c r="I15" s="5">
        <v>3.6215960613056661</v>
      </c>
      <c r="J15" s="5"/>
      <c r="K15" s="6">
        <v>421</v>
      </c>
      <c r="L15" s="5">
        <v>4.2469484515282963</v>
      </c>
      <c r="O15" s="120"/>
      <c r="P15" s="120"/>
      <c r="Q15" s="120"/>
      <c r="R15" s="120"/>
    </row>
    <row r="16" spans="1:18" ht="15.95" customHeight="1" x14ac:dyDescent="0.25">
      <c r="A16" s="79" t="s">
        <v>17</v>
      </c>
      <c r="B16" s="6">
        <v>6449</v>
      </c>
      <c r="C16" s="5">
        <v>1.7204123227300374</v>
      </c>
      <c r="D16" s="5"/>
      <c r="E16" s="6">
        <v>5994</v>
      </c>
      <c r="F16" s="5">
        <v>1.8219509526183324</v>
      </c>
      <c r="G16" s="5"/>
      <c r="H16" s="6">
        <v>389</v>
      </c>
      <c r="I16" s="5">
        <v>1.0820283163194349</v>
      </c>
      <c r="J16" s="5"/>
      <c r="K16" s="6">
        <v>66</v>
      </c>
      <c r="L16" s="5">
        <v>0.66579239382628874</v>
      </c>
      <c r="O16" s="120"/>
      <c r="P16" s="120"/>
      <c r="Q16" s="120"/>
      <c r="R16" s="120"/>
    </row>
    <row r="17" spans="1:18" ht="15.95" customHeight="1" x14ac:dyDescent="0.25">
      <c r="A17" s="79" t="s">
        <v>16</v>
      </c>
      <c r="B17" s="6">
        <v>1286</v>
      </c>
      <c r="C17" s="5">
        <v>0.34306873112588432</v>
      </c>
      <c r="D17" s="5"/>
      <c r="E17" s="6">
        <v>1240</v>
      </c>
      <c r="F17" s="5">
        <v>0.37691344365144019</v>
      </c>
      <c r="G17" s="5"/>
      <c r="H17" s="6">
        <v>42</v>
      </c>
      <c r="I17" s="5">
        <v>0.11682567939695697</v>
      </c>
      <c r="J17" s="5"/>
      <c r="K17" s="6">
        <v>4</v>
      </c>
      <c r="L17" s="5">
        <v>0.14035105417129023</v>
      </c>
      <c r="O17" s="120"/>
      <c r="P17" s="120"/>
      <c r="Q17" s="120"/>
      <c r="R17" s="120"/>
    </row>
    <row r="18" spans="1:18" ht="15.95" customHeight="1" x14ac:dyDescent="0.25">
      <c r="A18" s="79" t="s">
        <v>15</v>
      </c>
      <c r="B18" s="6">
        <v>2417</v>
      </c>
      <c r="C18" s="5">
        <v>0.64478780958885107</v>
      </c>
      <c r="D18" s="5"/>
      <c r="E18" s="6">
        <v>2234</v>
      </c>
      <c r="F18" s="5">
        <v>0.67905212348170751</v>
      </c>
      <c r="G18" s="5"/>
      <c r="H18" s="6">
        <v>160</v>
      </c>
      <c r="I18" s="5">
        <v>0.44505020722650274</v>
      </c>
      <c r="J18" s="5"/>
      <c r="K18" s="6">
        <v>23</v>
      </c>
      <c r="L18" s="5">
        <v>0.23201856148491878</v>
      </c>
      <c r="O18" s="120"/>
      <c r="P18" s="120"/>
      <c r="Q18" s="120"/>
      <c r="R18" s="120"/>
    </row>
    <row r="19" spans="1:18" ht="15.95" customHeight="1" x14ac:dyDescent="0.25">
      <c r="A19" s="79" t="s">
        <v>14</v>
      </c>
      <c r="B19" s="6">
        <v>6043</v>
      </c>
      <c r="C19" s="5">
        <v>1.6121029099484596</v>
      </c>
      <c r="D19" s="5"/>
      <c r="E19" s="6">
        <v>5388</v>
      </c>
      <c r="F19" s="5">
        <v>1.6377497051564192</v>
      </c>
      <c r="G19" s="5"/>
      <c r="H19" s="6">
        <v>507</v>
      </c>
      <c r="I19" s="5">
        <v>1.4102528441489806</v>
      </c>
      <c r="J19" s="5"/>
      <c r="K19" s="6">
        <v>148</v>
      </c>
      <c r="L19" s="5">
        <v>1.4929890043377383</v>
      </c>
      <c r="O19" s="120"/>
      <c r="P19" s="120"/>
      <c r="Q19" s="120"/>
      <c r="R19" s="120"/>
    </row>
    <row r="20" spans="1:18" ht="15.95" customHeight="1" x14ac:dyDescent="0.25">
      <c r="A20" s="79" t="s">
        <v>13</v>
      </c>
      <c r="B20" s="6">
        <v>9508</v>
      </c>
      <c r="C20" s="5">
        <v>2.5364677259291666</v>
      </c>
      <c r="D20" s="5"/>
      <c r="E20" s="6">
        <v>8961</v>
      </c>
      <c r="F20" s="5">
        <v>2.7238075552907706</v>
      </c>
      <c r="G20" s="5"/>
      <c r="H20" s="6">
        <v>453</v>
      </c>
      <c r="I20" s="5">
        <v>1.260048399210036</v>
      </c>
      <c r="J20" s="5"/>
      <c r="K20" s="6">
        <v>94</v>
      </c>
      <c r="L20" s="5">
        <v>0.94824977302532032</v>
      </c>
      <c r="O20" s="120"/>
      <c r="P20" s="120"/>
      <c r="Q20" s="120"/>
      <c r="R20" s="120"/>
    </row>
    <row r="21" spans="1:18" ht="15.95" customHeight="1" x14ac:dyDescent="0.25">
      <c r="A21" s="79" t="s">
        <v>12</v>
      </c>
      <c r="B21" s="6">
        <v>19411</v>
      </c>
      <c r="C21" s="5">
        <v>5.2783103731606067</v>
      </c>
      <c r="D21" s="5"/>
      <c r="E21" s="6">
        <v>17380</v>
      </c>
      <c r="F21" s="5">
        <v>5.3828674602113145</v>
      </c>
      <c r="G21" s="5"/>
      <c r="H21" s="6">
        <v>1708</v>
      </c>
      <c r="I21" s="5">
        <v>4.7509109621429166</v>
      </c>
      <c r="J21" s="5"/>
      <c r="K21" s="6">
        <v>323</v>
      </c>
      <c r="L21" s="5">
        <v>3.258347624331686</v>
      </c>
      <c r="O21" s="120"/>
      <c r="P21" s="120"/>
      <c r="Q21" s="120"/>
      <c r="R21" s="120"/>
    </row>
    <row r="22" spans="1:18" ht="15.95" customHeight="1" x14ac:dyDescent="0.25">
      <c r="A22" s="79" t="s">
        <v>11</v>
      </c>
      <c r="B22" s="6">
        <v>7831</v>
      </c>
      <c r="C22" s="5">
        <v>2.0890911613116643</v>
      </c>
      <c r="D22" s="5"/>
      <c r="E22" s="6">
        <v>7040</v>
      </c>
      <c r="F22" s="5">
        <v>2.1398956800855959</v>
      </c>
      <c r="G22" s="5"/>
      <c r="H22" s="6">
        <v>640</v>
      </c>
      <c r="I22" s="5">
        <v>1.7802008289060109</v>
      </c>
      <c r="J22" s="5"/>
      <c r="K22" s="6">
        <v>151</v>
      </c>
      <c r="L22" s="5">
        <v>1.523252294966206</v>
      </c>
      <c r="O22" s="120"/>
      <c r="P22" s="120"/>
      <c r="Q22" s="120"/>
      <c r="R22" s="120"/>
    </row>
    <row r="23" spans="1:18" ht="15.95" customHeight="1" x14ac:dyDescent="0.25">
      <c r="A23" s="79" t="s">
        <v>71</v>
      </c>
      <c r="B23" s="6">
        <v>244149</v>
      </c>
      <c r="C23" s="98">
        <v>65.132105470959203</v>
      </c>
      <c r="D23" s="6">
        <v>0</v>
      </c>
      <c r="E23" s="6">
        <v>210736</v>
      </c>
      <c r="F23" s="98">
        <v>64.055831823653136</v>
      </c>
      <c r="G23" s="5"/>
      <c r="H23" s="6">
        <v>25865</v>
      </c>
      <c r="I23" s="5">
        <v>71.945147561959331</v>
      </c>
      <c r="J23" s="6"/>
      <c r="K23" s="6">
        <v>7548</v>
      </c>
      <c r="L23" s="98">
        <v>76.142439221224663</v>
      </c>
      <c r="O23" s="120"/>
      <c r="P23" s="120"/>
      <c r="Q23" s="120"/>
      <c r="R23" s="120"/>
    </row>
    <row r="24" spans="1:18" ht="15.95" customHeight="1" x14ac:dyDescent="0.25">
      <c r="A24" s="79" t="s">
        <v>10</v>
      </c>
      <c r="B24" s="6">
        <v>2621</v>
      </c>
      <c r="C24" s="5">
        <v>0.69920928793230397</v>
      </c>
      <c r="D24" s="5"/>
      <c r="E24" s="6">
        <v>2227</v>
      </c>
      <c r="F24" s="98">
        <v>0.67692438629980423</v>
      </c>
      <c r="G24" s="5"/>
      <c r="H24" s="6">
        <v>304</v>
      </c>
      <c r="I24" s="5">
        <v>0.8455953937303553</v>
      </c>
      <c r="J24" s="5"/>
      <c r="K24" s="6">
        <v>90</v>
      </c>
      <c r="L24" s="5">
        <v>0.90789871885402995</v>
      </c>
      <c r="O24" s="120"/>
      <c r="P24" s="120"/>
      <c r="Q24" s="120"/>
      <c r="R24" s="120"/>
    </row>
    <row r="25" spans="1:18" ht="15.95" customHeight="1" x14ac:dyDescent="0.25">
      <c r="A25" s="79" t="s">
        <v>9</v>
      </c>
      <c r="B25" s="6">
        <v>1104</v>
      </c>
      <c r="C25" s="5">
        <v>0.29451623574103913</v>
      </c>
      <c r="D25" s="5"/>
      <c r="E25" s="6">
        <v>949</v>
      </c>
      <c r="F25" s="98">
        <v>0.28846036937517477</v>
      </c>
      <c r="G25" s="5"/>
      <c r="H25" s="6">
        <v>128</v>
      </c>
      <c r="I25" s="5">
        <v>0.35604016578120218</v>
      </c>
      <c r="J25" s="5"/>
      <c r="K25" s="6">
        <v>27</v>
      </c>
      <c r="L25" s="5">
        <v>0.27236961565620904</v>
      </c>
      <c r="O25" s="120"/>
      <c r="P25" s="120"/>
      <c r="Q25" s="120"/>
      <c r="R25" s="120"/>
    </row>
    <row r="26" spans="1:18" ht="15.95" customHeight="1" x14ac:dyDescent="0.25">
      <c r="A26" s="79" t="s">
        <v>8</v>
      </c>
      <c r="B26" s="6">
        <v>1025</v>
      </c>
      <c r="C26" s="5">
        <v>0.27344125148058435</v>
      </c>
      <c r="D26" s="5"/>
      <c r="E26" s="6">
        <v>936</v>
      </c>
      <c r="F26" s="98">
        <v>0.2845088574659258</v>
      </c>
      <c r="G26" s="5"/>
      <c r="H26" s="6">
        <v>77</v>
      </c>
      <c r="I26" s="5">
        <v>0.21418041222775447</v>
      </c>
      <c r="J26" s="5"/>
      <c r="K26" s="6">
        <v>12</v>
      </c>
      <c r="L26" s="5">
        <v>0.12105316251387067</v>
      </c>
      <c r="O26" s="120"/>
      <c r="P26" s="120"/>
      <c r="Q26" s="120"/>
      <c r="R26" s="120"/>
    </row>
    <row r="27" spans="1:18" ht="15.95" customHeight="1" x14ac:dyDescent="0.25">
      <c r="A27" s="79" t="s">
        <v>7</v>
      </c>
      <c r="B27" s="6">
        <v>1913</v>
      </c>
      <c r="C27" s="5">
        <v>0.51033474544620272</v>
      </c>
      <c r="D27" s="5"/>
      <c r="E27" s="6">
        <v>1786</v>
      </c>
      <c r="F27" s="98">
        <v>0.54287694383989693</v>
      </c>
      <c r="G27" s="5"/>
      <c r="H27" s="6">
        <v>116</v>
      </c>
      <c r="I27" s="5">
        <v>0.32266140023921447</v>
      </c>
      <c r="J27" s="5"/>
      <c r="K27" s="6">
        <v>11</v>
      </c>
      <c r="L27" s="5">
        <v>0.11096539897104812</v>
      </c>
      <c r="O27" s="120"/>
      <c r="P27" s="120"/>
      <c r="Q27" s="120"/>
      <c r="R27" s="120"/>
    </row>
    <row r="28" spans="1:18" ht="15.95" customHeight="1" x14ac:dyDescent="0.25">
      <c r="A28" s="79" t="s">
        <v>6</v>
      </c>
      <c r="B28" s="6">
        <v>6848</v>
      </c>
      <c r="C28" s="5">
        <v>1.8268543318429673</v>
      </c>
      <c r="D28" s="5"/>
      <c r="E28" s="6">
        <v>5976</v>
      </c>
      <c r="F28" s="98">
        <v>1.8164796284362956</v>
      </c>
      <c r="G28" s="5"/>
      <c r="H28" s="6">
        <v>667</v>
      </c>
      <c r="I28" s="5">
        <v>1.8553030513754831</v>
      </c>
      <c r="J28" s="5"/>
      <c r="K28" s="6">
        <v>205</v>
      </c>
      <c r="L28" s="5">
        <v>2.0679915262786239</v>
      </c>
      <c r="O28" s="120"/>
      <c r="P28" s="120"/>
      <c r="Q28" s="120"/>
      <c r="R28" s="120"/>
    </row>
    <row r="29" spans="1:18" ht="15.95" customHeight="1" x14ac:dyDescent="0.25">
      <c r="A29" s="79" t="s">
        <v>5</v>
      </c>
      <c r="B29" s="6">
        <v>5232</v>
      </c>
      <c r="C29" s="5">
        <v>1.3957508563379679</v>
      </c>
      <c r="D29" s="5"/>
      <c r="E29" s="6">
        <v>4885</v>
      </c>
      <c r="F29" s="5">
        <v>1.4848565905139397</v>
      </c>
      <c r="G29" s="5"/>
      <c r="H29" s="6">
        <v>288</v>
      </c>
      <c r="I29" s="5">
        <v>0.80109037300770491</v>
      </c>
      <c r="J29" s="5"/>
      <c r="K29" s="6">
        <v>59</v>
      </c>
      <c r="L29" s="5">
        <v>0.59517804902653082</v>
      </c>
      <c r="O29" s="120"/>
      <c r="P29" s="120"/>
      <c r="Q29" s="120"/>
      <c r="R29" s="120"/>
    </row>
    <row r="30" spans="1:18" ht="15.95" customHeight="1" x14ac:dyDescent="0.25">
      <c r="A30" s="79" t="s">
        <v>4</v>
      </c>
      <c r="B30" s="6">
        <v>6120</v>
      </c>
      <c r="C30" s="5">
        <v>1.6326443503035866</v>
      </c>
      <c r="D30" s="5"/>
      <c r="E30" s="6">
        <v>5488</v>
      </c>
      <c r="F30" s="5">
        <v>1.6681459506121803</v>
      </c>
      <c r="G30" s="5"/>
      <c r="H30" s="6">
        <v>532</v>
      </c>
      <c r="I30" s="5">
        <v>1.4797919390281216</v>
      </c>
      <c r="J30" s="5"/>
      <c r="K30" s="6">
        <v>100</v>
      </c>
      <c r="L30" s="5">
        <v>1.0087763542822556</v>
      </c>
      <c r="O30" s="120"/>
      <c r="P30" s="120"/>
      <c r="Q30" s="120"/>
      <c r="R30" s="120"/>
    </row>
    <row r="31" spans="1:18" ht="15.95" customHeight="1" x14ac:dyDescent="0.25">
      <c r="A31" s="79" t="s">
        <v>3</v>
      </c>
      <c r="B31" s="6">
        <v>2709</v>
      </c>
      <c r="C31" s="5">
        <v>0.72268521976673461</v>
      </c>
      <c r="D31" s="5"/>
      <c r="E31" s="6">
        <v>2427</v>
      </c>
      <c r="F31" s="5">
        <v>0.73771687721132684</v>
      </c>
      <c r="G31" s="5"/>
      <c r="H31" s="6">
        <v>230</v>
      </c>
      <c r="I31" s="5">
        <v>0.63975967288809765</v>
      </c>
      <c r="J31" s="5"/>
      <c r="K31" s="6">
        <v>52</v>
      </c>
      <c r="L31" s="5">
        <v>0.5245637042267729</v>
      </c>
      <c r="O31" s="120"/>
      <c r="P31" s="120"/>
      <c r="Q31" s="120"/>
      <c r="R31" s="120"/>
    </row>
    <row r="32" spans="1:18" ht="15.95" customHeight="1" x14ac:dyDescent="0.25">
      <c r="A32" s="79" t="s">
        <v>2</v>
      </c>
      <c r="B32" s="6">
        <v>663</v>
      </c>
      <c r="C32" s="5">
        <v>0.17686980461622187</v>
      </c>
      <c r="D32" s="5"/>
      <c r="E32" s="6">
        <v>591</v>
      </c>
      <c r="F32" s="5">
        <v>0.17964181064354931</v>
      </c>
      <c r="G32" s="5"/>
      <c r="H32" s="6">
        <v>59</v>
      </c>
      <c r="I32" s="5">
        <v>0.1641122639147729</v>
      </c>
      <c r="J32" s="5"/>
      <c r="K32" s="6">
        <v>13</v>
      </c>
      <c r="L32" s="5">
        <v>0.13114092605669322</v>
      </c>
      <c r="O32" s="120"/>
      <c r="P32" s="120"/>
      <c r="Q32" s="120"/>
      <c r="R32" s="120"/>
    </row>
    <row r="33" spans="1:18" ht="15.95" customHeight="1" x14ac:dyDescent="0.25">
      <c r="A33" s="79" t="s">
        <v>1</v>
      </c>
      <c r="B33" s="6">
        <v>2733</v>
      </c>
      <c r="C33" s="5">
        <v>0.72908774663067022</v>
      </c>
      <c r="D33" s="5"/>
      <c r="E33" s="6">
        <v>2327</v>
      </c>
      <c r="F33" s="5">
        <v>0.70732063175556559</v>
      </c>
      <c r="G33" s="5"/>
      <c r="H33" s="6">
        <v>313</v>
      </c>
      <c r="I33" s="5">
        <v>0.87062946788684592</v>
      </c>
      <c r="J33" s="5"/>
      <c r="K33" s="6">
        <v>93</v>
      </c>
      <c r="L33" s="5">
        <v>0.93816200948249784</v>
      </c>
      <c r="O33" s="120"/>
      <c r="P33" s="120"/>
      <c r="Q33" s="120"/>
      <c r="R33" s="120"/>
    </row>
    <row r="34" spans="1:18" ht="9.75" customHeight="1" x14ac:dyDescent="0.25">
      <c r="A34" s="79"/>
      <c r="B34" s="6"/>
      <c r="C34" s="98"/>
      <c r="D34" s="98"/>
      <c r="E34" s="97"/>
      <c r="F34" s="98"/>
      <c r="G34" s="5"/>
      <c r="H34" s="6"/>
      <c r="I34" s="5"/>
      <c r="J34" s="5"/>
      <c r="K34" s="6"/>
      <c r="L34" s="5"/>
      <c r="O34" s="120"/>
      <c r="P34" s="120"/>
      <c r="Q34" s="120"/>
      <c r="R34" s="120"/>
    </row>
    <row r="35" spans="1:18" ht="17.25" customHeight="1" x14ac:dyDescent="0.25">
      <c r="A35" s="79" t="s">
        <v>76</v>
      </c>
      <c r="B35" s="6">
        <v>238118</v>
      </c>
      <c r="C35" s="98">
        <v>63.52320382444271</v>
      </c>
      <c r="D35" s="98"/>
      <c r="E35" s="97">
        <v>205241</v>
      </c>
      <c r="F35" s="98">
        <v>62.385558135859057</v>
      </c>
      <c r="G35" s="5"/>
      <c r="H35" s="6">
        <v>25420</v>
      </c>
      <c r="I35" s="5">
        <v>70.707351673110622</v>
      </c>
      <c r="J35" s="5"/>
      <c r="K35" s="6">
        <v>7457</v>
      </c>
      <c r="L35" s="98">
        <v>75.224452738827807</v>
      </c>
      <c r="O35" s="120"/>
      <c r="P35" s="120"/>
      <c r="Q35" s="120"/>
      <c r="R35" s="120"/>
    </row>
    <row r="36" spans="1:18" ht="15.95" customHeight="1" x14ac:dyDescent="0.25">
      <c r="A36" s="79" t="s">
        <v>77</v>
      </c>
      <c r="B36" s="6">
        <v>6031</v>
      </c>
      <c r="C36" s="98">
        <v>1.6089016465164918</v>
      </c>
      <c r="D36" s="98"/>
      <c r="E36" s="97">
        <v>5495</v>
      </c>
      <c r="F36" s="98">
        <v>1.6702736877940838</v>
      </c>
      <c r="G36" s="5"/>
      <c r="H36" s="6">
        <v>445</v>
      </c>
      <c r="I36" s="5">
        <v>1.2377958888487108</v>
      </c>
      <c r="J36" s="5"/>
      <c r="K36" s="6">
        <v>91</v>
      </c>
      <c r="L36" s="98">
        <v>0.91798648239685265</v>
      </c>
      <c r="M36" s="6" t="e">
        <f>+#REF!</f>
        <v>#REF!</v>
      </c>
      <c r="O36" s="120"/>
      <c r="P36" s="120"/>
      <c r="Q36" s="120"/>
      <c r="R36" s="120"/>
    </row>
    <row r="37" spans="1:18" ht="15.95" customHeight="1" thickBot="1" x14ac:dyDescent="0.3">
      <c r="A37" s="52"/>
      <c r="B37" s="53"/>
      <c r="C37" s="54"/>
      <c r="D37" s="54"/>
      <c r="E37" s="53"/>
      <c r="F37" s="54"/>
      <c r="G37" s="54"/>
      <c r="H37" s="55"/>
      <c r="I37" s="56"/>
      <c r="J37" s="56"/>
      <c r="K37" s="55"/>
      <c r="L37" s="56"/>
      <c r="O37" s="37"/>
      <c r="P37" s="37"/>
      <c r="Q37" s="37"/>
      <c r="R37" s="37"/>
    </row>
    <row r="38" spans="1:18" ht="6.75" customHeight="1" x14ac:dyDescent="0.25">
      <c r="A38" s="4"/>
      <c r="B38" s="3"/>
      <c r="C38" s="2"/>
      <c r="D38" s="2"/>
      <c r="E38" s="3"/>
      <c r="F38" s="2"/>
      <c r="G38" s="2"/>
      <c r="H38" s="3"/>
      <c r="I38" s="2"/>
      <c r="J38" s="2"/>
      <c r="K38" s="3"/>
      <c r="L38" s="2"/>
    </row>
    <row r="39" spans="1:18" ht="62.25" customHeight="1" x14ac:dyDescent="0.25">
      <c r="A39" s="184" t="s">
        <v>79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</row>
    <row r="40" spans="1:18" ht="18" customHeight="1" x14ac:dyDescent="0.25"/>
    <row r="41" spans="1:18" ht="18" customHeight="1" x14ac:dyDescent="0.25"/>
    <row r="42" spans="1:18" ht="18" customHeight="1" x14ac:dyDescent="0.25"/>
    <row r="48" spans="1:18" x14ac:dyDescent="0.25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</row>
  </sheetData>
  <mergeCells count="10">
    <mergeCell ref="A39:M39"/>
    <mergeCell ref="A48:M48"/>
    <mergeCell ref="A1:M1"/>
    <mergeCell ref="A2:M2"/>
    <mergeCell ref="A4:A6"/>
    <mergeCell ref="B4:C5"/>
    <mergeCell ref="E4:L4"/>
    <mergeCell ref="E5:F5"/>
    <mergeCell ref="H5:I5"/>
    <mergeCell ref="K5:L5"/>
  </mergeCells>
  <printOptions horizontalCentered="1"/>
  <pageMargins left="0.9055118110236221" right="0.70866141732283472" top="0.94488188976377963" bottom="0.9448818897637796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99"/>
  <sheetViews>
    <sheetView showGridLines="0" view="pageBreakPreview" zoomScale="120" zoomScaleNormal="100" zoomScaleSheetLayoutView="120" workbookViewId="0">
      <selection activeCell="A12" sqref="A12"/>
    </sheetView>
  </sheetViews>
  <sheetFormatPr baseColWidth="10" defaultRowHeight="12.75" x14ac:dyDescent="0.25"/>
  <cols>
    <col min="1" max="1" width="41.5703125" style="1" customWidth="1"/>
    <col min="2" max="2" width="7.5703125" style="1" customWidth="1"/>
    <col min="3" max="3" width="4.5703125" style="1" customWidth="1"/>
    <col min="4" max="4" width="1.140625" style="1" customWidth="1"/>
    <col min="5" max="5" width="7.5703125" style="1" customWidth="1"/>
    <col min="6" max="6" width="4.5703125" style="1" customWidth="1"/>
    <col min="7" max="7" width="1.5703125" style="1" customWidth="1"/>
    <col min="8" max="8" width="7.5703125" style="1" customWidth="1"/>
    <col min="9" max="9" width="6.5703125" style="1" customWidth="1"/>
    <col min="10" max="10" width="2" style="1" customWidth="1"/>
    <col min="11" max="11" width="7.5703125" style="1" customWidth="1"/>
    <col min="12" max="12" width="6.5703125" style="1" customWidth="1"/>
    <col min="13" max="13" width="11.42578125" style="1"/>
    <col min="14" max="17" width="0" style="1" hidden="1" customWidth="1"/>
    <col min="18" max="16384" width="11.42578125" style="1"/>
  </cols>
  <sheetData>
    <row r="1" spans="1:21" ht="13.5" x14ac:dyDescent="0.25">
      <c r="A1" s="163" t="s">
        <v>52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21" ht="26.25" customHeight="1" x14ac:dyDescent="0.25">
      <c r="A2" s="163" t="s">
        <v>93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21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21" ht="15.95" customHeight="1" thickBot="1" x14ac:dyDescent="0.3">
      <c r="A4" s="164" t="s">
        <v>74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</row>
    <row r="5" spans="1:21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79" t="s">
        <v>65</v>
      </c>
      <c r="L5" s="179"/>
    </row>
    <row r="6" spans="1:21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</row>
    <row r="7" spans="1:21" ht="12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</row>
    <row r="8" spans="1:21" ht="14.1" customHeight="1" x14ac:dyDescent="0.25">
      <c r="A8" s="46" t="s">
        <v>26</v>
      </c>
      <c r="B8" s="9">
        <v>374852</v>
      </c>
      <c r="C8" s="15">
        <v>100</v>
      </c>
      <c r="D8" s="9"/>
      <c r="E8" s="9">
        <v>328988</v>
      </c>
      <c r="F8" s="15">
        <v>100</v>
      </c>
      <c r="G8" s="15"/>
      <c r="H8" s="9">
        <v>35951</v>
      </c>
      <c r="I8" s="15">
        <v>100</v>
      </c>
      <c r="J8" s="15"/>
      <c r="K8" s="9">
        <v>9913</v>
      </c>
      <c r="L8" s="15">
        <v>100</v>
      </c>
      <c r="R8" s="37"/>
      <c r="S8" s="37"/>
      <c r="T8" s="37"/>
      <c r="U8" s="37"/>
    </row>
    <row r="9" spans="1:21" ht="14.1" customHeight="1" x14ac:dyDescent="0.25">
      <c r="A9" s="61" t="s">
        <v>57</v>
      </c>
      <c r="B9" s="6">
        <v>7435</v>
      </c>
      <c r="C9" s="5">
        <v>1.9834494680567263</v>
      </c>
      <c r="D9" s="5"/>
      <c r="E9" s="6">
        <v>5874</v>
      </c>
      <c r="F9" s="5">
        <v>1.7854754580714189</v>
      </c>
      <c r="G9" s="5"/>
      <c r="H9" s="6">
        <v>1079</v>
      </c>
      <c r="I9" s="5">
        <v>3.001307334983728</v>
      </c>
      <c r="J9" s="5"/>
      <c r="K9" s="6">
        <v>482</v>
      </c>
      <c r="L9" s="5">
        <v>4.8623020276404718</v>
      </c>
      <c r="R9" s="37"/>
      <c r="S9" s="37"/>
      <c r="T9" s="37"/>
      <c r="U9" s="37"/>
    </row>
    <row r="10" spans="1:21" ht="14.1" customHeight="1" x14ac:dyDescent="0.25">
      <c r="A10" s="61" t="s">
        <v>29</v>
      </c>
      <c r="B10" s="6">
        <v>5213</v>
      </c>
      <c r="C10" s="5">
        <v>1.3906821892373524</v>
      </c>
      <c r="D10" s="5"/>
      <c r="E10" s="6">
        <v>4590</v>
      </c>
      <c r="F10" s="5">
        <v>1.395187666419444</v>
      </c>
      <c r="G10" s="5"/>
      <c r="H10" s="6">
        <v>392</v>
      </c>
      <c r="I10" s="5">
        <v>1.0903730077049316</v>
      </c>
      <c r="J10" s="5"/>
      <c r="K10" s="6">
        <v>231</v>
      </c>
      <c r="L10" s="5">
        <v>2.3302733783920107</v>
      </c>
      <c r="R10" s="37"/>
      <c r="S10" s="37"/>
      <c r="T10" s="37"/>
      <c r="U10" s="37"/>
    </row>
    <row r="11" spans="1:21" ht="14.1" customHeight="1" x14ac:dyDescent="0.25">
      <c r="A11" s="61" t="s">
        <v>30</v>
      </c>
      <c r="B11" s="6">
        <v>37526</v>
      </c>
      <c r="C11" s="5">
        <v>10.01088429566869</v>
      </c>
      <c r="D11" s="5"/>
      <c r="E11" s="6">
        <v>31502</v>
      </c>
      <c r="F11" s="5">
        <v>9.5754252434739264</v>
      </c>
      <c r="G11" s="5"/>
      <c r="H11" s="6">
        <v>4442</v>
      </c>
      <c r="I11" s="5">
        <v>12.355706378125781</v>
      </c>
      <c r="J11" s="5"/>
      <c r="K11" s="6">
        <v>1582</v>
      </c>
      <c r="L11" s="5">
        <v>15.958841924745284</v>
      </c>
      <c r="R11" s="37"/>
      <c r="S11" s="37"/>
      <c r="T11" s="37"/>
      <c r="U11" s="37"/>
    </row>
    <row r="12" spans="1:21" ht="14.1" customHeight="1" x14ac:dyDescent="0.25">
      <c r="A12" s="61" t="s">
        <v>31</v>
      </c>
      <c r="B12" s="6">
        <v>1988</v>
      </c>
      <c r="C12" s="5">
        <v>0.53034264189600155</v>
      </c>
      <c r="D12" s="5"/>
      <c r="E12" s="6">
        <v>1634</v>
      </c>
      <c r="F12" s="5">
        <v>0.49667465074713973</v>
      </c>
      <c r="G12" s="5"/>
      <c r="H12" s="6">
        <v>222</v>
      </c>
      <c r="I12" s="5">
        <v>0.61750716252677251</v>
      </c>
      <c r="J12" s="5"/>
      <c r="K12" s="6">
        <v>132</v>
      </c>
      <c r="L12" s="5">
        <v>1.3315847876525775</v>
      </c>
      <c r="R12" s="37"/>
      <c r="S12" s="37"/>
      <c r="T12" s="37"/>
      <c r="U12" s="37"/>
    </row>
    <row r="13" spans="1:21" ht="14.1" customHeight="1" x14ac:dyDescent="0.25">
      <c r="A13" s="61" t="s">
        <v>32</v>
      </c>
      <c r="B13" s="6">
        <v>39168</v>
      </c>
      <c r="C13" s="5">
        <v>10.448923841942953</v>
      </c>
      <c r="D13" s="5"/>
      <c r="E13" s="6">
        <v>35632</v>
      </c>
      <c r="F13" s="5">
        <v>10.830790180796868</v>
      </c>
      <c r="G13" s="5"/>
      <c r="H13" s="6">
        <v>2910</v>
      </c>
      <c r="I13" s="5">
        <v>8.0943506439320192</v>
      </c>
      <c r="J13" s="5"/>
      <c r="K13" s="6">
        <v>626</v>
      </c>
      <c r="L13" s="5">
        <v>6.3149399778069197</v>
      </c>
      <c r="R13" s="37"/>
      <c r="S13" s="37"/>
      <c r="T13" s="37"/>
      <c r="U13" s="37"/>
    </row>
    <row r="14" spans="1:21" ht="14.1" customHeight="1" x14ac:dyDescent="0.25">
      <c r="A14" s="61" t="s">
        <v>33</v>
      </c>
      <c r="B14" s="6">
        <v>104412</v>
      </c>
      <c r="C14" s="5">
        <v>27.854193121551972</v>
      </c>
      <c r="D14" s="5"/>
      <c r="E14" s="6">
        <v>87873</v>
      </c>
      <c r="F14" s="5">
        <v>26.710092769341131</v>
      </c>
      <c r="G14" s="5"/>
      <c r="H14" s="6">
        <v>12632</v>
      </c>
      <c r="I14" s="5">
        <v>35.036713860532394</v>
      </c>
      <c r="J14" s="5"/>
      <c r="K14" s="6">
        <v>3907</v>
      </c>
      <c r="L14" s="5">
        <v>39.512892161807727</v>
      </c>
      <c r="R14" s="37"/>
      <c r="S14" s="37"/>
      <c r="T14" s="37"/>
      <c r="U14" s="37"/>
    </row>
    <row r="15" spans="1:21" ht="14.1" customHeight="1" x14ac:dyDescent="0.25">
      <c r="A15" s="61" t="s">
        <v>34</v>
      </c>
      <c r="B15" s="6">
        <v>31829</v>
      </c>
      <c r="C15" s="5">
        <v>8.4910844813419697</v>
      </c>
      <c r="D15" s="5"/>
      <c r="E15" s="6">
        <v>27577</v>
      </c>
      <c r="F15" s="5">
        <v>8.3823726093352953</v>
      </c>
      <c r="G15" s="5"/>
      <c r="H15" s="6">
        <v>3510</v>
      </c>
      <c r="I15" s="5">
        <v>9.7632889210314051</v>
      </c>
      <c r="J15" s="5"/>
      <c r="K15" s="6">
        <v>742</v>
      </c>
      <c r="L15" s="5">
        <v>7.4851205487743364</v>
      </c>
      <c r="R15" s="37"/>
      <c r="S15" s="37"/>
      <c r="T15" s="37"/>
      <c r="U15" s="37"/>
    </row>
    <row r="16" spans="1:21" ht="14.1" customHeight="1" x14ac:dyDescent="0.25">
      <c r="A16" s="61" t="s">
        <v>67</v>
      </c>
      <c r="B16" s="6">
        <v>2774</v>
      </c>
      <c r="C16" s="5">
        <v>0.84002539668989351</v>
      </c>
      <c r="D16" s="5"/>
      <c r="E16" s="6">
        <v>2457</v>
      </c>
      <c r="F16" s="5">
        <v>0.7468357508480552</v>
      </c>
      <c r="G16" s="5"/>
      <c r="H16" s="6">
        <v>274</v>
      </c>
      <c r="I16" s="5">
        <v>0.76214847987538592</v>
      </c>
      <c r="J16" s="5"/>
      <c r="K16" s="6">
        <v>43</v>
      </c>
      <c r="L16" s="5">
        <v>0.4337738323413699</v>
      </c>
      <c r="R16" s="37"/>
      <c r="S16" s="37"/>
      <c r="T16" s="37"/>
      <c r="U16" s="37"/>
    </row>
    <row r="17" spans="1:21" ht="14.1" customHeight="1" x14ac:dyDescent="0.25">
      <c r="A17" s="61" t="s">
        <v>69</v>
      </c>
      <c r="B17" s="6">
        <v>10260</v>
      </c>
      <c r="C17" s="5">
        <v>2.7370802343324834</v>
      </c>
      <c r="D17" s="5"/>
      <c r="E17" s="6">
        <v>9222</v>
      </c>
      <c r="F17" s="5">
        <v>2.8031417559303073</v>
      </c>
      <c r="G17" s="5"/>
      <c r="H17" s="6">
        <v>948</v>
      </c>
      <c r="I17" s="5">
        <v>2.6369224778170288</v>
      </c>
      <c r="J17" s="5"/>
      <c r="K17" s="6">
        <v>90</v>
      </c>
      <c r="L17" s="5">
        <v>0.90789871885402995</v>
      </c>
      <c r="R17" s="37"/>
      <c r="S17" s="37"/>
      <c r="T17" s="37"/>
      <c r="U17" s="37"/>
    </row>
    <row r="18" spans="1:21" ht="14.1" customHeight="1" x14ac:dyDescent="0.25">
      <c r="A18" s="61" t="s">
        <v>35</v>
      </c>
      <c r="B18" s="6">
        <v>14661</v>
      </c>
      <c r="C18" s="5">
        <v>3.9111435980066798</v>
      </c>
      <c r="D18" s="5"/>
      <c r="E18" s="6">
        <v>13017</v>
      </c>
      <c r="F18" s="5">
        <v>3.9566792709764487</v>
      </c>
      <c r="G18" s="5"/>
      <c r="H18" s="6">
        <v>1334</v>
      </c>
      <c r="I18" s="5">
        <v>3.7106061027509663</v>
      </c>
      <c r="J18" s="5"/>
      <c r="K18" s="6">
        <v>310</v>
      </c>
      <c r="L18" s="5">
        <v>3.1272066982749926</v>
      </c>
      <c r="R18" s="37"/>
      <c r="S18" s="37"/>
      <c r="T18" s="37"/>
      <c r="U18" s="37"/>
    </row>
    <row r="19" spans="1:21" ht="14.1" customHeight="1" x14ac:dyDescent="0.25">
      <c r="A19" s="61" t="s">
        <v>36</v>
      </c>
      <c r="B19" s="6">
        <v>72052</v>
      </c>
      <c r="C19" s="5">
        <v>19.221452733345426</v>
      </c>
      <c r="D19" s="5"/>
      <c r="E19" s="6">
        <v>66468</v>
      </c>
      <c r="F19" s="5">
        <v>20.203776429535424</v>
      </c>
      <c r="G19" s="5"/>
      <c r="H19" s="6">
        <v>4732</v>
      </c>
      <c r="I19" s="5">
        <v>13.162359878723818</v>
      </c>
      <c r="J19" s="5"/>
      <c r="K19" s="6">
        <v>852</v>
      </c>
      <c r="L19" s="5">
        <v>8.5947745384848169</v>
      </c>
      <c r="R19" s="37"/>
      <c r="S19" s="37"/>
      <c r="T19" s="37"/>
      <c r="U19" s="37"/>
    </row>
    <row r="20" spans="1:21" ht="14.1" customHeight="1" x14ac:dyDescent="0.25">
      <c r="A20" s="61" t="s">
        <v>37</v>
      </c>
      <c r="B20" s="6">
        <v>47534</v>
      </c>
      <c r="C20" s="5">
        <v>12.68073799792985</v>
      </c>
      <c r="D20" s="5"/>
      <c r="E20" s="6">
        <v>43142</v>
      </c>
      <c r="F20" s="5">
        <v>13.113548214524542</v>
      </c>
      <c r="G20" s="5"/>
      <c r="H20" s="6">
        <v>3476</v>
      </c>
      <c r="I20" s="5">
        <v>9.6687157519957729</v>
      </c>
      <c r="J20" s="5"/>
      <c r="K20" s="6">
        <v>916</v>
      </c>
      <c r="L20" s="5">
        <v>9.2403914052254628</v>
      </c>
      <c r="R20" s="37"/>
      <c r="S20" s="37"/>
      <c r="T20" s="37"/>
      <c r="U20" s="37"/>
    </row>
    <row r="21" spans="1:21" ht="14.1" customHeight="1" x14ac:dyDescent="0.25">
      <c r="A21" s="61"/>
      <c r="B21" s="6"/>
      <c r="C21" s="5"/>
      <c r="D21" s="5"/>
      <c r="E21" s="6"/>
      <c r="F21" s="5"/>
      <c r="G21" s="5"/>
      <c r="H21" s="6"/>
      <c r="I21" s="5"/>
      <c r="J21" s="5"/>
      <c r="K21" s="6"/>
      <c r="L21" s="5"/>
      <c r="R21" s="37"/>
      <c r="S21" s="37"/>
      <c r="T21" s="37"/>
      <c r="U21" s="37"/>
    </row>
    <row r="22" spans="1:21" ht="14.1" customHeight="1" x14ac:dyDescent="0.25">
      <c r="A22" s="91" t="s">
        <v>21</v>
      </c>
      <c r="B22" s="9">
        <v>1177</v>
      </c>
      <c r="C22" s="15">
        <v>100</v>
      </c>
      <c r="D22" s="15"/>
      <c r="E22" s="9">
        <v>1091</v>
      </c>
      <c r="F22" s="15">
        <v>100</v>
      </c>
      <c r="G22" s="15"/>
      <c r="H22" s="9">
        <v>71</v>
      </c>
      <c r="I22" s="15">
        <v>100</v>
      </c>
      <c r="J22" s="15"/>
      <c r="K22" s="9">
        <v>15</v>
      </c>
      <c r="L22" s="15">
        <v>100</v>
      </c>
      <c r="N22" s="37">
        <f>SUM(N23:N34)</f>
        <v>100.00000000000001</v>
      </c>
      <c r="O22" s="37">
        <f t="shared" ref="O22:Q22" si="0">SUM(O23:O34)</f>
        <v>100.00000000000003</v>
      </c>
      <c r="P22" s="37" t="e">
        <f t="shared" si="0"/>
        <v>#VALUE!</v>
      </c>
      <c r="Q22" s="37" t="e">
        <f t="shared" si="0"/>
        <v>#VALUE!</v>
      </c>
      <c r="R22" s="37"/>
      <c r="S22" s="37"/>
      <c r="T22" s="37"/>
      <c r="U22" s="37"/>
    </row>
    <row r="23" spans="1:21" ht="14.1" customHeight="1" x14ac:dyDescent="0.25">
      <c r="A23" s="61" t="s">
        <v>57</v>
      </c>
      <c r="B23" s="6">
        <v>30</v>
      </c>
      <c r="C23" s="5">
        <v>2.5488530161427359</v>
      </c>
      <c r="D23" s="5"/>
      <c r="E23" s="6">
        <v>28</v>
      </c>
      <c r="F23" s="5">
        <v>2.5664527956003669</v>
      </c>
      <c r="G23" s="5"/>
      <c r="H23" s="6">
        <v>1</v>
      </c>
      <c r="I23" s="5">
        <v>1.4084507042253522</v>
      </c>
      <c r="J23" s="5"/>
      <c r="K23" s="6">
        <v>1</v>
      </c>
      <c r="L23" s="5">
        <v>6.666666666666667</v>
      </c>
      <c r="N23" s="37">
        <f>ROUND(C23,1)</f>
        <v>2.5</v>
      </c>
      <c r="O23" s="37">
        <f>ROUND(F23,1)</f>
        <v>2.6</v>
      </c>
      <c r="P23" s="37">
        <f>ROUND(I23,1)</f>
        <v>1.4</v>
      </c>
      <c r="Q23" s="37">
        <f>ROUND(L23,1)</f>
        <v>6.7</v>
      </c>
      <c r="R23" s="37"/>
      <c r="S23" s="37"/>
      <c r="T23" s="37"/>
      <c r="U23" s="37"/>
    </row>
    <row r="24" spans="1:21" ht="14.1" customHeight="1" x14ac:dyDescent="0.25">
      <c r="A24" s="61" t="s">
        <v>29</v>
      </c>
      <c r="B24" s="6">
        <v>7</v>
      </c>
      <c r="C24" s="5">
        <v>0.59473237043330507</v>
      </c>
      <c r="D24" s="5"/>
      <c r="E24" s="6">
        <v>7</v>
      </c>
      <c r="F24" s="5">
        <v>0.64161319890009172</v>
      </c>
      <c r="G24" s="5"/>
      <c r="H24" s="3" t="s">
        <v>96</v>
      </c>
      <c r="I24" s="3" t="s">
        <v>96</v>
      </c>
      <c r="J24" s="5"/>
      <c r="K24" s="3" t="s">
        <v>96</v>
      </c>
      <c r="L24" s="3" t="s">
        <v>96</v>
      </c>
      <c r="N24" s="37">
        <f t="shared" ref="N24:N87" si="1">ROUND(C24,1)</f>
        <v>0.6</v>
      </c>
      <c r="O24" s="37">
        <f t="shared" ref="O24:O87" si="2">ROUND(F24,1)</f>
        <v>0.6</v>
      </c>
      <c r="P24" s="37" t="e">
        <f t="shared" ref="P24:P87" si="3">ROUND(I24,1)</f>
        <v>#VALUE!</v>
      </c>
      <c r="Q24" s="37" t="e">
        <f t="shared" ref="Q24:Q87" si="4">ROUND(L24,1)</f>
        <v>#VALUE!</v>
      </c>
      <c r="R24" s="37"/>
      <c r="S24" s="37"/>
      <c r="T24" s="37"/>
      <c r="U24" s="37"/>
    </row>
    <row r="25" spans="1:21" ht="14.1" customHeight="1" x14ac:dyDescent="0.25">
      <c r="A25" s="61" t="s">
        <v>30</v>
      </c>
      <c r="B25" s="6">
        <v>53</v>
      </c>
      <c r="C25" s="5">
        <v>4.5029736618521667</v>
      </c>
      <c r="D25" s="5"/>
      <c r="E25" s="6">
        <v>47</v>
      </c>
      <c r="F25" s="5">
        <v>4.3079743354720437</v>
      </c>
      <c r="G25" s="5"/>
      <c r="H25" s="6">
        <v>6</v>
      </c>
      <c r="I25" s="5">
        <v>8.4507042253521121</v>
      </c>
      <c r="J25" s="5"/>
      <c r="K25" s="3" t="s">
        <v>96</v>
      </c>
      <c r="L25" s="3" t="s">
        <v>96</v>
      </c>
      <c r="N25" s="37">
        <f t="shared" si="1"/>
        <v>4.5</v>
      </c>
      <c r="O25" s="37">
        <f t="shared" si="2"/>
        <v>4.3</v>
      </c>
      <c r="P25" s="37">
        <f t="shared" si="3"/>
        <v>8.5</v>
      </c>
      <c r="Q25" s="37" t="e">
        <f t="shared" si="4"/>
        <v>#VALUE!</v>
      </c>
      <c r="R25" s="37"/>
      <c r="S25" s="37"/>
      <c r="T25" s="37"/>
      <c r="U25" s="37"/>
    </row>
    <row r="26" spans="1:21" ht="14.1" customHeight="1" x14ac:dyDescent="0.25">
      <c r="A26" s="61" t="s">
        <v>31</v>
      </c>
      <c r="B26" s="6">
        <v>9</v>
      </c>
      <c r="C26" s="5">
        <v>0.76465590484282076</v>
      </c>
      <c r="D26" s="5"/>
      <c r="E26" s="6">
        <v>5</v>
      </c>
      <c r="F26" s="5">
        <v>0.45829514207149402</v>
      </c>
      <c r="G26" s="5"/>
      <c r="H26" s="6">
        <v>3</v>
      </c>
      <c r="I26" s="5">
        <v>4.225352112676056</v>
      </c>
      <c r="J26" s="5"/>
      <c r="K26" s="6">
        <v>1</v>
      </c>
      <c r="L26" s="5">
        <v>6.666666666666667</v>
      </c>
      <c r="N26" s="37">
        <f t="shared" si="1"/>
        <v>0.8</v>
      </c>
      <c r="O26" s="37">
        <f t="shared" si="2"/>
        <v>0.5</v>
      </c>
      <c r="P26" s="37">
        <f t="shared" si="3"/>
        <v>4.2</v>
      </c>
      <c r="Q26" s="37">
        <f t="shared" si="4"/>
        <v>6.7</v>
      </c>
      <c r="R26" s="37"/>
      <c r="S26" s="37"/>
      <c r="T26" s="37"/>
      <c r="U26" s="37"/>
    </row>
    <row r="27" spans="1:21" ht="14.1" customHeight="1" x14ac:dyDescent="0.25">
      <c r="A27" s="61" t="s">
        <v>32</v>
      </c>
      <c r="B27" s="6">
        <v>235</v>
      </c>
      <c r="C27" s="5">
        <v>19.966015293118097</v>
      </c>
      <c r="D27" s="5"/>
      <c r="E27" s="6">
        <v>218</v>
      </c>
      <c r="F27" s="5">
        <v>19.981668194317141</v>
      </c>
      <c r="G27" s="5"/>
      <c r="H27" s="6">
        <v>15</v>
      </c>
      <c r="I27" s="5">
        <v>21.12676056338028</v>
      </c>
      <c r="J27" s="5"/>
      <c r="K27" s="6">
        <v>2</v>
      </c>
      <c r="L27" s="5">
        <v>13.333333333333334</v>
      </c>
      <c r="N27" s="37">
        <f t="shared" si="1"/>
        <v>20</v>
      </c>
      <c r="O27" s="37">
        <f t="shared" si="2"/>
        <v>20</v>
      </c>
      <c r="P27" s="37">
        <f t="shared" si="3"/>
        <v>21.1</v>
      </c>
      <c r="Q27" s="37">
        <f t="shared" si="4"/>
        <v>13.3</v>
      </c>
      <c r="R27" s="37"/>
      <c r="S27" s="37"/>
      <c r="T27" s="37"/>
      <c r="U27" s="37"/>
    </row>
    <row r="28" spans="1:21" ht="14.1" customHeight="1" x14ac:dyDescent="0.25">
      <c r="A28" s="61" t="s">
        <v>33</v>
      </c>
      <c r="B28" s="6">
        <v>309</v>
      </c>
      <c r="C28" s="5">
        <v>26.153186066270177</v>
      </c>
      <c r="D28" s="5"/>
      <c r="E28" s="6">
        <v>267</v>
      </c>
      <c r="F28" s="5">
        <v>24.572960586617782</v>
      </c>
      <c r="G28" s="5"/>
      <c r="H28" s="6">
        <v>32</v>
      </c>
      <c r="I28" s="5">
        <v>45.070422535211272</v>
      </c>
      <c r="J28" s="5"/>
      <c r="K28" s="6">
        <v>10</v>
      </c>
      <c r="L28" s="5">
        <v>66.566666666666663</v>
      </c>
      <c r="N28" s="37">
        <f t="shared" si="1"/>
        <v>26.2</v>
      </c>
      <c r="O28" s="37">
        <f t="shared" si="2"/>
        <v>24.6</v>
      </c>
      <c r="P28" s="37">
        <f t="shared" si="3"/>
        <v>45.1</v>
      </c>
      <c r="Q28" s="37">
        <f t="shared" si="4"/>
        <v>66.599999999999994</v>
      </c>
      <c r="R28" s="37"/>
      <c r="S28" s="37"/>
      <c r="T28" s="37"/>
      <c r="U28" s="37"/>
    </row>
    <row r="29" spans="1:21" ht="14.1" customHeight="1" x14ac:dyDescent="0.25">
      <c r="A29" s="61" t="s">
        <v>34</v>
      </c>
      <c r="B29" s="6">
        <v>79</v>
      </c>
      <c r="C29" s="5">
        <v>6.711979609175871</v>
      </c>
      <c r="D29" s="5"/>
      <c r="E29" s="6">
        <v>73</v>
      </c>
      <c r="F29" s="5">
        <v>6.6911090742438128</v>
      </c>
      <c r="G29" s="5"/>
      <c r="H29" s="6">
        <v>6</v>
      </c>
      <c r="I29" s="5">
        <v>8.4507042253521121</v>
      </c>
      <c r="J29" s="5"/>
      <c r="K29" s="3" t="s">
        <v>96</v>
      </c>
      <c r="L29" s="16" t="s">
        <v>96</v>
      </c>
      <c r="N29" s="37">
        <f t="shared" si="1"/>
        <v>6.7</v>
      </c>
      <c r="O29" s="37">
        <f t="shared" si="2"/>
        <v>6.7</v>
      </c>
      <c r="P29" s="37">
        <f t="shared" si="3"/>
        <v>8.5</v>
      </c>
      <c r="Q29" s="37" t="e">
        <f t="shared" si="4"/>
        <v>#VALUE!</v>
      </c>
      <c r="R29" s="37"/>
      <c r="S29" s="37"/>
      <c r="T29" s="37"/>
      <c r="U29" s="37"/>
    </row>
    <row r="30" spans="1:21" ht="14.1" customHeight="1" x14ac:dyDescent="0.25">
      <c r="A30" s="61" t="s">
        <v>67</v>
      </c>
      <c r="B30" s="6">
        <v>31</v>
      </c>
      <c r="C30" s="5">
        <v>2.6338147833474936</v>
      </c>
      <c r="D30" s="5"/>
      <c r="E30" s="6">
        <v>30</v>
      </c>
      <c r="F30" s="5">
        <v>2.7497708524289641</v>
      </c>
      <c r="G30" s="5"/>
      <c r="H30" s="6">
        <v>1</v>
      </c>
      <c r="I30" s="5">
        <v>1.4084507042253522</v>
      </c>
      <c r="J30" s="5"/>
      <c r="K30" s="3" t="s">
        <v>96</v>
      </c>
      <c r="L30" s="16" t="s">
        <v>96</v>
      </c>
      <c r="N30" s="37">
        <f t="shared" si="1"/>
        <v>2.6</v>
      </c>
      <c r="O30" s="37">
        <f t="shared" si="2"/>
        <v>2.7</v>
      </c>
      <c r="P30" s="37">
        <f t="shared" si="3"/>
        <v>1.4</v>
      </c>
      <c r="Q30" s="37" t="e">
        <f t="shared" si="4"/>
        <v>#VALUE!</v>
      </c>
      <c r="R30" s="37"/>
      <c r="S30" s="37"/>
      <c r="T30" s="37"/>
      <c r="U30" s="37"/>
    </row>
    <row r="31" spans="1:21" ht="14.1" customHeight="1" x14ac:dyDescent="0.25">
      <c r="A31" s="61" t="s">
        <v>69</v>
      </c>
      <c r="B31" s="6">
        <v>34</v>
      </c>
      <c r="C31" s="5">
        <v>2.888700084961767</v>
      </c>
      <c r="D31" s="5"/>
      <c r="E31" s="6">
        <v>34</v>
      </c>
      <c r="F31" s="5">
        <v>3.1164069660861595</v>
      </c>
      <c r="G31" s="5"/>
      <c r="H31" s="3" t="s">
        <v>96</v>
      </c>
      <c r="I31" s="3" t="s">
        <v>96</v>
      </c>
      <c r="J31" s="5"/>
      <c r="K31" s="3" t="s">
        <v>96</v>
      </c>
      <c r="L31" s="16" t="s">
        <v>96</v>
      </c>
      <c r="N31" s="37">
        <f t="shared" si="1"/>
        <v>2.9</v>
      </c>
      <c r="O31" s="37">
        <f t="shared" si="2"/>
        <v>3.1</v>
      </c>
      <c r="P31" s="37" t="e">
        <f t="shared" si="3"/>
        <v>#VALUE!</v>
      </c>
      <c r="Q31" s="37" t="e">
        <f t="shared" si="4"/>
        <v>#VALUE!</v>
      </c>
      <c r="R31" s="37"/>
      <c r="S31" s="37"/>
      <c r="T31" s="37"/>
      <c r="U31" s="37"/>
    </row>
    <row r="32" spans="1:21" ht="14.1" customHeight="1" x14ac:dyDescent="0.25">
      <c r="A32" s="61" t="s">
        <v>35</v>
      </c>
      <c r="B32" s="6">
        <v>22</v>
      </c>
      <c r="C32" s="5">
        <v>1.8691588785046727</v>
      </c>
      <c r="D32" s="5"/>
      <c r="E32" s="6">
        <v>21</v>
      </c>
      <c r="F32" s="5">
        <v>1.9248395967002749</v>
      </c>
      <c r="G32" s="5"/>
      <c r="H32" s="6">
        <v>1</v>
      </c>
      <c r="I32" s="5">
        <v>1.4084507042253522</v>
      </c>
      <c r="J32" s="5"/>
      <c r="K32" s="3" t="s">
        <v>96</v>
      </c>
      <c r="L32" s="16" t="s">
        <v>96</v>
      </c>
      <c r="N32" s="37">
        <f t="shared" si="1"/>
        <v>1.9</v>
      </c>
      <c r="O32" s="37">
        <f t="shared" si="2"/>
        <v>1.9</v>
      </c>
      <c r="P32" s="37">
        <f t="shared" si="3"/>
        <v>1.4</v>
      </c>
      <c r="Q32" s="37" t="e">
        <f t="shared" si="4"/>
        <v>#VALUE!</v>
      </c>
      <c r="R32" s="37"/>
      <c r="S32" s="37"/>
      <c r="T32" s="37"/>
      <c r="U32" s="37"/>
    </row>
    <row r="33" spans="1:21" ht="14.1" customHeight="1" x14ac:dyDescent="0.25">
      <c r="A33" s="61" t="s">
        <v>36</v>
      </c>
      <c r="B33" s="6">
        <v>260</v>
      </c>
      <c r="C33" s="5">
        <v>22.090059473237041</v>
      </c>
      <c r="D33" s="5"/>
      <c r="E33" s="6">
        <v>258</v>
      </c>
      <c r="F33" s="5">
        <v>23.648029330889091</v>
      </c>
      <c r="G33" s="5"/>
      <c r="H33" s="6">
        <v>2</v>
      </c>
      <c r="I33" s="5">
        <v>2.8169014084507045</v>
      </c>
      <c r="J33" s="5"/>
      <c r="K33" s="3" t="s">
        <v>96</v>
      </c>
      <c r="L33" s="16" t="s">
        <v>96</v>
      </c>
      <c r="N33" s="37">
        <f t="shared" si="1"/>
        <v>22.1</v>
      </c>
      <c r="O33" s="37">
        <f t="shared" si="2"/>
        <v>23.6</v>
      </c>
      <c r="P33" s="37">
        <f t="shared" si="3"/>
        <v>2.8</v>
      </c>
      <c r="Q33" s="37" t="e">
        <f t="shared" si="4"/>
        <v>#VALUE!</v>
      </c>
      <c r="R33" s="37"/>
      <c r="S33" s="37"/>
      <c r="T33" s="37"/>
      <c r="U33" s="37"/>
    </row>
    <row r="34" spans="1:21" ht="14.1" customHeight="1" x14ac:dyDescent="0.25">
      <c r="A34" s="61" t="s">
        <v>37</v>
      </c>
      <c r="B34" s="6">
        <v>108</v>
      </c>
      <c r="C34" s="5">
        <v>9.1758708581138499</v>
      </c>
      <c r="D34" s="5"/>
      <c r="E34" s="6">
        <v>103</v>
      </c>
      <c r="F34" s="5">
        <v>9.4408799266727765</v>
      </c>
      <c r="G34" s="5"/>
      <c r="H34" s="6">
        <v>4</v>
      </c>
      <c r="I34" s="5">
        <v>5.6338028169014089</v>
      </c>
      <c r="J34" s="5"/>
      <c r="K34" s="3">
        <v>1</v>
      </c>
      <c r="L34" s="16">
        <v>6.666666666666667</v>
      </c>
      <c r="N34" s="37">
        <f t="shared" si="1"/>
        <v>9.1999999999999993</v>
      </c>
      <c r="O34" s="37">
        <f t="shared" si="2"/>
        <v>9.4</v>
      </c>
      <c r="P34" s="37">
        <f t="shared" si="3"/>
        <v>5.6</v>
      </c>
      <c r="Q34" s="37">
        <f t="shared" si="4"/>
        <v>6.7</v>
      </c>
      <c r="R34" s="37"/>
      <c r="S34" s="37"/>
      <c r="T34" s="37"/>
      <c r="U34" s="37"/>
    </row>
    <row r="35" spans="1:21" ht="14.1" customHeight="1" x14ac:dyDescent="0.25">
      <c r="A35" s="61"/>
      <c r="B35" s="6"/>
      <c r="C35" s="5"/>
      <c r="D35" s="5"/>
      <c r="E35" s="6"/>
      <c r="F35" s="5"/>
      <c r="G35" s="5"/>
      <c r="H35" s="6"/>
      <c r="I35" s="5"/>
      <c r="J35" s="5"/>
      <c r="K35" s="6"/>
      <c r="L35" s="5"/>
      <c r="N35" s="37">
        <f t="shared" si="1"/>
        <v>0</v>
      </c>
      <c r="O35" s="37">
        <f t="shared" si="2"/>
        <v>0</v>
      </c>
      <c r="P35" s="37">
        <f t="shared" si="3"/>
        <v>0</v>
      </c>
      <c r="Q35" s="37">
        <f t="shared" si="4"/>
        <v>0</v>
      </c>
      <c r="R35" s="37"/>
      <c r="S35" s="37"/>
      <c r="T35" s="37"/>
      <c r="U35" s="37"/>
    </row>
    <row r="36" spans="1:21" ht="14.1" customHeight="1" x14ac:dyDescent="0.25">
      <c r="A36" s="91" t="s">
        <v>56</v>
      </c>
      <c r="B36" s="9">
        <v>7840</v>
      </c>
      <c r="C36" s="15">
        <v>100</v>
      </c>
      <c r="D36" s="15"/>
      <c r="E36" s="9">
        <v>7313</v>
      </c>
      <c r="F36" s="15">
        <v>100</v>
      </c>
      <c r="G36" s="15"/>
      <c r="H36" s="9">
        <v>462</v>
      </c>
      <c r="I36" s="15">
        <v>100</v>
      </c>
      <c r="J36" s="15"/>
      <c r="K36" s="9">
        <v>65</v>
      </c>
      <c r="L36" s="15">
        <v>100</v>
      </c>
      <c r="N36" s="37">
        <f>SUM(N37:N48)</f>
        <v>100.00000000000003</v>
      </c>
      <c r="O36" s="37">
        <f t="shared" ref="O36:Q36" si="5">SUM(O37:O48)</f>
        <v>100</v>
      </c>
      <c r="P36" s="37">
        <f t="shared" si="5"/>
        <v>100.00000000000001</v>
      </c>
      <c r="Q36" s="37" t="e">
        <f t="shared" si="5"/>
        <v>#VALUE!</v>
      </c>
      <c r="R36" s="37"/>
      <c r="S36" s="37"/>
      <c r="T36" s="37"/>
      <c r="U36" s="37"/>
    </row>
    <row r="37" spans="1:21" ht="14.1" customHeight="1" x14ac:dyDescent="0.25">
      <c r="A37" s="61" t="s">
        <v>57</v>
      </c>
      <c r="B37" s="6">
        <v>330</v>
      </c>
      <c r="C37" s="5">
        <v>4.2091836734693873</v>
      </c>
      <c r="D37" s="5"/>
      <c r="E37" s="6">
        <v>296</v>
      </c>
      <c r="F37" s="5">
        <v>4.0475864898126623</v>
      </c>
      <c r="G37" s="5"/>
      <c r="H37" s="6">
        <v>27</v>
      </c>
      <c r="I37" s="5">
        <v>5.8441558441558437</v>
      </c>
      <c r="J37" s="5"/>
      <c r="K37" s="6">
        <v>7</v>
      </c>
      <c r="L37" s="5">
        <v>10.76923076923077</v>
      </c>
      <c r="N37" s="37">
        <f t="shared" si="1"/>
        <v>4.2</v>
      </c>
      <c r="O37" s="37">
        <f t="shared" si="2"/>
        <v>4</v>
      </c>
      <c r="P37" s="37">
        <f t="shared" si="3"/>
        <v>5.8</v>
      </c>
      <c r="Q37" s="37">
        <f t="shared" si="4"/>
        <v>10.8</v>
      </c>
      <c r="R37" s="37"/>
      <c r="S37" s="37"/>
      <c r="T37" s="37"/>
      <c r="U37" s="37"/>
    </row>
    <row r="38" spans="1:21" ht="14.1" customHeight="1" x14ac:dyDescent="0.25">
      <c r="A38" s="61" t="s">
        <v>29</v>
      </c>
      <c r="B38" s="6">
        <v>125</v>
      </c>
      <c r="C38" s="5">
        <v>1.5943877551020409</v>
      </c>
      <c r="D38" s="5"/>
      <c r="E38" s="6">
        <v>118</v>
      </c>
      <c r="F38" s="5">
        <v>1.6135648844523449</v>
      </c>
      <c r="G38" s="5"/>
      <c r="H38" s="6">
        <v>5</v>
      </c>
      <c r="I38" s="5">
        <v>1.0822510822510822</v>
      </c>
      <c r="J38" s="5"/>
      <c r="K38" s="6">
        <v>2</v>
      </c>
      <c r="L38" s="5">
        <v>3.0769230769230771</v>
      </c>
      <c r="N38" s="37">
        <f t="shared" si="1"/>
        <v>1.6</v>
      </c>
      <c r="O38" s="37">
        <f t="shared" si="2"/>
        <v>1.6</v>
      </c>
      <c r="P38" s="37">
        <f t="shared" si="3"/>
        <v>1.1000000000000001</v>
      </c>
      <c r="Q38" s="37">
        <f t="shared" si="4"/>
        <v>3.1</v>
      </c>
      <c r="R38" s="37"/>
      <c r="S38" s="37"/>
      <c r="T38" s="37"/>
      <c r="U38" s="37"/>
    </row>
    <row r="39" spans="1:21" ht="14.1" customHeight="1" x14ac:dyDescent="0.25">
      <c r="A39" s="61" t="s">
        <v>30</v>
      </c>
      <c r="B39" s="6">
        <v>643</v>
      </c>
      <c r="C39" s="5">
        <v>8.2015306122448983</v>
      </c>
      <c r="D39" s="5"/>
      <c r="E39" s="6">
        <v>584</v>
      </c>
      <c r="F39" s="5">
        <v>7.9857787501709288</v>
      </c>
      <c r="G39" s="5"/>
      <c r="H39" s="6">
        <v>50</v>
      </c>
      <c r="I39" s="5">
        <v>10.822510822510822</v>
      </c>
      <c r="J39" s="5"/>
      <c r="K39" s="6">
        <v>9</v>
      </c>
      <c r="L39" s="5">
        <v>13.846153846153847</v>
      </c>
      <c r="N39" s="37">
        <f t="shared" si="1"/>
        <v>8.1999999999999993</v>
      </c>
      <c r="O39" s="37">
        <f t="shared" si="2"/>
        <v>8</v>
      </c>
      <c r="P39" s="37">
        <f t="shared" si="3"/>
        <v>10.8</v>
      </c>
      <c r="Q39" s="37">
        <f t="shared" si="4"/>
        <v>13.8</v>
      </c>
      <c r="R39" s="37"/>
      <c r="S39" s="37"/>
      <c r="T39" s="37"/>
      <c r="U39" s="37"/>
    </row>
    <row r="40" spans="1:21" ht="14.1" customHeight="1" x14ac:dyDescent="0.25">
      <c r="A40" s="61" t="s">
        <v>31</v>
      </c>
      <c r="B40" s="6">
        <v>25</v>
      </c>
      <c r="C40" s="5">
        <v>0.31887755102040816</v>
      </c>
      <c r="D40" s="5"/>
      <c r="E40" s="6">
        <v>19</v>
      </c>
      <c r="F40" s="5">
        <v>0.2598112949541912</v>
      </c>
      <c r="G40" s="5"/>
      <c r="H40" s="6">
        <v>4</v>
      </c>
      <c r="I40" s="5">
        <v>0.86580086580086579</v>
      </c>
      <c r="J40" s="5"/>
      <c r="K40" s="6">
        <v>2</v>
      </c>
      <c r="L40" s="5">
        <v>3.0769230769230771</v>
      </c>
      <c r="N40" s="37">
        <f t="shared" si="1"/>
        <v>0.3</v>
      </c>
      <c r="O40" s="37">
        <f t="shared" si="2"/>
        <v>0.3</v>
      </c>
      <c r="P40" s="37">
        <f t="shared" si="3"/>
        <v>0.9</v>
      </c>
      <c r="Q40" s="37">
        <f t="shared" si="4"/>
        <v>3.1</v>
      </c>
      <c r="R40" s="37"/>
      <c r="S40" s="37"/>
      <c r="T40" s="37"/>
      <c r="U40" s="37"/>
    </row>
    <row r="41" spans="1:21" ht="14.1" customHeight="1" x14ac:dyDescent="0.25">
      <c r="A41" s="61" t="s">
        <v>32</v>
      </c>
      <c r="B41" s="6">
        <v>2203</v>
      </c>
      <c r="C41" s="5">
        <v>28.09948979591837</v>
      </c>
      <c r="D41" s="5"/>
      <c r="E41" s="6">
        <v>2117</v>
      </c>
      <c r="F41" s="5">
        <v>29.048447969369619</v>
      </c>
      <c r="G41" s="5"/>
      <c r="H41" s="6">
        <v>81</v>
      </c>
      <c r="I41" s="5">
        <v>17.532467532467532</v>
      </c>
      <c r="J41" s="5"/>
      <c r="K41" s="6">
        <v>5</v>
      </c>
      <c r="L41" s="5">
        <v>7.6923076923076925</v>
      </c>
      <c r="N41" s="37">
        <f t="shared" si="1"/>
        <v>28.1</v>
      </c>
      <c r="O41" s="37">
        <f t="shared" si="2"/>
        <v>29</v>
      </c>
      <c r="P41" s="37">
        <f t="shared" si="3"/>
        <v>17.5</v>
      </c>
      <c r="Q41" s="37">
        <f t="shared" si="4"/>
        <v>7.7</v>
      </c>
      <c r="R41" s="37"/>
      <c r="S41" s="37"/>
      <c r="T41" s="37"/>
      <c r="U41" s="37"/>
    </row>
    <row r="42" spans="1:21" ht="14.1" customHeight="1" x14ac:dyDescent="0.25">
      <c r="A42" s="61" t="s">
        <v>33</v>
      </c>
      <c r="B42" s="6">
        <v>1728</v>
      </c>
      <c r="C42" s="5">
        <v>22.040816326530614</v>
      </c>
      <c r="D42" s="5"/>
      <c r="E42" s="6">
        <v>1534</v>
      </c>
      <c r="F42" s="5">
        <v>20.976343497880485</v>
      </c>
      <c r="G42" s="5"/>
      <c r="H42" s="6">
        <v>162</v>
      </c>
      <c r="I42" s="5">
        <v>35.064935064935064</v>
      </c>
      <c r="J42" s="5"/>
      <c r="K42" s="6">
        <v>32</v>
      </c>
      <c r="L42" s="5">
        <v>49.130769230769232</v>
      </c>
      <c r="N42" s="37">
        <f t="shared" si="1"/>
        <v>22</v>
      </c>
      <c r="O42" s="37">
        <f t="shared" si="2"/>
        <v>21</v>
      </c>
      <c r="P42" s="37">
        <f t="shared" si="3"/>
        <v>35.1</v>
      </c>
      <c r="Q42" s="37">
        <f t="shared" si="4"/>
        <v>49.1</v>
      </c>
      <c r="R42" s="37"/>
      <c r="S42" s="37"/>
      <c r="T42" s="37"/>
      <c r="U42" s="37"/>
    </row>
    <row r="43" spans="1:21" ht="14.1" customHeight="1" x14ac:dyDescent="0.25">
      <c r="A43" s="61" t="s">
        <v>34</v>
      </c>
      <c r="B43" s="6">
        <v>815</v>
      </c>
      <c r="C43" s="5">
        <v>10.395408163265305</v>
      </c>
      <c r="D43" s="5"/>
      <c r="E43" s="6">
        <v>749</v>
      </c>
      <c r="F43" s="5">
        <v>10.242034732667852</v>
      </c>
      <c r="G43" s="5"/>
      <c r="H43" s="6">
        <v>62</v>
      </c>
      <c r="I43" s="5">
        <v>13.419913419913421</v>
      </c>
      <c r="J43" s="5"/>
      <c r="K43" s="6">
        <v>4</v>
      </c>
      <c r="L43" s="5">
        <v>6.1538461538461542</v>
      </c>
      <c r="N43" s="37">
        <f t="shared" si="1"/>
        <v>10.4</v>
      </c>
      <c r="O43" s="37">
        <f t="shared" si="2"/>
        <v>10.199999999999999</v>
      </c>
      <c r="P43" s="37">
        <f t="shared" si="3"/>
        <v>13.4</v>
      </c>
      <c r="Q43" s="37">
        <f t="shared" si="4"/>
        <v>6.2</v>
      </c>
      <c r="R43" s="37"/>
      <c r="S43" s="37"/>
      <c r="T43" s="37"/>
      <c r="U43" s="37"/>
    </row>
    <row r="44" spans="1:21" ht="14.1" customHeight="1" x14ac:dyDescent="0.25">
      <c r="A44" s="61" t="s">
        <v>67</v>
      </c>
      <c r="B44" s="6">
        <v>68</v>
      </c>
      <c r="C44" s="5">
        <v>0.86734693877551017</v>
      </c>
      <c r="D44" s="5"/>
      <c r="E44" s="6">
        <v>65</v>
      </c>
      <c r="F44" s="5">
        <v>0.88882811431696984</v>
      </c>
      <c r="G44" s="5"/>
      <c r="H44" s="6">
        <v>3</v>
      </c>
      <c r="I44" s="5">
        <v>0.64935064935064934</v>
      </c>
      <c r="J44" s="5"/>
      <c r="K44" s="3" t="s">
        <v>96</v>
      </c>
      <c r="L44" s="3" t="s">
        <v>96</v>
      </c>
      <c r="N44" s="37">
        <f t="shared" si="1"/>
        <v>0.9</v>
      </c>
      <c r="O44" s="37">
        <f t="shared" si="2"/>
        <v>0.9</v>
      </c>
      <c r="P44" s="37">
        <f t="shared" si="3"/>
        <v>0.6</v>
      </c>
      <c r="Q44" s="37" t="e">
        <f t="shared" si="4"/>
        <v>#VALUE!</v>
      </c>
      <c r="R44" s="37"/>
      <c r="S44" s="37"/>
      <c r="T44" s="37"/>
      <c r="U44" s="37"/>
    </row>
    <row r="45" spans="1:21" ht="14.1" customHeight="1" x14ac:dyDescent="0.25">
      <c r="A45" s="61" t="s">
        <v>69</v>
      </c>
      <c r="B45" s="6">
        <v>169</v>
      </c>
      <c r="C45" s="5">
        <v>2.1556122448979593</v>
      </c>
      <c r="D45" s="5"/>
      <c r="E45" s="6">
        <v>163</v>
      </c>
      <c r="F45" s="5">
        <v>2.2289074251333241</v>
      </c>
      <c r="G45" s="5"/>
      <c r="H45" s="6">
        <v>6</v>
      </c>
      <c r="I45" s="5">
        <v>1.2987012987012987</v>
      </c>
      <c r="J45" s="5"/>
      <c r="K45" s="3" t="s">
        <v>96</v>
      </c>
      <c r="L45" s="3" t="s">
        <v>96</v>
      </c>
      <c r="N45" s="37">
        <f t="shared" si="1"/>
        <v>2.2000000000000002</v>
      </c>
      <c r="O45" s="37">
        <f t="shared" si="2"/>
        <v>2.2000000000000002</v>
      </c>
      <c r="P45" s="37">
        <f t="shared" si="3"/>
        <v>1.3</v>
      </c>
      <c r="Q45" s="37" t="e">
        <f t="shared" si="4"/>
        <v>#VALUE!</v>
      </c>
      <c r="R45" s="37"/>
      <c r="S45" s="37"/>
      <c r="T45" s="37"/>
      <c r="U45" s="37"/>
    </row>
    <row r="46" spans="1:21" ht="14.1" customHeight="1" x14ac:dyDescent="0.25">
      <c r="A46" s="61" t="s">
        <v>35</v>
      </c>
      <c r="B46" s="6">
        <v>158</v>
      </c>
      <c r="C46" s="5">
        <v>2.0153061224489797</v>
      </c>
      <c r="D46" s="5"/>
      <c r="E46" s="6">
        <v>154</v>
      </c>
      <c r="F46" s="5">
        <v>2.1058389169971283</v>
      </c>
      <c r="G46" s="5"/>
      <c r="H46" s="6">
        <v>4</v>
      </c>
      <c r="I46" s="5">
        <v>0.86580086580086579</v>
      </c>
      <c r="J46" s="5"/>
      <c r="K46" s="3" t="s">
        <v>96</v>
      </c>
      <c r="L46" s="3" t="s">
        <v>96</v>
      </c>
      <c r="N46" s="37">
        <f t="shared" si="1"/>
        <v>2</v>
      </c>
      <c r="O46" s="37">
        <f t="shared" si="2"/>
        <v>2.1</v>
      </c>
      <c r="P46" s="37">
        <f t="shared" si="3"/>
        <v>0.9</v>
      </c>
      <c r="Q46" s="37" t="e">
        <f t="shared" si="4"/>
        <v>#VALUE!</v>
      </c>
      <c r="R46" s="37"/>
      <c r="S46" s="37"/>
      <c r="T46" s="37"/>
      <c r="U46" s="37"/>
    </row>
    <row r="47" spans="1:21" ht="14.1" customHeight="1" x14ac:dyDescent="0.25">
      <c r="A47" s="61" t="s">
        <v>36</v>
      </c>
      <c r="B47" s="6">
        <v>1035</v>
      </c>
      <c r="C47" s="5">
        <v>13.201530612244897</v>
      </c>
      <c r="D47" s="5"/>
      <c r="E47" s="6">
        <v>999</v>
      </c>
      <c r="F47" s="5">
        <v>13.660604403117734</v>
      </c>
      <c r="G47" s="5"/>
      <c r="H47" s="6">
        <v>34</v>
      </c>
      <c r="I47" s="5">
        <v>7.3593073593073601</v>
      </c>
      <c r="J47" s="5"/>
      <c r="K47" s="6">
        <v>2</v>
      </c>
      <c r="L47" s="5">
        <v>3.0769230769230771</v>
      </c>
      <c r="N47" s="37">
        <f t="shared" si="1"/>
        <v>13.2</v>
      </c>
      <c r="O47" s="37">
        <f t="shared" si="2"/>
        <v>13.7</v>
      </c>
      <c r="P47" s="37">
        <f t="shared" si="3"/>
        <v>7.4</v>
      </c>
      <c r="Q47" s="37">
        <f t="shared" si="4"/>
        <v>3.1</v>
      </c>
      <c r="R47" s="37"/>
      <c r="S47" s="37"/>
      <c r="T47" s="37"/>
      <c r="U47" s="37"/>
    </row>
    <row r="48" spans="1:21" ht="14.1" customHeight="1" x14ac:dyDescent="0.25">
      <c r="A48" s="61" t="s">
        <v>37</v>
      </c>
      <c r="B48" s="6">
        <v>541</v>
      </c>
      <c r="C48" s="5">
        <v>6.9005102040816322</v>
      </c>
      <c r="D48" s="5"/>
      <c r="E48" s="6">
        <v>515</v>
      </c>
      <c r="F48" s="5">
        <v>7.042253521126761</v>
      </c>
      <c r="G48" s="5"/>
      <c r="H48" s="6">
        <v>24</v>
      </c>
      <c r="I48" s="5">
        <v>5.1948051948051948</v>
      </c>
      <c r="J48" s="5"/>
      <c r="K48" s="6">
        <v>2</v>
      </c>
      <c r="L48" s="5">
        <v>3.0769230769230771</v>
      </c>
      <c r="N48" s="37">
        <f t="shared" si="1"/>
        <v>6.9</v>
      </c>
      <c r="O48" s="37">
        <f t="shared" si="2"/>
        <v>7</v>
      </c>
      <c r="P48" s="37">
        <f t="shared" si="3"/>
        <v>5.2</v>
      </c>
      <c r="Q48" s="37">
        <f t="shared" si="4"/>
        <v>3.1</v>
      </c>
      <c r="R48" s="37"/>
      <c r="S48" s="37"/>
      <c r="T48" s="37"/>
      <c r="U48" s="37"/>
    </row>
    <row r="49" spans="1:21" ht="14.1" customHeight="1" x14ac:dyDescent="0.25">
      <c r="A49" s="61"/>
      <c r="B49" s="6"/>
      <c r="C49" s="5"/>
      <c r="D49" s="5"/>
      <c r="E49" s="6"/>
      <c r="F49" s="5"/>
      <c r="G49" s="5"/>
      <c r="H49" s="6"/>
      <c r="I49" s="5"/>
      <c r="J49" s="5"/>
      <c r="K49" s="6"/>
      <c r="L49" s="5"/>
      <c r="N49" s="37">
        <f t="shared" si="1"/>
        <v>0</v>
      </c>
      <c r="O49" s="37">
        <f t="shared" si="2"/>
        <v>0</v>
      </c>
      <c r="P49" s="37">
        <f t="shared" si="3"/>
        <v>0</v>
      </c>
      <c r="Q49" s="37">
        <f t="shared" si="4"/>
        <v>0</v>
      </c>
      <c r="R49" s="37"/>
      <c r="S49" s="37"/>
      <c r="T49" s="37"/>
      <c r="U49" s="37"/>
    </row>
    <row r="50" spans="1:21" ht="14.1" customHeight="1" x14ac:dyDescent="0.25">
      <c r="A50" s="91" t="s">
        <v>49</v>
      </c>
      <c r="B50" s="9">
        <v>2131</v>
      </c>
      <c r="C50" s="15">
        <v>100</v>
      </c>
      <c r="D50" s="9"/>
      <c r="E50" s="9">
        <v>1999</v>
      </c>
      <c r="F50" s="15">
        <v>100</v>
      </c>
      <c r="G50" s="15"/>
      <c r="H50" s="9">
        <v>115</v>
      </c>
      <c r="I50" s="15">
        <v>100</v>
      </c>
      <c r="J50" s="15"/>
      <c r="K50" s="9">
        <v>17</v>
      </c>
      <c r="L50" s="15">
        <v>100</v>
      </c>
      <c r="M50" s="125"/>
      <c r="N50" s="37">
        <f>SUM(N51:N62)</f>
        <v>100</v>
      </c>
      <c r="O50" s="37">
        <f t="shared" ref="O50:Q50" si="6">SUM(O51:O62)</f>
        <v>100</v>
      </c>
      <c r="P50" s="37" t="e">
        <f t="shared" si="6"/>
        <v>#VALUE!</v>
      </c>
      <c r="Q50" s="37" t="e">
        <f t="shared" si="6"/>
        <v>#VALUE!</v>
      </c>
      <c r="R50" s="37"/>
      <c r="S50" s="37"/>
      <c r="T50" s="37"/>
      <c r="U50" s="37"/>
    </row>
    <row r="51" spans="1:21" ht="14.1" customHeight="1" x14ac:dyDescent="0.25">
      <c r="A51" s="61" t="s">
        <v>57</v>
      </c>
      <c r="B51" s="6">
        <v>27</v>
      </c>
      <c r="C51" s="5">
        <v>1.2670107930549039</v>
      </c>
      <c r="D51" s="5"/>
      <c r="E51" s="6">
        <v>24</v>
      </c>
      <c r="F51" s="5">
        <v>1.2006003001500751</v>
      </c>
      <c r="G51" s="5"/>
      <c r="H51" s="6">
        <v>3</v>
      </c>
      <c r="I51" s="5">
        <v>2.6086956521739131</v>
      </c>
      <c r="J51" s="5"/>
      <c r="K51" s="3" t="s">
        <v>96</v>
      </c>
      <c r="L51" s="16" t="s">
        <v>96</v>
      </c>
      <c r="N51" s="37">
        <f t="shared" si="1"/>
        <v>1.3</v>
      </c>
      <c r="O51" s="37">
        <f t="shared" si="2"/>
        <v>1.2</v>
      </c>
      <c r="P51" s="37">
        <f t="shared" si="3"/>
        <v>2.6</v>
      </c>
      <c r="Q51" s="37" t="e">
        <f t="shared" si="4"/>
        <v>#VALUE!</v>
      </c>
      <c r="R51" s="37"/>
      <c r="S51" s="37"/>
      <c r="T51" s="37"/>
      <c r="U51" s="37"/>
    </row>
    <row r="52" spans="1:21" ht="14.1" customHeight="1" x14ac:dyDescent="0.25">
      <c r="A52" s="61" t="s">
        <v>29</v>
      </c>
      <c r="B52" s="6">
        <v>56</v>
      </c>
      <c r="C52" s="5">
        <v>2.6278742374472079</v>
      </c>
      <c r="D52" s="5"/>
      <c r="E52" s="6">
        <v>54</v>
      </c>
      <c r="F52" s="5">
        <v>2.7013506753376686</v>
      </c>
      <c r="G52" s="5"/>
      <c r="H52" s="6">
        <v>2</v>
      </c>
      <c r="I52" s="5">
        <v>1.7391304347826086</v>
      </c>
      <c r="J52" s="5"/>
      <c r="K52" s="3" t="s">
        <v>96</v>
      </c>
      <c r="L52" s="16" t="s">
        <v>96</v>
      </c>
      <c r="N52" s="37">
        <f t="shared" si="1"/>
        <v>2.6</v>
      </c>
      <c r="O52" s="37">
        <f t="shared" si="2"/>
        <v>2.7</v>
      </c>
      <c r="P52" s="37">
        <f t="shared" si="3"/>
        <v>1.7</v>
      </c>
      <c r="Q52" s="37" t="e">
        <f t="shared" si="4"/>
        <v>#VALUE!</v>
      </c>
      <c r="R52" s="37"/>
      <c r="S52" s="37"/>
      <c r="T52" s="37"/>
      <c r="U52" s="37"/>
    </row>
    <row r="53" spans="1:21" ht="14.1" customHeight="1" x14ac:dyDescent="0.25">
      <c r="A53" s="61" t="s">
        <v>30</v>
      </c>
      <c r="B53" s="6">
        <v>96</v>
      </c>
      <c r="C53" s="5">
        <v>4.5049272641952136</v>
      </c>
      <c r="D53" s="5"/>
      <c r="E53" s="6">
        <v>91</v>
      </c>
      <c r="F53" s="5">
        <v>4.5522761380690344</v>
      </c>
      <c r="G53" s="5"/>
      <c r="H53" s="6">
        <v>3</v>
      </c>
      <c r="I53" s="5">
        <v>2.6086956521739131</v>
      </c>
      <c r="J53" s="5"/>
      <c r="K53" s="3">
        <v>2</v>
      </c>
      <c r="L53" s="16">
        <v>11.76470588235294</v>
      </c>
      <c r="N53" s="37">
        <f t="shared" si="1"/>
        <v>4.5</v>
      </c>
      <c r="O53" s="37">
        <f t="shared" si="2"/>
        <v>4.5999999999999996</v>
      </c>
      <c r="P53" s="37">
        <f t="shared" si="3"/>
        <v>2.6</v>
      </c>
      <c r="Q53" s="37">
        <f t="shared" si="4"/>
        <v>11.8</v>
      </c>
      <c r="R53" s="37"/>
      <c r="S53" s="37"/>
      <c r="T53" s="37"/>
      <c r="U53" s="37"/>
    </row>
    <row r="54" spans="1:21" ht="14.1" customHeight="1" x14ac:dyDescent="0.25">
      <c r="A54" s="61" t="s">
        <v>31</v>
      </c>
      <c r="B54" s="6">
        <v>14</v>
      </c>
      <c r="C54" s="5">
        <v>0.65696855936180198</v>
      </c>
      <c r="D54" s="5"/>
      <c r="E54" s="6">
        <v>13</v>
      </c>
      <c r="F54" s="5">
        <v>0.65032516258129069</v>
      </c>
      <c r="G54" s="5"/>
      <c r="H54" s="6">
        <v>1</v>
      </c>
      <c r="I54" s="5">
        <v>0.86956521739130432</v>
      </c>
      <c r="J54" s="5"/>
      <c r="K54" s="3" t="s">
        <v>96</v>
      </c>
      <c r="L54" s="16" t="s">
        <v>96</v>
      </c>
      <c r="N54" s="37">
        <f t="shared" si="1"/>
        <v>0.7</v>
      </c>
      <c r="O54" s="37">
        <f t="shared" si="2"/>
        <v>0.7</v>
      </c>
      <c r="P54" s="37">
        <f t="shared" si="3"/>
        <v>0.9</v>
      </c>
      <c r="Q54" s="37" t="e">
        <f t="shared" si="4"/>
        <v>#VALUE!</v>
      </c>
      <c r="R54" s="37"/>
      <c r="S54" s="37"/>
      <c r="T54" s="37"/>
      <c r="U54" s="37"/>
    </row>
    <row r="55" spans="1:21" ht="14.1" customHeight="1" x14ac:dyDescent="0.25">
      <c r="A55" s="61" t="s">
        <v>32</v>
      </c>
      <c r="B55" s="6">
        <v>410</v>
      </c>
      <c r="C55" s="5">
        <v>19.239793524167055</v>
      </c>
      <c r="D55" s="5"/>
      <c r="E55" s="6">
        <v>388</v>
      </c>
      <c r="F55" s="5">
        <v>19.409704852426213</v>
      </c>
      <c r="G55" s="5"/>
      <c r="H55" s="6">
        <v>21</v>
      </c>
      <c r="I55" s="5">
        <v>18.260869565217391</v>
      </c>
      <c r="J55" s="5"/>
      <c r="K55" s="3">
        <v>1</v>
      </c>
      <c r="L55" s="16">
        <v>5.8823529411764701</v>
      </c>
      <c r="N55" s="37">
        <f t="shared" si="1"/>
        <v>19.2</v>
      </c>
      <c r="O55" s="37">
        <f t="shared" si="2"/>
        <v>19.399999999999999</v>
      </c>
      <c r="P55" s="37">
        <f t="shared" si="3"/>
        <v>18.3</v>
      </c>
      <c r="Q55" s="37">
        <f t="shared" si="4"/>
        <v>5.9</v>
      </c>
      <c r="R55" s="37"/>
      <c r="S55" s="37"/>
      <c r="T55" s="37"/>
      <c r="U55" s="37"/>
    </row>
    <row r="56" spans="1:21" ht="14.1" customHeight="1" x14ac:dyDescent="0.25">
      <c r="A56" s="61" t="s">
        <v>33</v>
      </c>
      <c r="B56" s="6">
        <v>505</v>
      </c>
      <c r="C56" s="5">
        <v>23.697794462693572</v>
      </c>
      <c r="D56" s="5"/>
      <c r="E56" s="6">
        <v>447</v>
      </c>
      <c r="F56" s="5">
        <v>22.16118059029515</v>
      </c>
      <c r="G56" s="5"/>
      <c r="H56" s="6">
        <v>48</v>
      </c>
      <c r="I56" s="5">
        <v>41.839130434782611</v>
      </c>
      <c r="J56" s="5"/>
      <c r="K56" s="3">
        <v>10</v>
      </c>
      <c r="L56" s="16">
        <v>58.723529411764709</v>
      </c>
      <c r="N56" s="37">
        <f t="shared" si="1"/>
        <v>23.7</v>
      </c>
      <c r="O56" s="37">
        <f t="shared" si="2"/>
        <v>22.2</v>
      </c>
      <c r="P56" s="37">
        <f t="shared" si="3"/>
        <v>41.8</v>
      </c>
      <c r="Q56" s="37">
        <f t="shared" si="4"/>
        <v>58.7</v>
      </c>
      <c r="R56" s="37"/>
      <c r="S56" s="37"/>
      <c r="T56" s="37"/>
      <c r="U56" s="37"/>
    </row>
    <row r="57" spans="1:21" ht="14.1" customHeight="1" x14ac:dyDescent="0.25">
      <c r="A57" s="61" t="s">
        <v>34</v>
      </c>
      <c r="B57" s="6">
        <v>272</v>
      </c>
      <c r="C57" s="5">
        <v>12.763960581886439</v>
      </c>
      <c r="D57" s="5"/>
      <c r="E57" s="6">
        <v>251</v>
      </c>
      <c r="F57" s="5">
        <v>12.556278139069535</v>
      </c>
      <c r="G57" s="5"/>
      <c r="H57" s="6">
        <v>19</v>
      </c>
      <c r="I57" s="5">
        <v>16.521739130434781</v>
      </c>
      <c r="J57" s="5"/>
      <c r="K57" s="3">
        <v>2</v>
      </c>
      <c r="L57" s="16">
        <v>11.76470588235294</v>
      </c>
      <c r="N57" s="37">
        <f t="shared" si="1"/>
        <v>12.8</v>
      </c>
      <c r="O57" s="37">
        <f t="shared" si="2"/>
        <v>12.6</v>
      </c>
      <c r="P57" s="37">
        <f t="shared" si="3"/>
        <v>16.5</v>
      </c>
      <c r="Q57" s="37">
        <f t="shared" si="4"/>
        <v>11.8</v>
      </c>
      <c r="R57" s="37"/>
      <c r="S57" s="37"/>
      <c r="T57" s="37"/>
      <c r="U57" s="37"/>
    </row>
    <row r="58" spans="1:21" ht="14.1" customHeight="1" x14ac:dyDescent="0.25">
      <c r="A58" s="61" t="s">
        <v>67</v>
      </c>
      <c r="B58" s="6">
        <v>28</v>
      </c>
      <c r="C58" s="5">
        <v>1.313937118723604</v>
      </c>
      <c r="D58" s="5"/>
      <c r="E58" s="6">
        <v>27</v>
      </c>
      <c r="F58" s="5">
        <v>1.3506753376688343</v>
      </c>
      <c r="G58" s="5"/>
      <c r="H58" s="6">
        <v>1</v>
      </c>
      <c r="I58" s="5">
        <v>0.86956521739130432</v>
      </c>
      <c r="J58" s="5"/>
      <c r="K58" s="3" t="s">
        <v>96</v>
      </c>
      <c r="L58" s="16" t="s">
        <v>96</v>
      </c>
      <c r="N58" s="37">
        <f t="shared" si="1"/>
        <v>1.3</v>
      </c>
      <c r="O58" s="37">
        <f t="shared" si="2"/>
        <v>1.4</v>
      </c>
      <c r="P58" s="37">
        <f t="shared" si="3"/>
        <v>0.9</v>
      </c>
      <c r="Q58" s="37" t="e">
        <f t="shared" si="4"/>
        <v>#VALUE!</v>
      </c>
      <c r="R58" s="37"/>
      <c r="S58" s="37"/>
      <c r="T58" s="37"/>
      <c r="U58" s="37"/>
    </row>
    <row r="59" spans="1:21" ht="14.1" customHeight="1" x14ac:dyDescent="0.25">
      <c r="A59" s="61" t="s">
        <v>69</v>
      </c>
      <c r="B59" s="6">
        <v>47</v>
      </c>
      <c r="C59" s="5">
        <v>2.2055373064289068</v>
      </c>
      <c r="D59" s="5"/>
      <c r="E59" s="6">
        <v>45</v>
      </c>
      <c r="F59" s="5">
        <v>2.2511255627813904</v>
      </c>
      <c r="G59" s="5"/>
      <c r="H59" s="6">
        <v>2</v>
      </c>
      <c r="I59" s="5">
        <v>1.7391304347826086</v>
      </c>
      <c r="J59" s="5"/>
      <c r="K59" s="3" t="s">
        <v>96</v>
      </c>
      <c r="L59" s="16" t="s">
        <v>96</v>
      </c>
      <c r="N59" s="37">
        <f t="shared" si="1"/>
        <v>2.2000000000000002</v>
      </c>
      <c r="O59" s="37">
        <f t="shared" si="2"/>
        <v>2.2999999999999998</v>
      </c>
      <c r="P59" s="37">
        <f t="shared" si="3"/>
        <v>1.7</v>
      </c>
      <c r="Q59" s="37" t="e">
        <f t="shared" si="4"/>
        <v>#VALUE!</v>
      </c>
      <c r="R59" s="37"/>
      <c r="S59" s="37"/>
      <c r="T59" s="37"/>
      <c r="U59" s="37"/>
    </row>
    <row r="60" spans="1:21" ht="14.1" customHeight="1" x14ac:dyDescent="0.25">
      <c r="A60" s="61" t="s">
        <v>35</v>
      </c>
      <c r="B60" s="6">
        <v>43</v>
      </c>
      <c r="C60" s="5">
        <v>2.0178320037541062</v>
      </c>
      <c r="D60" s="5"/>
      <c r="E60" s="6">
        <v>43</v>
      </c>
      <c r="F60" s="5">
        <v>2.1510755377688846</v>
      </c>
      <c r="G60" s="5"/>
      <c r="H60" s="3" t="s">
        <v>96</v>
      </c>
      <c r="I60" s="3" t="s">
        <v>96</v>
      </c>
      <c r="J60" s="5"/>
      <c r="K60" s="3" t="s">
        <v>96</v>
      </c>
      <c r="L60" s="16" t="s">
        <v>96</v>
      </c>
      <c r="N60" s="37">
        <f t="shared" si="1"/>
        <v>2</v>
      </c>
      <c r="O60" s="37">
        <f t="shared" si="2"/>
        <v>2.2000000000000002</v>
      </c>
      <c r="P60" s="37" t="e">
        <f t="shared" si="3"/>
        <v>#VALUE!</v>
      </c>
      <c r="Q60" s="37" t="e">
        <f t="shared" si="4"/>
        <v>#VALUE!</v>
      </c>
      <c r="R60" s="37"/>
      <c r="S60" s="37"/>
      <c r="T60" s="37"/>
      <c r="U60" s="37"/>
    </row>
    <row r="61" spans="1:21" ht="14.1" customHeight="1" x14ac:dyDescent="0.25">
      <c r="A61" s="61" t="s">
        <v>36</v>
      </c>
      <c r="B61" s="6">
        <v>518</v>
      </c>
      <c r="C61" s="5">
        <v>24.307836696386673</v>
      </c>
      <c r="D61" s="5"/>
      <c r="E61" s="6">
        <v>506</v>
      </c>
      <c r="F61" s="5">
        <v>25.212656328164076</v>
      </c>
      <c r="G61" s="5"/>
      <c r="H61" s="6">
        <v>12</v>
      </c>
      <c r="I61" s="5">
        <v>10.434782608695652</v>
      </c>
      <c r="J61" s="5"/>
      <c r="K61" s="3" t="s">
        <v>96</v>
      </c>
      <c r="L61" s="16" t="s">
        <v>96</v>
      </c>
      <c r="N61" s="37">
        <f t="shared" si="1"/>
        <v>24.3</v>
      </c>
      <c r="O61" s="37">
        <f t="shared" si="2"/>
        <v>25.2</v>
      </c>
      <c r="P61" s="37">
        <f t="shared" si="3"/>
        <v>10.4</v>
      </c>
      <c r="Q61" s="37" t="e">
        <f t="shared" si="4"/>
        <v>#VALUE!</v>
      </c>
      <c r="R61" s="37"/>
      <c r="S61" s="37"/>
      <c r="T61" s="37"/>
      <c r="U61" s="37"/>
    </row>
    <row r="62" spans="1:21" ht="14.1" customHeight="1" x14ac:dyDescent="0.25">
      <c r="A62" s="61" t="s">
        <v>37</v>
      </c>
      <c r="B62" s="6">
        <v>115</v>
      </c>
      <c r="C62" s="5">
        <v>5.396527451900516</v>
      </c>
      <c r="D62" s="5"/>
      <c r="E62" s="6">
        <v>110</v>
      </c>
      <c r="F62" s="5">
        <v>5.5027513756878443</v>
      </c>
      <c r="G62" s="5"/>
      <c r="H62" s="6">
        <v>3</v>
      </c>
      <c r="I62" s="5">
        <v>2.6086956521739131</v>
      </c>
      <c r="J62" s="5"/>
      <c r="K62" s="3">
        <v>2</v>
      </c>
      <c r="L62" s="16">
        <v>11.76470588235294</v>
      </c>
      <c r="N62" s="37">
        <f t="shared" si="1"/>
        <v>5.4</v>
      </c>
      <c r="O62" s="37">
        <f t="shared" si="2"/>
        <v>5.5</v>
      </c>
      <c r="P62" s="37">
        <f t="shared" si="3"/>
        <v>2.6</v>
      </c>
      <c r="Q62" s="37">
        <f t="shared" si="4"/>
        <v>11.8</v>
      </c>
      <c r="R62" s="37"/>
      <c r="S62" s="37"/>
      <c r="T62" s="37"/>
      <c r="U62" s="37"/>
    </row>
    <row r="63" spans="1:21" ht="14.1" customHeight="1" x14ac:dyDescent="0.25">
      <c r="A63" s="61"/>
      <c r="B63" s="6"/>
      <c r="C63" s="5"/>
      <c r="D63" s="5"/>
      <c r="E63" s="6"/>
      <c r="F63" s="5"/>
      <c r="G63" s="5"/>
      <c r="H63" s="6"/>
      <c r="I63" s="5"/>
      <c r="J63" s="5"/>
      <c r="K63" s="6"/>
      <c r="L63" s="5"/>
      <c r="N63" s="37">
        <f t="shared" si="1"/>
        <v>0</v>
      </c>
      <c r="O63" s="37">
        <f t="shared" si="2"/>
        <v>0</v>
      </c>
      <c r="P63" s="37">
        <f t="shared" si="3"/>
        <v>0</v>
      </c>
      <c r="Q63" s="37">
        <f t="shared" si="4"/>
        <v>0</v>
      </c>
      <c r="R63" s="37"/>
      <c r="S63" s="37"/>
      <c r="T63" s="37"/>
      <c r="U63" s="37"/>
    </row>
    <row r="64" spans="1:21" ht="14.1" customHeight="1" x14ac:dyDescent="0.25">
      <c r="A64" s="91" t="s">
        <v>20</v>
      </c>
      <c r="B64" s="9">
        <v>13926</v>
      </c>
      <c r="C64" s="15">
        <v>100</v>
      </c>
      <c r="D64" s="15"/>
      <c r="E64" s="9">
        <v>12626</v>
      </c>
      <c r="F64" s="15">
        <v>100</v>
      </c>
      <c r="G64" s="15"/>
      <c r="H64" s="9">
        <v>1051</v>
      </c>
      <c r="I64" s="15">
        <v>100</v>
      </c>
      <c r="J64" s="15"/>
      <c r="K64" s="9">
        <v>249</v>
      </c>
      <c r="L64" s="15">
        <v>100</v>
      </c>
      <c r="N64" s="37">
        <f>SUM(N65:N76)</f>
        <v>100.1</v>
      </c>
      <c r="O64" s="37">
        <f t="shared" ref="O64:Q64" si="7">SUM(O65:O76)</f>
        <v>100.10000000000001</v>
      </c>
      <c r="P64" s="37">
        <f t="shared" si="7"/>
        <v>99.999999999999986</v>
      </c>
      <c r="Q64" s="37" t="e">
        <f t="shared" si="7"/>
        <v>#VALUE!</v>
      </c>
      <c r="R64" s="37"/>
      <c r="S64" s="37"/>
      <c r="T64" s="37"/>
      <c r="U64" s="37"/>
    </row>
    <row r="65" spans="1:21" ht="14.1" customHeight="1" x14ac:dyDescent="0.25">
      <c r="A65" s="61" t="s">
        <v>57</v>
      </c>
      <c r="B65" s="6">
        <v>370</v>
      </c>
      <c r="C65" s="5">
        <v>2.6569007611661641</v>
      </c>
      <c r="D65" s="5"/>
      <c r="E65" s="6">
        <v>316</v>
      </c>
      <c r="F65" s="5">
        <v>2.5027720576587993</v>
      </c>
      <c r="G65" s="5"/>
      <c r="H65" s="6">
        <v>41</v>
      </c>
      <c r="I65" s="5">
        <v>3.9010466222645097</v>
      </c>
      <c r="J65" s="5"/>
      <c r="K65" s="6">
        <v>13</v>
      </c>
      <c r="L65" s="5">
        <v>5.2208835341365463</v>
      </c>
      <c r="N65" s="37">
        <f t="shared" si="1"/>
        <v>2.7</v>
      </c>
      <c r="O65" s="37">
        <f t="shared" si="2"/>
        <v>2.5</v>
      </c>
      <c r="P65" s="37">
        <f t="shared" si="3"/>
        <v>3.9</v>
      </c>
      <c r="Q65" s="37">
        <f t="shared" si="4"/>
        <v>5.2</v>
      </c>
      <c r="R65" s="37"/>
      <c r="S65" s="37"/>
      <c r="T65" s="37"/>
      <c r="U65" s="37"/>
    </row>
    <row r="66" spans="1:21" ht="14.1" customHeight="1" x14ac:dyDescent="0.25">
      <c r="A66" s="61" t="s">
        <v>29</v>
      </c>
      <c r="B66" s="6">
        <v>485</v>
      </c>
      <c r="C66" s="5">
        <v>3.4826942409880797</v>
      </c>
      <c r="D66" s="5"/>
      <c r="E66" s="6">
        <v>447</v>
      </c>
      <c r="F66" s="5">
        <v>3.5403136385236817</v>
      </c>
      <c r="G66" s="5"/>
      <c r="H66" s="6">
        <v>30</v>
      </c>
      <c r="I66" s="5">
        <v>2.8544243577545196</v>
      </c>
      <c r="J66" s="5"/>
      <c r="K66" s="6">
        <v>8</v>
      </c>
      <c r="L66" s="5">
        <v>3.2128514056224895</v>
      </c>
      <c r="N66" s="37">
        <f t="shared" si="1"/>
        <v>3.5</v>
      </c>
      <c r="O66" s="37">
        <f t="shared" si="2"/>
        <v>3.5</v>
      </c>
      <c r="P66" s="37">
        <f t="shared" si="3"/>
        <v>2.9</v>
      </c>
      <c r="Q66" s="37">
        <f t="shared" si="4"/>
        <v>3.2</v>
      </c>
      <c r="R66" s="37"/>
      <c r="S66" s="37"/>
      <c r="T66" s="37"/>
      <c r="U66" s="37"/>
    </row>
    <row r="67" spans="1:21" ht="14.1" customHeight="1" x14ac:dyDescent="0.25">
      <c r="A67" s="61" t="s">
        <v>30</v>
      </c>
      <c r="B67" s="6">
        <v>1280</v>
      </c>
      <c r="C67" s="5">
        <v>9.1914404710613233</v>
      </c>
      <c r="D67" s="5"/>
      <c r="E67" s="6">
        <v>1108</v>
      </c>
      <c r="F67" s="5">
        <v>8.7755425312846516</v>
      </c>
      <c r="G67" s="5"/>
      <c r="H67" s="6">
        <v>123</v>
      </c>
      <c r="I67" s="5">
        <v>11.70313986679353</v>
      </c>
      <c r="J67" s="5"/>
      <c r="K67" s="6">
        <v>49</v>
      </c>
      <c r="L67" s="5">
        <v>19.678714859437751</v>
      </c>
      <c r="N67" s="37">
        <f t="shared" si="1"/>
        <v>9.1999999999999993</v>
      </c>
      <c r="O67" s="37">
        <f t="shared" si="2"/>
        <v>8.8000000000000007</v>
      </c>
      <c r="P67" s="37">
        <f t="shared" si="3"/>
        <v>11.7</v>
      </c>
      <c r="Q67" s="37">
        <f t="shared" si="4"/>
        <v>19.7</v>
      </c>
      <c r="R67" s="37"/>
      <c r="S67" s="37"/>
      <c r="T67" s="37"/>
      <c r="U67" s="37"/>
    </row>
    <row r="68" spans="1:21" ht="14.1" customHeight="1" x14ac:dyDescent="0.25">
      <c r="A68" s="61" t="s">
        <v>31</v>
      </c>
      <c r="B68" s="6">
        <v>67</v>
      </c>
      <c r="C68" s="5">
        <v>0.48111446215711617</v>
      </c>
      <c r="D68" s="5"/>
      <c r="E68" s="6">
        <v>61</v>
      </c>
      <c r="F68" s="5">
        <v>0.48313004910502139</v>
      </c>
      <c r="G68" s="5"/>
      <c r="H68" s="6">
        <v>5</v>
      </c>
      <c r="I68" s="5">
        <v>0.47573739295908657</v>
      </c>
      <c r="J68" s="5"/>
      <c r="K68" s="6">
        <v>1</v>
      </c>
      <c r="L68" s="5">
        <v>0.40160642570281119</v>
      </c>
      <c r="N68" s="37">
        <f t="shared" si="1"/>
        <v>0.5</v>
      </c>
      <c r="O68" s="37">
        <f t="shared" si="2"/>
        <v>0.5</v>
      </c>
      <c r="P68" s="37">
        <f t="shared" si="3"/>
        <v>0.5</v>
      </c>
      <c r="Q68" s="37">
        <f t="shared" si="4"/>
        <v>0.4</v>
      </c>
      <c r="R68" s="37"/>
      <c r="S68" s="37"/>
      <c r="T68" s="37"/>
      <c r="U68" s="37"/>
    </row>
    <row r="69" spans="1:21" ht="14.1" customHeight="1" x14ac:dyDescent="0.25">
      <c r="A69" s="61" t="s">
        <v>32</v>
      </c>
      <c r="B69" s="6">
        <v>1341</v>
      </c>
      <c r="C69" s="5">
        <v>9.6294700560103408</v>
      </c>
      <c r="D69" s="5"/>
      <c r="E69" s="6">
        <v>1232</v>
      </c>
      <c r="F69" s="5">
        <v>9.7576429589735465</v>
      </c>
      <c r="G69" s="5"/>
      <c r="H69" s="6">
        <v>93</v>
      </c>
      <c r="I69" s="5">
        <v>8.8487155090390104</v>
      </c>
      <c r="J69" s="5"/>
      <c r="K69" s="6">
        <v>16</v>
      </c>
      <c r="L69" s="5">
        <v>6.425702811244979</v>
      </c>
      <c r="N69" s="37">
        <f t="shared" si="1"/>
        <v>9.6</v>
      </c>
      <c r="O69" s="37">
        <f t="shared" si="2"/>
        <v>9.8000000000000007</v>
      </c>
      <c r="P69" s="37">
        <f t="shared" si="3"/>
        <v>8.8000000000000007</v>
      </c>
      <c r="Q69" s="37">
        <f t="shared" si="4"/>
        <v>6.4</v>
      </c>
      <c r="R69" s="37"/>
      <c r="S69" s="37"/>
      <c r="T69" s="37"/>
      <c r="U69" s="37"/>
    </row>
    <row r="70" spans="1:21" ht="14.1" customHeight="1" x14ac:dyDescent="0.25">
      <c r="A70" s="61" t="s">
        <v>33</v>
      </c>
      <c r="B70" s="6">
        <v>3427</v>
      </c>
      <c r="C70" s="5">
        <v>24.608645698693092</v>
      </c>
      <c r="D70" s="5"/>
      <c r="E70" s="6">
        <v>2994</v>
      </c>
      <c r="F70" s="5">
        <v>23.712973229843183</v>
      </c>
      <c r="G70" s="5"/>
      <c r="H70" s="6">
        <v>339</v>
      </c>
      <c r="I70" s="5">
        <v>32.254995242626073</v>
      </c>
      <c r="J70" s="5"/>
      <c r="K70" s="6">
        <v>94</v>
      </c>
      <c r="L70" s="5">
        <v>37.851004016064259</v>
      </c>
      <c r="N70" s="37">
        <f t="shared" si="1"/>
        <v>24.6</v>
      </c>
      <c r="O70" s="37">
        <f t="shared" si="2"/>
        <v>23.7</v>
      </c>
      <c r="P70" s="37">
        <f t="shared" si="3"/>
        <v>32.299999999999997</v>
      </c>
      <c r="Q70" s="37">
        <f t="shared" si="4"/>
        <v>37.9</v>
      </c>
      <c r="R70" s="37"/>
      <c r="S70" s="37"/>
      <c r="T70" s="37"/>
      <c r="U70" s="37"/>
    </row>
    <row r="71" spans="1:21" ht="14.1" customHeight="1" x14ac:dyDescent="0.25">
      <c r="A71" s="61" t="s">
        <v>34</v>
      </c>
      <c r="B71" s="6">
        <v>1755</v>
      </c>
      <c r="C71" s="5">
        <v>12.602326583369235</v>
      </c>
      <c r="D71" s="5"/>
      <c r="E71" s="6">
        <v>1600</v>
      </c>
      <c r="F71" s="5">
        <v>12.672263583082527</v>
      </c>
      <c r="G71" s="5"/>
      <c r="H71" s="6">
        <v>128</v>
      </c>
      <c r="I71" s="5">
        <v>12.178877259752618</v>
      </c>
      <c r="J71" s="5"/>
      <c r="K71" s="6">
        <v>27</v>
      </c>
      <c r="L71" s="5">
        <v>10.843373493975903</v>
      </c>
      <c r="N71" s="37">
        <f t="shared" si="1"/>
        <v>12.6</v>
      </c>
      <c r="O71" s="37">
        <f t="shared" si="2"/>
        <v>12.7</v>
      </c>
      <c r="P71" s="37">
        <f t="shared" si="3"/>
        <v>12.2</v>
      </c>
      <c r="Q71" s="37">
        <f t="shared" si="4"/>
        <v>10.8</v>
      </c>
      <c r="R71" s="37"/>
      <c r="S71" s="37"/>
      <c r="T71" s="37"/>
      <c r="U71" s="37"/>
    </row>
    <row r="72" spans="1:21" ht="14.1" customHeight="1" x14ac:dyDescent="0.25">
      <c r="A72" s="61" t="s">
        <v>67</v>
      </c>
      <c r="B72" s="6">
        <v>150</v>
      </c>
      <c r="C72" s="5">
        <v>1.0771219302024988</v>
      </c>
      <c r="D72" s="5"/>
      <c r="E72" s="6">
        <v>138</v>
      </c>
      <c r="F72" s="5">
        <v>1.092982734040868</v>
      </c>
      <c r="G72" s="5"/>
      <c r="H72" s="6">
        <v>12</v>
      </c>
      <c r="I72" s="5">
        <v>1.1417697431018079</v>
      </c>
      <c r="J72" s="5"/>
      <c r="K72" s="3" t="s">
        <v>96</v>
      </c>
      <c r="L72" s="3" t="s">
        <v>96</v>
      </c>
      <c r="N72" s="37">
        <f t="shared" si="1"/>
        <v>1.1000000000000001</v>
      </c>
      <c r="O72" s="37">
        <f t="shared" si="2"/>
        <v>1.1000000000000001</v>
      </c>
      <c r="P72" s="37">
        <f t="shared" si="3"/>
        <v>1.1000000000000001</v>
      </c>
      <c r="Q72" s="37" t="e">
        <f t="shared" si="4"/>
        <v>#VALUE!</v>
      </c>
      <c r="R72" s="37"/>
      <c r="S72" s="37"/>
      <c r="T72" s="37"/>
      <c r="U72" s="37"/>
    </row>
    <row r="73" spans="1:21" ht="14.1" customHeight="1" x14ac:dyDescent="0.25">
      <c r="A73" s="61" t="s">
        <v>69</v>
      </c>
      <c r="B73" s="6">
        <v>404</v>
      </c>
      <c r="C73" s="5">
        <v>2.9010483986787303</v>
      </c>
      <c r="D73" s="5"/>
      <c r="E73" s="6">
        <v>368</v>
      </c>
      <c r="F73" s="5">
        <v>2.9146206241089816</v>
      </c>
      <c r="G73" s="5"/>
      <c r="H73" s="6">
        <v>35</v>
      </c>
      <c r="I73" s="5">
        <v>3.3301617507136063</v>
      </c>
      <c r="J73" s="5"/>
      <c r="K73" s="6">
        <v>1</v>
      </c>
      <c r="L73" s="5">
        <v>0.40160642570281119</v>
      </c>
      <c r="N73" s="37">
        <f t="shared" si="1"/>
        <v>2.9</v>
      </c>
      <c r="O73" s="37">
        <f t="shared" si="2"/>
        <v>2.9</v>
      </c>
      <c r="P73" s="37">
        <f t="shared" si="3"/>
        <v>3.3</v>
      </c>
      <c r="Q73" s="37">
        <f t="shared" si="4"/>
        <v>0.4</v>
      </c>
      <c r="R73" s="37"/>
      <c r="S73" s="37"/>
      <c r="T73" s="37"/>
      <c r="U73" s="37"/>
    </row>
    <row r="74" spans="1:21" ht="14.1" customHeight="1" x14ac:dyDescent="0.25">
      <c r="A74" s="61" t="s">
        <v>35</v>
      </c>
      <c r="B74" s="6">
        <v>444</v>
      </c>
      <c r="C74" s="5">
        <v>3.1882809133993968</v>
      </c>
      <c r="D74" s="5"/>
      <c r="E74" s="6">
        <v>409</v>
      </c>
      <c r="F74" s="5">
        <v>3.2393473784254714</v>
      </c>
      <c r="G74" s="5"/>
      <c r="H74" s="6">
        <v>32</v>
      </c>
      <c r="I74" s="5">
        <v>3.0447193149381544</v>
      </c>
      <c r="J74" s="5"/>
      <c r="K74" s="6">
        <v>3</v>
      </c>
      <c r="L74" s="5">
        <v>1.2048192771084338</v>
      </c>
      <c r="N74" s="37">
        <f t="shared" si="1"/>
        <v>3.2</v>
      </c>
      <c r="O74" s="37">
        <f t="shared" si="2"/>
        <v>3.2</v>
      </c>
      <c r="P74" s="37">
        <f t="shared" si="3"/>
        <v>3</v>
      </c>
      <c r="Q74" s="37">
        <f t="shared" si="4"/>
        <v>1.2</v>
      </c>
      <c r="R74" s="37"/>
      <c r="S74" s="37"/>
      <c r="T74" s="37"/>
      <c r="U74" s="37"/>
    </row>
    <row r="75" spans="1:21" ht="14.1" customHeight="1" x14ac:dyDescent="0.25">
      <c r="A75" s="61" t="s">
        <v>36</v>
      </c>
      <c r="B75" s="6">
        <v>2659</v>
      </c>
      <c r="C75" s="5">
        <v>19.093781416056295</v>
      </c>
      <c r="D75" s="5"/>
      <c r="E75" s="6">
        <v>2519</v>
      </c>
      <c r="F75" s="5">
        <v>19.950894978615555</v>
      </c>
      <c r="G75" s="5"/>
      <c r="H75" s="6">
        <v>123</v>
      </c>
      <c r="I75" s="5">
        <v>11.70313986679353</v>
      </c>
      <c r="J75" s="5"/>
      <c r="K75" s="6">
        <v>17</v>
      </c>
      <c r="L75" s="5">
        <v>6.8273092369477917</v>
      </c>
      <c r="N75" s="37">
        <f t="shared" si="1"/>
        <v>19.100000000000001</v>
      </c>
      <c r="O75" s="37">
        <f t="shared" si="2"/>
        <v>20</v>
      </c>
      <c r="P75" s="37">
        <f t="shared" si="3"/>
        <v>11.7</v>
      </c>
      <c r="Q75" s="37">
        <f t="shared" si="4"/>
        <v>6.8</v>
      </c>
      <c r="R75" s="37"/>
      <c r="S75" s="37"/>
      <c r="T75" s="37"/>
      <c r="U75" s="37"/>
    </row>
    <row r="76" spans="1:21" ht="14.1" customHeight="1" x14ac:dyDescent="0.25">
      <c r="A76" s="61" t="s">
        <v>37</v>
      </c>
      <c r="B76" s="6">
        <v>1544</v>
      </c>
      <c r="C76" s="5">
        <v>11.087175068217721</v>
      </c>
      <c r="D76" s="5"/>
      <c r="E76" s="6">
        <v>1434</v>
      </c>
      <c r="F76" s="5">
        <v>11.357516236337716</v>
      </c>
      <c r="G76" s="5"/>
      <c r="H76" s="6">
        <v>90</v>
      </c>
      <c r="I76" s="5">
        <v>8.5632730732635576</v>
      </c>
      <c r="J76" s="5"/>
      <c r="K76" s="6">
        <v>20</v>
      </c>
      <c r="L76" s="5">
        <v>8.0321285140562253</v>
      </c>
      <c r="N76" s="37">
        <f t="shared" si="1"/>
        <v>11.1</v>
      </c>
      <c r="O76" s="37">
        <f t="shared" si="2"/>
        <v>11.4</v>
      </c>
      <c r="P76" s="37">
        <f t="shared" si="3"/>
        <v>8.6</v>
      </c>
      <c r="Q76" s="37">
        <f t="shared" si="4"/>
        <v>8</v>
      </c>
      <c r="R76" s="37"/>
      <c r="S76" s="37"/>
      <c r="T76" s="37"/>
      <c r="U76" s="37"/>
    </row>
    <row r="77" spans="1:21" ht="14.1" customHeight="1" x14ac:dyDescent="0.25">
      <c r="A77" s="61"/>
      <c r="B77" s="6"/>
      <c r="C77" s="5"/>
      <c r="D77" s="5"/>
      <c r="E77" s="6"/>
      <c r="F77" s="5"/>
      <c r="G77" s="5"/>
      <c r="H77" s="6"/>
      <c r="I77" s="5"/>
      <c r="J77" s="5"/>
      <c r="K77" s="6"/>
      <c r="L77" s="5"/>
      <c r="N77" s="37">
        <f t="shared" si="1"/>
        <v>0</v>
      </c>
      <c r="O77" s="37">
        <f t="shared" si="2"/>
        <v>0</v>
      </c>
      <c r="P77" s="37">
        <f t="shared" si="3"/>
        <v>0</v>
      </c>
      <c r="Q77" s="37">
        <f t="shared" si="4"/>
        <v>0</v>
      </c>
      <c r="R77" s="37"/>
      <c r="S77" s="37"/>
      <c r="T77" s="37"/>
      <c r="U77" s="37"/>
    </row>
    <row r="78" spans="1:21" ht="14.1" customHeight="1" x14ac:dyDescent="0.25">
      <c r="A78" s="91" t="s">
        <v>19</v>
      </c>
      <c r="B78" s="9">
        <v>3552</v>
      </c>
      <c r="C78" s="15">
        <v>100</v>
      </c>
      <c r="D78" s="15"/>
      <c r="E78" s="9">
        <v>3322</v>
      </c>
      <c r="F78" s="15">
        <v>100</v>
      </c>
      <c r="G78" s="15"/>
      <c r="H78" s="9">
        <v>195</v>
      </c>
      <c r="I78" s="15">
        <v>100</v>
      </c>
      <c r="J78" s="15"/>
      <c r="K78" s="9">
        <v>35</v>
      </c>
      <c r="L78" s="15">
        <v>100</v>
      </c>
      <c r="N78" s="37">
        <f>SUM(N79:N90)</f>
        <v>100</v>
      </c>
      <c r="O78" s="37">
        <f t="shared" ref="O78:Q78" si="8">SUM(O79:O90)</f>
        <v>100</v>
      </c>
      <c r="P78" s="37" t="e">
        <f t="shared" si="8"/>
        <v>#VALUE!</v>
      </c>
      <c r="Q78" s="37" t="e">
        <f t="shared" si="8"/>
        <v>#VALUE!</v>
      </c>
      <c r="R78" s="37"/>
      <c r="S78" s="37"/>
      <c r="T78" s="37"/>
      <c r="U78" s="37"/>
    </row>
    <row r="79" spans="1:21" ht="14.1" customHeight="1" x14ac:dyDescent="0.25">
      <c r="A79" s="61" t="s">
        <v>57</v>
      </c>
      <c r="B79" s="6">
        <v>83</v>
      </c>
      <c r="C79" s="5">
        <v>2.336711711711712</v>
      </c>
      <c r="D79" s="5"/>
      <c r="E79" s="6">
        <v>75</v>
      </c>
      <c r="F79" s="5">
        <v>2.2576760987357014</v>
      </c>
      <c r="G79" s="5"/>
      <c r="H79" s="6">
        <v>6</v>
      </c>
      <c r="I79" s="5">
        <v>3.0769230769230771</v>
      </c>
      <c r="J79" s="5"/>
      <c r="K79" s="6">
        <v>2</v>
      </c>
      <c r="L79" s="5">
        <v>5.7142857142857144</v>
      </c>
      <c r="N79" s="37">
        <f t="shared" si="1"/>
        <v>2.2999999999999998</v>
      </c>
      <c r="O79" s="37">
        <f t="shared" si="2"/>
        <v>2.2999999999999998</v>
      </c>
      <c r="P79" s="37">
        <f t="shared" si="3"/>
        <v>3.1</v>
      </c>
      <c r="Q79" s="37">
        <f t="shared" si="4"/>
        <v>5.7</v>
      </c>
      <c r="R79" s="37"/>
      <c r="S79" s="37"/>
      <c r="T79" s="37"/>
      <c r="U79" s="37"/>
    </row>
    <row r="80" spans="1:21" ht="14.1" customHeight="1" x14ac:dyDescent="0.25">
      <c r="A80" s="61" t="s">
        <v>29</v>
      </c>
      <c r="B80" s="6">
        <v>50</v>
      </c>
      <c r="C80" s="5">
        <v>1.4076576576576576</v>
      </c>
      <c r="D80" s="5"/>
      <c r="E80" s="6">
        <v>49</v>
      </c>
      <c r="F80" s="5">
        <v>1.4750150511739917</v>
      </c>
      <c r="G80" s="5"/>
      <c r="H80" s="3" t="s">
        <v>96</v>
      </c>
      <c r="I80" s="3" t="s">
        <v>96</v>
      </c>
      <c r="J80" s="5"/>
      <c r="K80" s="6">
        <v>1</v>
      </c>
      <c r="L80" s="5">
        <v>2.8571428571428572</v>
      </c>
      <c r="N80" s="37">
        <f t="shared" si="1"/>
        <v>1.4</v>
      </c>
      <c r="O80" s="37">
        <f t="shared" si="2"/>
        <v>1.5</v>
      </c>
      <c r="P80" s="37" t="e">
        <f t="shared" si="3"/>
        <v>#VALUE!</v>
      </c>
      <c r="Q80" s="37">
        <f t="shared" si="4"/>
        <v>2.9</v>
      </c>
      <c r="R80" s="37"/>
      <c r="S80" s="37"/>
      <c r="T80" s="37"/>
      <c r="U80" s="37"/>
    </row>
    <row r="81" spans="1:21" ht="14.1" customHeight="1" x14ac:dyDescent="0.25">
      <c r="A81" s="61" t="s">
        <v>30</v>
      </c>
      <c r="B81" s="6">
        <v>152</v>
      </c>
      <c r="C81" s="5">
        <v>4.2792792792792795</v>
      </c>
      <c r="D81" s="5"/>
      <c r="E81" s="6">
        <v>144</v>
      </c>
      <c r="F81" s="5">
        <v>4.3347381095725463</v>
      </c>
      <c r="G81" s="5"/>
      <c r="H81" s="3">
        <v>7</v>
      </c>
      <c r="I81" s="16">
        <v>3.5897435897435894</v>
      </c>
      <c r="J81" s="5"/>
      <c r="K81" s="6">
        <v>1</v>
      </c>
      <c r="L81" s="5">
        <v>2.8571428571428572</v>
      </c>
      <c r="N81" s="37">
        <f t="shared" si="1"/>
        <v>4.3</v>
      </c>
      <c r="O81" s="37">
        <f t="shared" si="2"/>
        <v>4.3</v>
      </c>
      <c r="P81" s="37">
        <f t="shared" si="3"/>
        <v>3.6</v>
      </c>
      <c r="Q81" s="37">
        <f t="shared" si="4"/>
        <v>2.9</v>
      </c>
      <c r="R81" s="37"/>
      <c r="S81" s="37"/>
      <c r="T81" s="37"/>
      <c r="U81" s="37"/>
    </row>
    <row r="82" spans="1:21" ht="14.1" customHeight="1" x14ac:dyDescent="0.25">
      <c r="A82" s="61" t="s">
        <v>31</v>
      </c>
      <c r="B82" s="6">
        <v>10</v>
      </c>
      <c r="C82" s="5">
        <v>0.28153153153153154</v>
      </c>
      <c r="D82" s="5"/>
      <c r="E82" s="6">
        <v>8</v>
      </c>
      <c r="F82" s="5">
        <v>0.24081878386514149</v>
      </c>
      <c r="G82" s="5"/>
      <c r="H82" s="3" t="s">
        <v>96</v>
      </c>
      <c r="I82" s="3" t="s">
        <v>96</v>
      </c>
      <c r="J82" s="5"/>
      <c r="K82" s="6">
        <v>2</v>
      </c>
      <c r="L82" s="5">
        <v>5.7142857142857144</v>
      </c>
      <c r="N82" s="37">
        <f t="shared" si="1"/>
        <v>0.3</v>
      </c>
      <c r="O82" s="37">
        <f t="shared" si="2"/>
        <v>0.2</v>
      </c>
      <c r="P82" s="37" t="e">
        <f t="shared" si="3"/>
        <v>#VALUE!</v>
      </c>
      <c r="Q82" s="37">
        <f t="shared" si="4"/>
        <v>5.7</v>
      </c>
      <c r="R82" s="37"/>
      <c r="S82" s="37"/>
      <c r="T82" s="37"/>
      <c r="U82" s="37"/>
    </row>
    <row r="83" spans="1:21" ht="14.1" customHeight="1" x14ac:dyDescent="0.25">
      <c r="A83" s="61" t="s">
        <v>32</v>
      </c>
      <c r="B83" s="6">
        <v>603</v>
      </c>
      <c r="C83" s="5">
        <v>16.976351351351351</v>
      </c>
      <c r="D83" s="5"/>
      <c r="E83" s="6">
        <v>566</v>
      </c>
      <c r="F83" s="5">
        <v>17.03792895845876</v>
      </c>
      <c r="G83" s="5"/>
      <c r="H83" s="6">
        <v>33</v>
      </c>
      <c r="I83" s="5">
        <v>16.923076923076923</v>
      </c>
      <c r="J83" s="5"/>
      <c r="K83" s="6">
        <v>4</v>
      </c>
      <c r="L83" s="5">
        <v>11.428571428571429</v>
      </c>
      <c r="N83" s="37">
        <f t="shared" si="1"/>
        <v>17</v>
      </c>
      <c r="O83" s="37">
        <f t="shared" si="2"/>
        <v>17</v>
      </c>
      <c r="P83" s="37">
        <f t="shared" si="3"/>
        <v>16.899999999999999</v>
      </c>
      <c r="Q83" s="37">
        <f t="shared" si="4"/>
        <v>11.4</v>
      </c>
      <c r="R83" s="37"/>
      <c r="S83" s="37"/>
      <c r="T83" s="37"/>
      <c r="U83" s="37"/>
    </row>
    <row r="84" spans="1:21" ht="14.1" customHeight="1" x14ac:dyDescent="0.25">
      <c r="A84" s="61" t="s">
        <v>33</v>
      </c>
      <c r="B84" s="6">
        <v>893</v>
      </c>
      <c r="C84" s="5">
        <v>25.140765765765767</v>
      </c>
      <c r="D84" s="5"/>
      <c r="E84" s="6">
        <v>779</v>
      </c>
      <c r="F84" s="5">
        <v>23.449729078868149</v>
      </c>
      <c r="G84" s="5"/>
      <c r="H84" s="6">
        <v>92</v>
      </c>
      <c r="I84" s="5">
        <v>47.079487179487174</v>
      </c>
      <c r="J84" s="5"/>
      <c r="K84" s="6">
        <v>22</v>
      </c>
      <c r="L84" s="5">
        <v>62.857142857142854</v>
      </c>
      <c r="N84" s="37">
        <f t="shared" si="1"/>
        <v>25.1</v>
      </c>
      <c r="O84" s="37">
        <f t="shared" si="2"/>
        <v>23.4</v>
      </c>
      <c r="P84" s="37">
        <f t="shared" si="3"/>
        <v>47.1</v>
      </c>
      <c r="Q84" s="37">
        <f t="shared" si="4"/>
        <v>62.9</v>
      </c>
      <c r="R84" s="37"/>
      <c r="S84" s="37"/>
      <c r="T84" s="37"/>
      <c r="U84" s="37"/>
    </row>
    <row r="85" spans="1:21" ht="14.1" customHeight="1" x14ac:dyDescent="0.25">
      <c r="A85" s="61" t="s">
        <v>34</v>
      </c>
      <c r="B85" s="6">
        <v>309</v>
      </c>
      <c r="C85" s="5">
        <v>8.6993243243243246</v>
      </c>
      <c r="D85" s="5"/>
      <c r="E85" s="6">
        <v>296</v>
      </c>
      <c r="F85" s="5">
        <v>8.9102950030102352</v>
      </c>
      <c r="G85" s="5"/>
      <c r="H85" s="6">
        <v>12</v>
      </c>
      <c r="I85" s="5">
        <v>6.1538461538461542</v>
      </c>
      <c r="J85" s="5"/>
      <c r="K85" s="6">
        <v>1</v>
      </c>
      <c r="L85" s="5">
        <v>2.8571428571428572</v>
      </c>
      <c r="N85" s="37">
        <f t="shared" si="1"/>
        <v>8.6999999999999993</v>
      </c>
      <c r="O85" s="37">
        <f t="shared" si="2"/>
        <v>8.9</v>
      </c>
      <c r="P85" s="37">
        <f t="shared" si="3"/>
        <v>6.2</v>
      </c>
      <c r="Q85" s="37">
        <f t="shared" si="4"/>
        <v>2.9</v>
      </c>
      <c r="R85" s="37"/>
      <c r="S85" s="37"/>
      <c r="T85" s="37"/>
      <c r="U85" s="37"/>
    </row>
    <row r="86" spans="1:21" ht="14.1" customHeight="1" x14ac:dyDescent="0.25">
      <c r="A86" s="61" t="s">
        <v>67</v>
      </c>
      <c r="B86" s="6">
        <v>18</v>
      </c>
      <c r="C86" s="5">
        <v>0.5067567567567568</v>
      </c>
      <c r="D86" s="5"/>
      <c r="E86" s="6">
        <v>17</v>
      </c>
      <c r="F86" s="5">
        <v>0.5117399157134257</v>
      </c>
      <c r="G86" s="5"/>
      <c r="H86" s="6">
        <v>1</v>
      </c>
      <c r="I86" s="5">
        <v>0.51282051282051277</v>
      </c>
      <c r="J86" s="5"/>
      <c r="K86" s="3" t="s">
        <v>96</v>
      </c>
      <c r="L86" s="3" t="s">
        <v>96</v>
      </c>
      <c r="N86" s="37">
        <f t="shared" si="1"/>
        <v>0.5</v>
      </c>
      <c r="O86" s="37">
        <f t="shared" si="2"/>
        <v>0.5</v>
      </c>
      <c r="P86" s="37">
        <f t="shared" si="3"/>
        <v>0.5</v>
      </c>
      <c r="Q86" s="37" t="e">
        <f t="shared" si="4"/>
        <v>#VALUE!</v>
      </c>
      <c r="R86" s="37"/>
      <c r="S86" s="37"/>
      <c r="T86" s="37"/>
      <c r="U86" s="37"/>
    </row>
    <row r="87" spans="1:21" ht="14.1" customHeight="1" x14ac:dyDescent="0.25">
      <c r="A87" s="61" t="s">
        <v>69</v>
      </c>
      <c r="B87" s="6">
        <v>57</v>
      </c>
      <c r="C87" s="5">
        <v>1.6047297297297296</v>
      </c>
      <c r="D87" s="5"/>
      <c r="E87" s="6">
        <v>56</v>
      </c>
      <c r="F87" s="5">
        <v>1.6857314870559903</v>
      </c>
      <c r="G87" s="5"/>
      <c r="H87" s="6">
        <v>1</v>
      </c>
      <c r="I87" s="5">
        <v>0.51282051282051277</v>
      </c>
      <c r="J87" s="5"/>
      <c r="K87" s="3" t="s">
        <v>96</v>
      </c>
      <c r="L87" s="3" t="s">
        <v>96</v>
      </c>
      <c r="N87" s="37">
        <f t="shared" si="1"/>
        <v>1.6</v>
      </c>
      <c r="O87" s="37">
        <f t="shared" si="2"/>
        <v>1.7</v>
      </c>
      <c r="P87" s="37">
        <f t="shared" si="3"/>
        <v>0.5</v>
      </c>
      <c r="Q87" s="37" t="e">
        <f t="shared" si="4"/>
        <v>#VALUE!</v>
      </c>
      <c r="R87" s="37"/>
      <c r="S87" s="37"/>
      <c r="T87" s="37"/>
      <c r="U87" s="37"/>
    </row>
    <row r="88" spans="1:21" ht="14.1" customHeight="1" x14ac:dyDescent="0.25">
      <c r="A88" s="61" t="s">
        <v>35</v>
      </c>
      <c r="B88" s="6">
        <v>79</v>
      </c>
      <c r="C88" s="5">
        <v>2.224099099099099</v>
      </c>
      <c r="D88" s="5"/>
      <c r="E88" s="6">
        <v>75</v>
      </c>
      <c r="F88" s="5">
        <v>2.2576760987357014</v>
      </c>
      <c r="G88" s="5"/>
      <c r="H88" s="6">
        <v>4</v>
      </c>
      <c r="I88" s="5">
        <v>2.0512820512820511</v>
      </c>
      <c r="J88" s="5"/>
      <c r="K88" s="3" t="s">
        <v>96</v>
      </c>
      <c r="L88" s="3" t="s">
        <v>96</v>
      </c>
      <c r="N88" s="37">
        <f t="shared" ref="N88:N151" si="9">ROUND(C88,1)</f>
        <v>2.2000000000000002</v>
      </c>
      <c r="O88" s="37">
        <f t="shared" ref="O88:O151" si="10">ROUND(F88,1)</f>
        <v>2.2999999999999998</v>
      </c>
      <c r="P88" s="37">
        <f t="shared" ref="P88:P151" si="11">ROUND(I88,1)</f>
        <v>2.1</v>
      </c>
      <c r="Q88" s="37" t="e">
        <f t="shared" ref="Q88:Q151" si="12">ROUND(L88,1)</f>
        <v>#VALUE!</v>
      </c>
      <c r="R88" s="37"/>
      <c r="S88" s="37"/>
      <c r="T88" s="37"/>
      <c r="U88" s="37"/>
    </row>
    <row r="89" spans="1:21" ht="14.1" customHeight="1" x14ac:dyDescent="0.25">
      <c r="A89" s="61" t="s">
        <v>36</v>
      </c>
      <c r="B89" s="6">
        <v>1047</v>
      </c>
      <c r="C89" s="5">
        <v>29.476351351351347</v>
      </c>
      <c r="D89" s="5"/>
      <c r="E89" s="6">
        <v>1012</v>
      </c>
      <c r="F89" s="5">
        <v>30.463576158940398</v>
      </c>
      <c r="G89" s="5"/>
      <c r="H89" s="6">
        <v>33</v>
      </c>
      <c r="I89" s="5">
        <v>16.923076923076923</v>
      </c>
      <c r="J89" s="5"/>
      <c r="K89" s="3">
        <v>2</v>
      </c>
      <c r="L89" s="16">
        <v>5.7142857142857144</v>
      </c>
      <c r="N89" s="37">
        <f t="shared" si="9"/>
        <v>29.5</v>
      </c>
      <c r="O89" s="37">
        <f t="shared" si="10"/>
        <v>30.5</v>
      </c>
      <c r="P89" s="37">
        <f t="shared" si="11"/>
        <v>16.899999999999999</v>
      </c>
      <c r="Q89" s="37">
        <f t="shared" si="12"/>
        <v>5.7</v>
      </c>
      <c r="R89" s="37"/>
      <c r="S89" s="37"/>
      <c r="T89" s="37"/>
      <c r="U89" s="37"/>
    </row>
    <row r="90" spans="1:21" ht="14.1" customHeight="1" x14ac:dyDescent="0.25">
      <c r="A90" s="61" t="s">
        <v>37</v>
      </c>
      <c r="B90" s="6">
        <v>251</v>
      </c>
      <c r="C90" s="5">
        <v>7.0664414414414418</v>
      </c>
      <c r="D90" s="5"/>
      <c r="E90" s="6">
        <v>245</v>
      </c>
      <c r="F90" s="5">
        <v>7.3750752558699579</v>
      </c>
      <c r="G90" s="5"/>
      <c r="H90" s="6">
        <v>6</v>
      </c>
      <c r="I90" s="5">
        <v>3.0769230769230771</v>
      </c>
      <c r="J90" s="5"/>
      <c r="K90" s="3" t="s">
        <v>96</v>
      </c>
      <c r="L90" s="3" t="s">
        <v>96</v>
      </c>
      <c r="N90" s="37">
        <f t="shared" si="9"/>
        <v>7.1</v>
      </c>
      <c r="O90" s="37">
        <f t="shared" si="10"/>
        <v>7.4</v>
      </c>
      <c r="P90" s="37">
        <f t="shared" si="11"/>
        <v>3.1</v>
      </c>
      <c r="Q90" s="37" t="e">
        <f t="shared" si="12"/>
        <v>#VALUE!</v>
      </c>
      <c r="R90" s="37"/>
      <c r="S90" s="37"/>
      <c r="T90" s="37"/>
      <c r="U90" s="37"/>
    </row>
    <row r="91" spans="1:21" ht="14.1" customHeight="1" x14ac:dyDescent="0.25">
      <c r="A91" s="61"/>
      <c r="B91" s="6"/>
      <c r="C91" s="5"/>
      <c r="D91" s="5"/>
      <c r="E91" s="6"/>
      <c r="F91" s="5"/>
      <c r="G91" s="5"/>
      <c r="H91" s="6"/>
      <c r="I91" s="5"/>
      <c r="J91" s="5"/>
      <c r="K91" s="6"/>
      <c r="L91" s="5"/>
      <c r="N91" s="37">
        <f t="shared" si="9"/>
        <v>0</v>
      </c>
      <c r="O91" s="37">
        <f t="shared" si="10"/>
        <v>0</v>
      </c>
      <c r="P91" s="37">
        <f t="shared" si="11"/>
        <v>0</v>
      </c>
      <c r="Q91" s="37">
        <f t="shared" si="12"/>
        <v>0</v>
      </c>
      <c r="R91" s="37"/>
      <c r="S91" s="37"/>
      <c r="T91" s="37"/>
      <c r="U91" s="37"/>
    </row>
    <row r="92" spans="1:21" ht="14.1" customHeight="1" x14ac:dyDescent="0.25">
      <c r="A92" s="91" t="s">
        <v>18</v>
      </c>
      <c r="B92" s="9">
        <v>4678</v>
      </c>
      <c r="C92" s="15">
        <v>100</v>
      </c>
      <c r="D92" s="15"/>
      <c r="E92" s="9">
        <v>4309</v>
      </c>
      <c r="F92" s="15">
        <v>100</v>
      </c>
      <c r="G92" s="15"/>
      <c r="H92" s="9">
        <v>277</v>
      </c>
      <c r="I92" s="15">
        <v>100</v>
      </c>
      <c r="J92" s="15"/>
      <c r="K92" s="9">
        <v>92</v>
      </c>
      <c r="L92" s="15">
        <v>100</v>
      </c>
      <c r="N92" s="37">
        <f>SUM(N93:N104)</f>
        <v>100.00000000000001</v>
      </c>
      <c r="O92" s="37">
        <f t="shared" ref="O92:Q92" si="13">SUM(O93:O104)</f>
        <v>100.00000000000001</v>
      </c>
      <c r="P92" s="37">
        <f t="shared" si="13"/>
        <v>99.999999999999986</v>
      </c>
      <c r="Q92" s="37" t="e">
        <f t="shared" si="13"/>
        <v>#VALUE!</v>
      </c>
      <c r="R92" s="37"/>
      <c r="S92" s="37"/>
      <c r="T92" s="37"/>
      <c r="U92" s="37"/>
    </row>
    <row r="93" spans="1:21" ht="14.1" customHeight="1" x14ac:dyDescent="0.25">
      <c r="A93" s="61" t="s">
        <v>57</v>
      </c>
      <c r="B93" s="6">
        <v>107</v>
      </c>
      <c r="C93" s="5">
        <v>2.2873022659256095</v>
      </c>
      <c r="D93" s="5"/>
      <c r="E93" s="6">
        <v>96</v>
      </c>
      <c r="F93" s="5">
        <v>2.2278951032722207</v>
      </c>
      <c r="G93" s="5"/>
      <c r="H93" s="6">
        <v>10</v>
      </c>
      <c r="I93" s="5">
        <v>3.6101083032490973</v>
      </c>
      <c r="J93" s="5"/>
      <c r="K93" s="6">
        <v>1</v>
      </c>
      <c r="L93" s="5">
        <v>1.0869565217391304</v>
      </c>
      <c r="N93" s="37">
        <f t="shared" si="9"/>
        <v>2.2999999999999998</v>
      </c>
      <c r="O93" s="37">
        <f t="shared" si="10"/>
        <v>2.2000000000000002</v>
      </c>
      <c r="P93" s="37">
        <f t="shared" si="11"/>
        <v>3.6</v>
      </c>
      <c r="Q93" s="37">
        <f t="shared" si="12"/>
        <v>1.1000000000000001</v>
      </c>
      <c r="R93" s="37"/>
      <c r="S93" s="37"/>
      <c r="T93" s="37"/>
      <c r="U93" s="37"/>
    </row>
    <row r="94" spans="1:21" ht="14.1" customHeight="1" x14ac:dyDescent="0.25">
      <c r="A94" s="61" t="s">
        <v>29</v>
      </c>
      <c r="B94" s="6">
        <v>42</v>
      </c>
      <c r="C94" s="5">
        <v>0.8978195810175289</v>
      </c>
      <c r="D94" s="5"/>
      <c r="E94" s="6">
        <v>36</v>
      </c>
      <c r="F94" s="5">
        <v>0.83546066372708283</v>
      </c>
      <c r="G94" s="5"/>
      <c r="H94" s="6">
        <v>6</v>
      </c>
      <c r="I94" s="5">
        <v>2.1660649819494582</v>
      </c>
      <c r="J94" s="5"/>
      <c r="K94" s="3" t="s">
        <v>96</v>
      </c>
      <c r="L94" s="3" t="s">
        <v>96</v>
      </c>
      <c r="N94" s="37">
        <f t="shared" si="9"/>
        <v>0.9</v>
      </c>
      <c r="O94" s="37">
        <f t="shared" si="10"/>
        <v>0.8</v>
      </c>
      <c r="P94" s="37">
        <f t="shared" si="11"/>
        <v>2.2000000000000002</v>
      </c>
      <c r="Q94" s="37" t="e">
        <f t="shared" si="12"/>
        <v>#VALUE!</v>
      </c>
      <c r="R94" s="37"/>
      <c r="S94" s="37"/>
      <c r="T94" s="37"/>
      <c r="U94" s="37"/>
    </row>
    <row r="95" spans="1:21" ht="14.1" customHeight="1" x14ac:dyDescent="0.25">
      <c r="A95" s="61" t="s">
        <v>30</v>
      </c>
      <c r="B95" s="6">
        <v>235</v>
      </c>
      <c r="C95" s="5">
        <v>5.0235143223599827</v>
      </c>
      <c r="D95" s="5"/>
      <c r="E95" s="6">
        <v>217</v>
      </c>
      <c r="F95" s="5">
        <v>5.0359712230215825</v>
      </c>
      <c r="G95" s="5"/>
      <c r="H95" s="6">
        <v>14</v>
      </c>
      <c r="I95" s="5">
        <v>5.0541516245487363</v>
      </c>
      <c r="J95" s="5"/>
      <c r="K95" s="6">
        <v>4</v>
      </c>
      <c r="L95" s="5">
        <v>4.3478260869565215</v>
      </c>
      <c r="N95" s="37">
        <f t="shared" si="9"/>
        <v>5</v>
      </c>
      <c r="O95" s="37">
        <f t="shared" si="10"/>
        <v>5</v>
      </c>
      <c r="P95" s="37">
        <f t="shared" si="11"/>
        <v>5.0999999999999996</v>
      </c>
      <c r="Q95" s="37">
        <f t="shared" si="12"/>
        <v>4.3</v>
      </c>
      <c r="R95" s="37"/>
      <c r="S95" s="37"/>
      <c r="T95" s="37"/>
      <c r="U95" s="37"/>
    </row>
    <row r="96" spans="1:21" ht="14.1" customHeight="1" x14ac:dyDescent="0.25">
      <c r="A96" s="61" t="s">
        <v>31</v>
      </c>
      <c r="B96" s="6">
        <v>24</v>
      </c>
      <c r="C96" s="5">
        <v>0.51303976058144507</v>
      </c>
      <c r="D96" s="5"/>
      <c r="E96" s="6">
        <v>20</v>
      </c>
      <c r="F96" s="5">
        <v>0.46414481318171269</v>
      </c>
      <c r="G96" s="5"/>
      <c r="H96" s="6">
        <v>2</v>
      </c>
      <c r="I96" s="5">
        <v>0.72202166064981954</v>
      </c>
      <c r="J96" s="5"/>
      <c r="K96" s="6">
        <v>2</v>
      </c>
      <c r="L96" s="5">
        <v>2.1739130434782608</v>
      </c>
      <c r="N96" s="37">
        <f t="shared" si="9"/>
        <v>0.5</v>
      </c>
      <c r="O96" s="37">
        <f t="shared" si="10"/>
        <v>0.5</v>
      </c>
      <c r="P96" s="37">
        <f t="shared" si="11"/>
        <v>0.7</v>
      </c>
      <c r="Q96" s="37">
        <f t="shared" si="12"/>
        <v>2.2000000000000002</v>
      </c>
      <c r="R96" s="37"/>
      <c r="S96" s="37"/>
      <c r="T96" s="37"/>
      <c r="U96" s="37"/>
    </row>
    <row r="97" spans="1:21" ht="14.1" customHeight="1" x14ac:dyDescent="0.25">
      <c r="A97" s="61" t="s">
        <v>32</v>
      </c>
      <c r="B97" s="6">
        <v>1201</v>
      </c>
      <c r="C97" s="5">
        <v>25.573364685763142</v>
      </c>
      <c r="D97" s="5"/>
      <c r="E97" s="6">
        <v>1144</v>
      </c>
      <c r="F97" s="5">
        <v>26.649083313993966</v>
      </c>
      <c r="G97" s="5"/>
      <c r="H97" s="6">
        <v>49</v>
      </c>
      <c r="I97" s="5">
        <v>17.689530685920577</v>
      </c>
      <c r="J97" s="5"/>
      <c r="K97" s="6">
        <v>8</v>
      </c>
      <c r="L97" s="5">
        <v>8.695652173913043</v>
      </c>
      <c r="N97" s="37">
        <f t="shared" si="9"/>
        <v>25.6</v>
      </c>
      <c r="O97" s="37">
        <f t="shared" si="10"/>
        <v>26.6</v>
      </c>
      <c r="P97" s="37">
        <f t="shared" si="11"/>
        <v>17.7</v>
      </c>
      <c r="Q97" s="37">
        <f t="shared" si="12"/>
        <v>8.6999999999999993</v>
      </c>
      <c r="R97" s="37"/>
      <c r="S97" s="37"/>
      <c r="T97" s="37"/>
      <c r="U97" s="37"/>
    </row>
    <row r="98" spans="1:21" ht="14.1" customHeight="1" x14ac:dyDescent="0.25">
      <c r="A98" s="61" t="s">
        <v>33</v>
      </c>
      <c r="B98" s="6">
        <v>1131</v>
      </c>
      <c r="C98" s="5">
        <v>24.1769987174006</v>
      </c>
      <c r="D98" s="5"/>
      <c r="E98" s="6">
        <v>971</v>
      </c>
      <c r="F98" s="5">
        <v>22.534230679972151</v>
      </c>
      <c r="G98" s="5"/>
      <c r="H98" s="6">
        <v>105</v>
      </c>
      <c r="I98" s="5">
        <v>37.806137184115521</v>
      </c>
      <c r="J98" s="5"/>
      <c r="K98" s="6">
        <v>55</v>
      </c>
      <c r="L98" s="5">
        <v>59.682608695652171</v>
      </c>
      <c r="N98" s="37">
        <f t="shared" si="9"/>
        <v>24.2</v>
      </c>
      <c r="O98" s="37">
        <f t="shared" si="10"/>
        <v>22.5</v>
      </c>
      <c r="P98" s="37">
        <f t="shared" si="11"/>
        <v>37.799999999999997</v>
      </c>
      <c r="Q98" s="37">
        <f t="shared" si="12"/>
        <v>59.7</v>
      </c>
      <c r="R98" s="37"/>
      <c r="S98" s="37"/>
      <c r="T98" s="37"/>
      <c r="U98" s="37"/>
    </row>
    <row r="99" spans="1:21" ht="14.1" customHeight="1" x14ac:dyDescent="0.25">
      <c r="A99" s="61" t="s">
        <v>34</v>
      </c>
      <c r="B99" s="6">
        <v>462</v>
      </c>
      <c r="C99" s="5">
        <v>9.8760153911928175</v>
      </c>
      <c r="D99" s="5"/>
      <c r="E99" s="6">
        <v>422</v>
      </c>
      <c r="F99" s="5">
        <v>9.7934555581341378</v>
      </c>
      <c r="G99" s="5"/>
      <c r="H99" s="6">
        <v>32</v>
      </c>
      <c r="I99" s="5">
        <v>11.552346570397113</v>
      </c>
      <c r="J99" s="5"/>
      <c r="K99" s="6">
        <v>8</v>
      </c>
      <c r="L99" s="5">
        <v>8.695652173913043</v>
      </c>
      <c r="N99" s="37">
        <f t="shared" si="9"/>
        <v>9.9</v>
      </c>
      <c r="O99" s="37">
        <f t="shared" si="10"/>
        <v>9.8000000000000007</v>
      </c>
      <c r="P99" s="37">
        <f t="shared" si="11"/>
        <v>11.6</v>
      </c>
      <c r="Q99" s="37">
        <f t="shared" si="12"/>
        <v>8.6999999999999993</v>
      </c>
      <c r="R99" s="37"/>
      <c r="S99" s="37"/>
      <c r="T99" s="37"/>
      <c r="U99" s="37"/>
    </row>
    <row r="100" spans="1:21" ht="14.1" customHeight="1" x14ac:dyDescent="0.25">
      <c r="A100" s="61" t="s">
        <v>67</v>
      </c>
      <c r="B100" s="6">
        <v>45</v>
      </c>
      <c r="C100" s="5">
        <v>0.96194955109020952</v>
      </c>
      <c r="D100" s="5"/>
      <c r="E100" s="6">
        <v>39</v>
      </c>
      <c r="F100" s="5">
        <v>0.90508238570433974</v>
      </c>
      <c r="G100" s="5"/>
      <c r="H100" s="6">
        <v>6</v>
      </c>
      <c r="I100" s="5">
        <v>2.1660649819494582</v>
      </c>
      <c r="J100" s="5"/>
      <c r="K100" s="3" t="s">
        <v>96</v>
      </c>
      <c r="L100" s="3" t="s">
        <v>96</v>
      </c>
      <c r="N100" s="37">
        <f t="shared" si="9"/>
        <v>1</v>
      </c>
      <c r="O100" s="37">
        <f t="shared" si="10"/>
        <v>0.9</v>
      </c>
      <c r="P100" s="37">
        <f t="shared" si="11"/>
        <v>2.2000000000000002</v>
      </c>
      <c r="Q100" s="37" t="e">
        <f t="shared" si="12"/>
        <v>#VALUE!</v>
      </c>
      <c r="R100" s="37"/>
      <c r="S100" s="37"/>
      <c r="T100" s="37"/>
      <c r="U100" s="37"/>
    </row>
    <row r="101" spans="1:21" ht="14.1" customHeight="1" x14ac:dyDescent="0.25">
      <c r="A101" s="61" t="s">
        <v>69</v>
      </c>
      <c r="B101" s="6">
        <v>91</v>
      </c>
      <c r="C101" s="5">
        <v>1.9452757588713125</v>
      </c>
      <c r="D101" s="5"/>
      <c r="E101" s="6">
        <v>85</v>
      </c>
      <c r="F101" s="5">
        <v>1.9726154560222791</v>
      </c>
      <c r="G101" s="5"/>
      <c r="H101" s="6">
        <v>4</v>
      </c>
      <c r="I101" s="5">
        <v>1.4440433212996391</v>
      </c>
      <c r="J101" s="5"/>
      <c r="K101" s="6">
        <v>2</v>
      </c>
      <c r="L101" s="5">
        <v>2.1739130434782608</v>
      </c>
      <c r="N101" s="37">
        <f t="shared" si="9"/>
        <v>1.9</v>
      </c>
      <c r="O101" s="37">
        <f t="shared" si="10"/>
        <v>2</v>
      </c>
      <c r="P101" s="37">
        <f t="shared" si="11"/>
        <v>1.4</v>
      </c>
      <c r="Q101" s="37">
        <f t="shared" si="12"/>
        <v>2.2000000000000002</v>
      </c>
      <c r="R101" s="37"/>
      <c r="S101" s="37"/>
      <c r="T101" s="37"/>
      <c r="U101" s="37"/>
    </row>
    <row r="102" spans="1:21" ht="14.1" customHeight="1" x14ac:dyDescent="0.25">
      <c r="A102" s="61" t="s">
        <v>35</v>
      </c>
      <c r="B102" s="6">
        <v>110</v>
      </c>
      <c r="C102" s="5">
        <v>2.3514322359982898</v>
      </c>
      <c r="D102" s="5"/>
      <c r="E102" s="6">
        <v>104</v>
      </c>
      <c r="F102" s="5">
        <v>2.4135530285449058</v>
      </c>
      <c r="G102" s="5"/>
      <c r="H102" s="6">
        <v>3</v>
      </c>
      <c r="I102" s="5">
        <v>1.0830324909747291</v>
      </c>
      <c r="J102" s="5"/>
      <c r="K102" s="6">
        <v>3</v>
      </c>
      <c r="L102" s="5">
        <v>3.2608695652173911</v>
      </c>
      <c r="N102" s="37">
        <f t="shared" si="9"/>
        <v>2.4</v>
      </c>
      <c r="O102" s="37">
        <f t="shared" si="10"/>
        <v>2.4</v>
      </c>
      <c r="P102" s="37">
        <f t="shared" si="11"/>
        <v>1.1000000000000001</v>
      </c>
      <c r="Q102" s="37">
        <f t="shared" si="12"/>
        <v>3.3</v>
      </c>
      <c r="R102" s="37"/>
      <c r="S102" s="37"/>
      <c r="T102" s="37"/>
      <c r="U102" s="37"/>
    </row>
    <row r="103" spans="1:21" ht="14.1" customHeight="1" x14ac:dyDescent="0.25">
      <c r="A103" s="61" t="s">
        <v>36</v>
      </c>
      <c r="B103" s="6">
        <v>865</v>
      </c>
      <c r="C103" s="5">
        <v>18.490808037622916</v>
      </c>
      <c r="D103" s="5"/>
      <c r="E103" s="6">
        <v>828</v>
      </c>
      <c r="F103" s="5">
        <v>19.215595265722907</v>
      </c>
      <c r="G103" s="5"/>
      <c r="H103" s="6">
        <v>34</v>
      </c>
      <c r="I103" s="5">
        <v>12.274368231046932</v>
      </c>
      <c r="J103" s="5"/>
      <c r="K103" s="6">
        <v>3</v>
      </c>
      <c r="L103" s="5">
        <v>3.2608695652173911</v>
      </c>
      <c r="N103" s="37">
        <f t="shared" si="9"/>
        <v>18.5</v>
      </c>
      <c r="O103" s="37">
        <f t="shared" si="10"/>
        <v>19.2</v>
      </c>
      <c r="P103" s="37">
        <f t="shared" si="11"/>
        <v>12.3</v>
      </c>
      <c r="Q103" s="37">
        <f t="shared" si="12"/>
        <v>3.3</v>
      </c>
      <c r="R103" s="37"/>
      <c r="S103" s="37"/>
      <c r="T103" s="37"/>
      <c r="U103" s="37"/>
    </row>
    <row r="104" spans="1:21" ht="14.1" customHeight="1" x14ac:dyDescent="0.25">
      <c r="A104" s="61" t="s">
        <v>37</v>
      </c>
      <c r="B104" s="6">
        <v>365</v>
      </c>
      <c r="C104" s="5">
        <v>7.8024796921761439</v>
      </c>
      <c r="D104" s="5"/>
      <c r="E104" s="6">
        <v>347</v>
      </c>
      <c r="F104" s="5">
        <v>8.0529125087027165</v>
      </c>
      <c r="G104" s="5"/>
      <c r="H104" s="6">
        <v>12</v>
      </c>
      <c r="I104" s="5">
        <v>4.3321299638989164</v>
      </c>
      <c r="J104" s="5"/>
      <c r="K104" s="6">
        <v>6</v>
      </c>
      <c r="L104" s="5">
        <v>6.5217391304347823</v>
      </c>
      <c r="N104" s="37">
        <f t="shared" si="9"/>
        <v>7.8</v>
      </c>
      <c r="O104" s="37">
        <f t="shared" si="10"/>
        <v>8.1</v>
      </c>
      <c r="P104" s="37">
        <f t="shared" si="11"/>
        <v>4.3</v>
      </c>
      <c r="Q104" s="37">
        <f t="shared" si="12"/>
        <v>6.5</v>
      </c>
      <c r="R104" s="37"/>
      <c r="S104" s="37"/>
      <c r="T104" s="37"/>
      <c r="U104" s="37"/>
    </row>
    <row r="105" spans="1:21" ht="14.1" customHeight="1" x14ac:dyDescent="0.25">
      <c r="A105" s="61"/>
      <c r="B105" s="6"/>
      <c r="C105" s="5"/>
      <c r="D105" s="5"/>
      <c r="E105" s="6"/>
      <c r="F105" s="5"/>
      <c r="G105" s="5"/>
      <c r="H105" s="6"/>
      <c r="I105" s="5"/>
      <c r="J105" s="5"/>
      <c r="K105" s="6"/>
      <c r="L105" s="5"/>
      <c r="N105" s="37">
        <f t="shared" si="9"/>
        <v>0</v>
      </c>
      <c r="O105" s="37">
        <f t="shared" si="10"/>
        <v>0</v>
      </c>
      <c r="P105" s="37">
        <f t="shared" si="11"/>
        <v>0</v>
      </c>
      <c r="Q105" s="37">
        <f t="shared" si="12"/>
        <v>0</v>
      </c>
      <c r="R105" s="37"/>
      <c r="S105" s="37"/>
      <c r="T105" s="37"/>
      <c r="U105" s="37"/>
    </row>
    <row r="106" spans="1:21" ht="14.1" customHeight="1" x14ac:dyDescent="0.25">
      <c r="A106" s="91" t="s">
        <v>55</v>
      </c>
      <c r="B106" s="9">
        <v>13486</v>
      </c>
      <c r="C106" s="15">
        <v>100</v>
      </c>
      <c r="D106" s="15"/>
      <c r="E106" s="9">
        <v>11763</v>
      </c>
      <c r="F106" s="15">
        <v>100</v>
      </c>
      <c r="G106" s="15"/>
      <c r="H106" s="9">
        <v>1302</v>
      </c>
      <c r="I106" s="15">
        <v>100</v>
      </c>
      <c r="J106" s="15"/>
      <c r="K106" s="9">
        <v>421</v>
      </c>
      <c r="L106" s="15">
        <v>100</v>
      </c>
      <c r="N106" s="37">
        <f>SUM(N107:N118)</f>
        <v>100.00000000000001</v>
      </c>
      <c r="O106" s="37">
        <f t="shared" ref="O106:Q106" si="14">SUM(O107:O118)</f>
        <v>100</v>
      </c>
      <c r="P106" s="37">
        <f t="shared" si="14"/>
        <v>99.999999999999986</v>
      </c>
      <c r="Q106" s="37" t="e">
        <f t="shared" si="14"/>
        <v>#VALUE!</v>
      </c>
      <c r="R106" s="37"/>
      <c r="S106" s="37"/>
      <c r="T106" s="37"/>
      <c r="U106" s="37"/>
    </row>
    <row r="107" spans="1:21" ht="14.1" customHeight="1" x14ac:dyDescent="0.25">
      <c r="A107" s="61" t="s">
        <v>57</v>
      </c>
      <c r="B107" s="6">
        <v>140</v>
      </c>
      <c r="C107" s="5">
        <v>1.0381135992881507</v>
      </c>
      <c r="D107" s="5"/>
      <c r="E107" s="6">
        <v>91</v>
      </c>
      <c r="F107" s="5">
        <v>0.77361217376519598</v>
      </c>
      <c r="G107" s="5"/>
      <c r="H107" s="6">
        <v>34</v>
      </c>
      <c r="I107" s="5">
        <v>2.6113671274961598</v>
      </c>
      <c r="J107" s="5"/>
      <c r="K107" s="6">
        <v>15</v>
      </c>
      <c r="L107" s="5">
        <v>3.5629453681710213</v>
      </c>
      <c r="N107" s="37">
        <f t="shared" si="9"/>
        <v>1</v>
      </c>
      <c r="O107" s="37">
        <f t="shared" si="10"/>
        <v>0.8</v>
      </c>
      <c r="P107" s="37">
        <f t="shared" si="11"/>
        <v>2.6</v>
      </c>
      <c r="Q107" s="37">
        <f t="shared" si="12"/>
        <v>3.6</v>
      </c>
      <c r="R107" s="37"/>
      <c r="S107" s="37"/>
      <c r="T107" s="37"/>
      <c r="U107" s="37"/>
    </row>
    <row r="108" spans="1:21" ht="14.1" customHeight="1" x14ac:dyDescent="0.25">
      <c r="A108" s="61" t="s">
        <v>29</v>
      </c>
      <c r="B108" s="6">
        <v>72</v>
      </c>
      <c r="C108" s="5">
        <v>0.53388699391962036</v>
      </c>
      <c r="D108" s="5"/>
      <c r="E108" s="6">
        <v>65</v>
      </c>
      <c r="F108" s="5">
        <v>0.55258012411799717</v>
      </c>
      <c r="G108" s="5"/>
      <c r="H108" s="6">
        <v>6</v>
      </c>
      <c r="I108" s="5">
        <v>0.46082949308755761</v>
      </c>
      <c r="J108" s="5"/>
      <c r="K108" s="6">
        <v>1</v>
      </c>
      <c r="L108" s="5">
        <v>0.23752969121140144</v>
      </c>
      <c r="N108" s="37">
        <f t="shared" si="9"/>
        <v>0.5</v>
      </c>
      <c r="O108" s="37">
        <f t="shared" si="10"/>
        <v>0.6</v>
      </c>
      <c r="P108" s="37">
        <f t="shared" si="11"/>
        <v>0.5</v>
      </c>
      <c r="Q108" s="37">
        <f t="shared" si="12"/>
        <v>0.2</v>
      </c>
      <c r="R108" s="37"/>
      <c r="S108" s="37"/>
      <c r="T108" s="37"/>
      <c r="U108" s="37"/>
    </row>
    <row r="109" spans="1:21" ht="14.1" customHeight="1" x14ac:dyDescent="0.25">
      <c r="A109" s="61" t="s">
        <v>30</v>
      </c>
      <c r="B109" s="6">
        <v>1609</v>
      </c>
      <c r="C109" s="5">
        <v>11.930891294675961</v>
      </c>
      <c r="D109" s="5"/>
      <c r="E109" s="6">
        <v>1320</v>
      </c>
      <c r="F109" s="5">
        <v>11.22162713593471</v>
      </c>
      <c r="G109" s="5"/>
      <c r="H109" s="6">
        <v>181</v>
      </c>
      <c r="I109" s="5">
        <v>13.901689708141321</v>
      </c>
      <c r="J109" s="5"/>
      <c r="K109" s="6">
        <v>108</v>
      </c>
      <c r="L109" s="5">
        <v>25.653206650831358</v>
      </c>
      <c r="N109" s="37">
        <f t="shared" si="9"/>
        <v>11.9</v>
      </c>
      <c r="O109" s="37">
        <f t="shared" si="10"/>
        <v>11.2</v>
      </c>
      <c r="P109" s="37">
        <f t="shared" si="11"/>
        <v>13.9</v>
      </c>
      <c r="Q109" s="37">
        <f t="shared" si="12"/>
        <v>25.7</v>
      </c>
      <c r="R109" s="37"/>
      <c r="S109" s="37"/>
      <c r="T109" s="37"/>
      <c r="U109" s="37"/>
    </row>
    <row r="110" spans="1:21" ht="14.1" customHeight="1" x14ac:dyDescent="0.25">
      <c r="A110" s="61" t="s">
        <v>31</v>
      </c>
      <c r="B110" s="6">
        <v>76</v>
      </c>
      <c r="C110" s="5">
        <v>0.56354738247071046</v>
      </c>
      <c r="D110" s="5"/>
      <c r="E110" s="6">
        <v>61</v>
      </c>
      <c r="F110" s="5">
        <v>0.51857519340304348</v>
      </c>
      <c r="G110" s="5"/>
      <c r="H110" s="6">
        <v>10</v>
      </c>
      <c r="I110" s="5">
        <v>0.76804915514592931</v>
      </c>
      <c r="J110" s="5"/>
      <c r="K110" s="6">
        <v>5</v>
      </c>
      <c r="L110" s="5">
        <v>1.1876484560570071</v>
      </c>
      <c r="N110" s="37">
        <f t="shared" si="9"/>
        <v>0.6</v>
      </c>
      <c r="O110" s="37">
        <f t="shared" si="10"/>
        <v>0.5</v>
      </c>
      <c r="P110" s="37">
        <f t="shared" si="11"/>
        <v>0.8</v>
      </c>
      <c r="Q110" s="37">
        <f t="shared" si="12"/>
        <v>1.2</v>
      </c>
      <c r="R110" s="37"/>
      <c r="S110" s="37"/>
      <c r="T110" s="37"/>
      <c r="U110" s="37"/>
    </row>
    <row r="111" spans="1:21" ht="14.1" customHeight="1" x14ac:dyDescent="0.25">
      <c r="A111" s="61" t="s">
        <v>32</v>
      </c>
      <c r="B111" s="6">
        <v>810</v>
      </c>
      <c r="C111" s="5">
        <v>6.0062286815957284</v>
      </c>
      <c r="D111" s="5"/>
      <c r="E111" s="6">
        <v>741</v>
      </c>
      <c r="F111" s="5">
        <v>6.2994134149451666</v>
      </c>
      <c r="G111" s="5"/>
      <c r="H111" s="6">
        <v>60</v>
      </c>
      <c r="I111" s="5">
        <v>4.6082949308755765</v>
      </c>
      <c r="J111" s="5"/>
      <c r="K111" s="6">
        <v>9</v>
      </c>
      <c r="L111" s="5">
        <v>2.1377672209026128</v>
      </c>
      <c r="N111" s="37">
        <f t="shared" si="9"/>
        <v>6</v>
      </c>
      <c r="O111" s="37">
        <f t="shared" si="10"/>
        <v>6.3</v>
      </c>
      <c r="P111" s="37">
        <f t="shared" si="11"/>
        <v>4.5999999999999996</v>
      </c>
      <c r="Q111" s="37">
        <f t="shared" si="12"/>
        <v>2.1</v>
      </c>
      <c r="R111" s="37"/>
      <c r="S111" s="37"/>
      <c r="T111" s="37"/>
      <c r="U111" s="37"/>
    </row>
    <row r="112" spans="1:21" ht="14.1" customHeight="1" x14ac:dyDescent="0.25">
      <c r="A112" s="61" t="s">
        <v>33</v>
      </c>
      <c r="B112" s="6">
        <v>3346</v>
      </c>
      <c r="C112" s="5">
        <v>24.810915022986801</v>
      </c>
      <c r="D112" s="5"/>
      <c r="E112" s="6">
        <v>2858</v>
      </c>
      <c r="F112" s="5">
        <v>24.296522995834398</v>
      </c>
      <c r="G112" s="5"/>
      <c r="H112" s="6">
        <v>360</v>
      </c>
      <c r="I112" s="5">
        <v>27.649769585253459</v>
      </c>
      <c r="J112" s="5"/>
      <c r="K112" s="6">
        <v>128</v>
      </c>
      <c r="L112" s="5">
        <v>30.403800475059384</v>
      </c>
      <c r="N112" s="37">
        <f t="shared" si="9"/>
        <v>24.8</v>
      </c>
      <c r="O112" s="37">
        <f t="shared" si="10"/>
        <v>24.3</v>
      </c>
      <c r="P112" s="37">
        <f t="shared" si="11"/>
        <v>27.6</v>
      </c>
      <c r="Q112" s="37">
        <f t="shared" si="12"/>
        <v>30.4</v>
      </c>
      <c r="R112" s="37"/>
      <c r="S112" s="37"/>
      <c r="T112" s="37"/>
      <c r="U112" s="37"/>
    </row>
    <row r="113" spans="1:21" ht="14.1" customHeight="1" x14ac:dyDescent="0.25">
      <c r="A113" s="61" t="s">
        <v>34</v>
      </c>
      <c r="B113" s="6">
        <v>2414</v>
      </c>
      <c r="C113" s="5">
        <v>17.900044490582825</v>
      </c>
      <c r="D113" s="5"/>
      <c r="E113" s="6">
        <v>1940</v>
      </c>
      <c r="F113" s="5">
        <v>16.492391396752527</v>
      </c>
      <c r="G113" s="5"/>
      <c r="H113" s="6">
        <v>364</v>
      </c>
      <c r="I113" s="5">
        <v>27.956989247311824</v>
      </c>
      <c r="J113" s="5"/>
      <c r="K113" s="6">
        <v>110</v>
      </c>
      <c r="L113" s="5">
        <v>26.128266033254157</v>
      </c>
      <c r="N113" s="37">
        <f t="shared" si="9"/>
        <v>17.899999999999999</v>
      </c>
      <c r="O113" s="37">
        <f t="shared" si="10"/>
        <v>16.5</v>
      </c>
      <c r="P113" s="37">
        <f t="shared" si="11"/>
        <v>28</v>
      </c>
      <c r="Q113" s="37">
        <f t="shared" si="12"/>
        <v>26.1</v>
      </c>
      <c r="R113" s="37"/>
      <c r="S113" s="37"/>
      <c r="T113" s="37"/>
      <c r="U113" s="37"/>
    </row>
    <row r="114" spans="1:21" ht="14.1" customHeight="1" x14ac:dyDescent="0.25">
      <c r="A114" s="61" t="s">
        <v>67</v>
      </c>
      <c r="B114" s="6">
        <v>48</v>
      </c>
      <c r="C114" s="5">
        <v>0.35592466261308026</v>
      </c>
      <c r="D114" s="5"/>
      <c r="E114" s="6">
        <v>46</v>
      </c>
      <c r="F114" s="5">
        <v>0.39105670322196717</v>
      </c>
      <c r="G114" s="5"/>
      <c r="H114" s="6">
        <v>2</v>
      </c>
      <c r="I114" s="5">
        <v>0.15360983102918588</v>
      </c>
      <c r="J114" s="5"/>
      <c r="K114" s="3" t="s">
        <v>96</v>
      </c>
      <c r="L114" s="3" t="s">
        <v>96</v>
      </c>
      <c r="N114" s="37">
        <f t="shared" si="9"/>
        <v>0.4</v>
      </c>
      <c r="O114" s="37">
        <f t="shared" si="10"/>
        <v>0.4</v>
      </c>
      <c r="P114" s="37">
        <f t="shared" si="11"/>
        <v>0.2</v>
      </c>
      <c r="Q114" s="37" t="e">
        <f t="shared" si="12"/>
        <v>#VALUE!</v>
      </c>
      <c r="R114" s="37"/>
      <c r="S114" s="37"/>
      <c r="T114" s="37"/>
      <c r="U114" s="37"/>
    </row>
    <row r="115" spans="1:21" ht="14.1" customHeight="1" x14ac:dyDescent="0.25">
      <c r="A115" s="61" t="s">
        <v>69</v>
      </c>
      <c r="B115" s="6">
        <v>322</v>
      </c>
      <c r="C115" s="5">
        <v>2.3876612783627467</v>
      </c>
      <c r="D115" s="5"/>
      <c r="E115" s="6">
        <v>297</v>
      </c>
      <c r="F115" s="5">
        <v>2.5248661055853097</v>
      </c>
      <c r="G115" s="5"/>
      <c r="H115" s="6">
        <v>21</v>
      </c>
      <c r="I115" s="5">
        <v>1.6129032258064515</v>
      </c>
      <c r="J115" s="5"/>
      <c r="K115" s="6">
        <v>4</v>
      </c>
      <c r="L115" s="5">
        <v>0.95011876484560576</v>
      </c>
      <c r="N115" s="37">
        <f t="shared" si="9"/>
        <v>2.4</v>
      </c>
      <c r="O115" s="37">
        <f t="shared" si="10"/>
        <v>2.5</v>
      </c>
      <c r="P115" s="37">
        <f t="shared" si="11"/>
        <v>1.6</v>
      </c>
      <c r="Q115" s="37">
        <f t="shared" si="12"/>
        <v>1</v>
      </c>
      <c r="R115" s="37"/>
      <c r="S115" s="37"/>
      <c r="T115" s="37"/>
      <c r="U115" s="37"/>
    </row>
    <row r="116" spans="1:21" ht="14.1" customHeight="1" x14ac:dyDescent="0.25">
      <c r="A116" s="61" t="s">
        <v>35</v>
      </c>
      <c r="B116" s="6">
        <v>460</v>
      </c>
      <c r="C116" s="5">
        <v>3.4109446833753521</v>
      </c>
      <c r="D116" s="5"/>
      <c r="E116" s="6">
        <v>439</v>
      </c>
      <c r="F116" s="5">
        <v>3.7320411459661655</v>
      </c>
      <c r="G116" s="5"/>
      <c r="H116" s="6">
        <v>20</v>
      </c>
      <c r="I116" s="5">
        <v>1.5360983102918586</v>
      </c>
      <c r="J116" s="5"/>
      <c r="K116" s="6">
        <v>1</v>
      </c>
      <c r="L116" s="5">
        <v>0.23752969121140144</v>
      </c>
      <c r="N116" s="37">
        <f t="shared" si="9"/>
        <v>3.4</v>
      </c>
      <c r="O116" s="37">
        <f t="shared" si="10"/>
        <v>3.7</v>
      </c>
      <c r="P116" s="37">
        <f t="shared" si="11"/>
        <v>1.5</v>
      </c>
      <c r="Q116" s="37">
        <f t="shared" si="12"/>
        <v>0.2</v>
      </c>
      <c r="R116" s="37"/>
      <c r="S116" s="37"/>
      <c r="T116" s="37"/>
      <c r="U116" s="37"/>
    </row>
    <row r="117" spans="1:21" ht="14.1" customHeight="1" x14ac:dyDescent="0.25">
      <c r="A117" s="61" t="s">
        <v>36</v>
      </c>
      <c r="B117" s="6">
        <v>2478</v>
      </c>
      <c r="C117" s="5">
        <v>18.374610707400265</v>
      </c>
      <c r="D117" s="5"/>
      <c r="E117" s="6">
        <v>2317</v>
      </c>
      <c r="F117" s="5">
        <v>19.697356116636914</v>
      </c>
      <c r="G117" s="5"/>
      <c r="H117" s="6">
        <v>132</v>
      </c>
      <c r="I117" s="5">
        <v>10.138248847926267</v>
      </c>
      <c r="J117" s="5"/>
      <c r="K117" s="6">
        <v>29</v>
      </c>
      <c r="L117" s="5">
        <v>6.8883610451306403</v>
      </c>
      <c r="N117" s="37">
        <f t="shared" si="9"/>
        <v>18.399999999999999</v>
      </c>
      <c r="O117" s="37">
        <f t="shared" si="10"/>
        <v>19.7</v>
      </c>
      <c r="P117" s="37">
        <f t="shared" si="11"/>
        <v>10.1</v>
      </c>
      <c r="Q117" s="37">
        <f t="shared" si="12"/>
        <v>6.9</v>
      </c>
      <c r="R117" s="37"/>
      <c r="S117" s="37"/>
      <c r="T117" s="37"/>
      <c r="U117" s="37"/>
    </row>
    <row r="118" spans="1:21" ht="14.1" customHeight="1" x14ac:dyDescent="0.25">
      <c r="A118" s="61" t="s">
        <v>37</v>
      </c>
      <c r="B118" s="6">
        <v>1711</v>
      </c>
      <c r="C118" s="5">
        <v>12.687231202728755</v>
      </c>
      <c r="D118" s="5"/>
      <c r="E118" s="6">
        <v>1588</v>
      </c>
      <c r="F118" s="5">
        <v>13.499957493836606</v>
      </c>
      <c r="G118" s="5"/>
      <c r="H118" s="6">
        <v>112</v>
      </c>
      <c r="I118" s="5">
        <v>8.6021505376344098</v>
      </c>
      <c r="J118" s="5"/>
      <c r="K118" s="6">
        <v>11</v>
      </c>
      <c r="L118" s="5">
        <v>2.6128266033254155</v>
      </c>
      <c r="N118" s="37">
        <f t="shared" si="9"/>
        <v>12.7</v>
      </c>
      <c r="O118" s="37">
        <f t="shared" si="10"/>
        <v>13.5</v>
      </c>
      <c r="P118" s="37">
        <f t="shared" si="11"/>
        <v>8.6</v>
      </c>
      <c r="Q118" s="37">
        <f t="shared" si="12"/>
        <v>2.6</v>
      </c>
      <c r="R118" s="37"/>
      <c r="S118" s="37"/>
      <c r="T118" s="37"/>
      <c r="U118" s="37"/>
    </row>
    <row r="119" spans="1:21" ht="14.1" customHeight="1" x14ac:dyDescent="0.25">
      <c r="A119" s="61"/>
      <c r="B119" s="6"/>
      <c r="C119" s="5"/>
      <c r="D119" s="5"/>
      <c r="E119" s="6"/>
      <c r="F119" s="5"/>
      <c r="G119" s="5"/>
      <c r="H119" s="6"/>
      <c r="I119" s="5"/>
      <c r="J119" s="5"/>
      <c r="K119" s="6"/>
      <c r="L119" s="5"/>
      <c r="N119" s="37">
        <f t="shared" si="9"/>
        <v>0</v>
      </c>
      <c r="O119" s="37">
        <f t="shared" si="10"/>
        <v>0</v>
      </c>
      <c r="P119" s="37">
        <f t="shared" si="11"/>
        <v>0</v>
      </c>
      <c r="Q119" s="37">
        <f t="shared" si="12"/>
        <v>0</v>
      </c>
      <c r="R119" s="37"/>
      <c r="S119" s="37"/>
      <c r="T119" s="37"/>
      <c r="U119" s="37"/>
    </row>
    <row r="120" spans="1:21" ht="14.1" customHeight="1" x14ac:dyDescent="0.25">
      <c r="A120" s="91" t="s">
        <v>17</v>
      </c>
      <c r="B120" s="9">
        <v>6449</v>
      </c>
      <c r="C120" s="15">
        <v>100</v>
      </c>
      <c r="D120" s="15"/>
      <c r="E120" s="9">
        <v>5994</v>
      </c>
      <c r="F120" s="15">
        <v>100</v>
      </c>
      <c r="G120" s="15"/>
      <c r="H120" s="9">
        <v>389</v>
      </c>
      <c r="I120" s="15">
        <v>100</v>
      </c>
      <c r="J120" s="15"/>
      <c r="K120" s="9">
        <v>66</v>
      </c>
      <c r="L120" s="15">
        <v>100</v>
      </c>
      <c r="N120" s="37">
        <f>SUM(N121:N132)</f>
        <v>100</v>
      </c>
      <c r="O120" s="37">
        <f t="shared" ref="O120:Q120" si="15">SUM(O121:O132)</f>
        <v>100</v>
      </c>
      <c r="P120" s="37">
        <f t="shared" si="15"/>
        <v>99.999999999999986</v>
      </c>
      <c r="Q120" s="37">
        <f t="shared" si="15"/>
        <v>100</v>
      </c>
      <c r="R120" s="37"/>
      <c r="S120" s="37"/>
      <c r="T120" s="37"/>
      <c r="U120" s="37"/>
    </row>
    <row r="121" spans="1:21" ht="14.1" customHeight="1" x14ac:dyDescent="0.25">
      <c r="A121" s="61" t="s">
        <v>57</v>
      </c>
      <c r="B121" s="6">
        <v>75</v>
      </c>
      <c r="C121" s="5">
        <v>1.1629710032563187</v>
      </c>
      <c r="D121" s="5"/>
      <c r="E121" s="6">
        <v>73</v>
      </c>
      <c r="F121" s="5">
        <v>1.2178845512178844</v>
      </c>
      <c r="G121" s="5"/>
      <c r="H121" s="6">
        <v>1</v>
      </c>
      <c r="I121" s="5">
        <v>0.25706940874035988</v>
      </c>
      <c r="J121" s="5"/>
      <c r="K121" s="6">
        <v>1</v>
      </c>
      <c r="L121" s="5">
        <v>1.5151515151515151</v>
      </c>
      <c r="N121" s="37">
        <f t="shared" si="9"/>
        <v>1.2</v>
      </c>
      <c r="O121" s="37">
        <f t="shared" si="10"/>
        <v>1.2</v>
      </c>
      <c r="P121" s="37">
        <f t="shared" si="11"/>
        <v>0.3</v>
      </c>
      <c r="Q121" s="37">
        <f t="shared" si="12"/>
        <v>1.5</v>
      </c>
      <c r="R121" s="37"/>
      <c r="S121" s="37"/>
      <c r="T121" s="37"/>
      <c r="U121" s="37"/>
    </row>
    <row r="122" spans="1:21" ht="14.1" customHeight="1" x14ac:dyDescent="0.25">
      <c r="A122" s="61" t="s">
        <v>29</v>
      </c>
      <c r="B122" s="6">
        <v>87</v>
      </c>
      <c r="C122" s="5">
        <v>1.3490463637773298</v>
      </c>
      <c r="D122" s="5"/>
      <c r="E122" s="6">
        <v>84</v>
      </c>
      <c r="F122" s="5">
        <v>1.4014014014014013</v>
      </c>
      <c r="G122" s="5"/>
      <c r="H122" s="6">
        <v>2</v>
      </c>
      <c r="I122" s="5">
        <v>0.51413881748071977</v>
      </c>
      <c r="J122" s="5"/>
      <c r="K122" s="6">
        <v>1</v>
      </c>
      <c r="L122" s="5">
        <v>1.5151515151515151</v>
      </c>
      <c r="N122" s="37">
        <f t="shared" si="9"/>
        <v>1.3</v>
      </c>
      <c r="O122" s="37">
        <f t="shared" si="10"/>
        <v>1.4</v>
      </c>
      <c r="P122" s="37">
        <f t="shared" si="11"/>
        <v>0.5</v>
      </c>
      <c r="Q122" s="37">
        <f t="shared" si="12"/>
        <v>1.5</v>
      </c>
      <c r="R122" s="37"/>
      <c r="S122" s="37"/>
      <c r="T122" s="37"/>
      <c r="U122" s="37"/>
    </row>
    <row r="123" spans="1:21" ht="14.1" customHeight="1" x14ac:dyDescent="0.25">
      <c r="A123" s="61" t="s">
        <v>30</v>
      </c>
      <c r="B123" s="6">
        <v>376</v>
      </c>
      <c r="C123" s="5">
        <v>5.8303612963250115</v>
      </c>
      <c r="D123" s="5"/>
      <c r="E123" s="6">
        <v>341</v>
      </c>
      <c r="F123" s="5">
        <v>5.6890223556890227</v>
      </c>
      <c r="G123" s="5"/>
      <c r="H123" s="6">
        <v>28</v>
      </c>
      <c r="I123" s="5">
        <v>7.1979434447300772</v>
      </c>
      <c r="J123" s="5"/>
      <c r="K123" s="6">
        <v>7</v>
      </c>
      <c r="L123" s="5">
        <v>10.606060606060606</v>
      </c>
      <c r="N123" s="37">
        <f t="shared" si="9"/>
        <v>5.8</v>
      </c>
      <c r="O123" s="37">
        <f t="shared" si="10"/>
        <v>5.7</v>
      </c>
      <c r="P123" s="37">
        <f t="shared" si="11"/>
        <v>7.2</v>
      </c>
      <c r="Q123" s="37">
        <f t="shared" si="12"/>
        <v>10.6</v>
      </c>
      <c r="R123" s="37"/>
      <c r="S123" s="37"/>
      <c r="T123" s="37"/>
      <c r="U123" s="37"/>
    </row>
    <row r="124" spans="1:21" ht="14.1" customHeight="1" x14ac:dyDescent="0.25">
      <c r="A124" s="61" t="s">
        <v>31</v>
      </c>
      <c r="B124" s="6">
        <v>20</v>
      </c>
      <c r="C124" s="5">
        <v>0.31012560086835167</v>
      </c>
      <c r="D124" s="5"/>
      <c r="E124" s="6">
        <v>17</v>
      </c>
      <c r="F124" s="5">
        <v>0.28361695028361694</v>
      </c>
      <c r="G124" s="5"/>
      <c r="H124" s="6">
        <v>1</v>
      </c>
      <c r="I124" s="5">
        <v>0.25706940874035988</v>
      </c>
      <c r="J124" s="5"/>
      <c r="K124" s="6">
        <v>2</v>
      </c>
      <c r="L124" s="5">
        <v>3.0303030303030303</v>
      </c>
      <c r="N124" s="37">
        <f t="shared" si="9"/>
        <v>0.3</v>
      </c>
      <c r="O124" s="37">
        <f t="shared" si="10"/>
        <v>0.3</v>
      </c>
      <c r="P124" s="37">
        <f t="shared" si="11"/>
        <v>0.3</v>
      </c>
      <c r="Q124" s="37">
        <f t="shared" si="12"/>
        <v>3</v>
      </c>
      <c r="R124" s="37"/>
      <c r="S124" s="37"/>
      <c r="T124" s="37"/>
      <c r="U124" s="37"/>
    </row>
    <row r="125" spans="1:21" ht="14.1" customHeight="1" x14ac:dyDescent="0.25">
      <c r="A125" s="61" t="s">
        <v>32</v>
      </c>
      <c r="B125" s="6">
        <v>677</v>
      </c>
      <c r="C125" s="5">
        <v>10.497751589393705</v>
      </c>
      <c r="D125" s="5"/>
      <c r="E125" s="6">
        <v>619</v>
      </c>
      <c r="F125" s="5">
        <v>10.326993660326995</v>
      </c>
      <c r="G125" s="5"/>
      <c r="H125" s="6">
        <v>55</v>
      </c>
      <c r="I125" s="5">
        <v>14.138817480719796</v>
      </c>
      <c r="J125" s="5"/>
      <c r="K125" s="6">
        <v>3</v>
      </c>
      <c r="L125" s="5">
        <v>4.5454545454545459</v>
      </c>
      <c r="N125" s="37">
        <f t="shared" si="9"/>
        <v>10.5</v>
      </c>
      <c r="O125" s="37">
        <f t="shared" si="10"/>
        <v>10.3</v>
      </c>
      <c r="P125" s="37">
        <f t="shared" si="11"/>
        <v>14.1</v>
      </c>
      <c r="Q125" s="37">
        <f t="shared" si="12"/>
        <v>4.5</v>
      </c>
      <c r="R125" s="37"/>
      <c r="S125" s="37"/>
      <c r="T125" s="37"/>
      <c r="U125" s="37"/>
    </row>
    <row r="126" spans="1:21" ht="14.1" customHeight="1" x14ac:dyDescent="0.25">
      <c r="A126" s="61" t="s">
        <v>33</v>
      </c>
      <c r="B126" s="6">
        <v>1531</v>
      </c>
      <c r="C126" s="5">
        <v>23.840114746472324</v>
      </c>
      <c r="D126" s="5"/>
      <c r="E126" s="6">
        <v>1354</v>
      </c>
      <c r="F126" s="5">
        <v>22.589255922589256</v>
      </c>
      <c r="G126" s="5"/>
      <c r="H126" s="6">
        <v>140</v>
      </c>
      <c r="I126" s="5">
        <v>35.789717223650385</v>
      </c>
      <c r="J126" s="5"/>
      <c r="K126" s="6">
        <v>37</v>
      </c>
      <c r="L126" s="5">
        <v>56.260606060606058</v>
      </c>
      <c r="N126" s="37">
        <f t="shared" si="9"/>
        <v>23.8</v>
      </c>
      <c r="O126" s="37">
        <f t="shared" si="10"/>
        <v>22.6</v>
      </c>
      <c r="P126" s="37">
        <f t="shared" si="11"/>
        <v>35.799999999999997</v>
      </c>
      <c r="Q126" s="37">
        <f t="shared" si="12"/>
        <v>56.3</v>
      </c>
      <c r="R126" s="37"/>
      <c r="S126" s="37"/>
      <c r="T126" s="37"/>
      <c r="U126" s="37"/>
    </row>
    <row r="127" spans="1:21" ht="14.1" customHeight="1" x14ac:dyDescent="0.25">
      <c r="A127" s="61" t="s">
        <v>34</v>
      </c>
      <c r="B127" s="6">
        <v>769</v>
      </c>
      <c r="C127" s="5">
        <v>11.924329353388122</v>
      </c>
      <c r="D127" s="5"/>
      <c r="E127" s="6">
        <v>709</v>
      </c>
      <c r="F127" s="5">
        <v>11.828495161828496</v>
      </c>
      <c r="G127" s="5"/>
      <c r="H127" s="6">
        <v>57</v>
      </c>
      <c r="I127" s="5">
        <v>14.652956298200515</v>
      </c>
      <c r="J127" s="5"/>
      <c r="K127" s="6">
        <v>3</v>
      </c>
      <c r="L127" s="5">
        <v>4.5454545454545459</v>
      </c>
      <c r="N127" s="37">
        <f t="shared" si="9"/>
        <v>11.9</v>
      </c>
      <c r="O127" s="37">
        <f t="shared" si="10"/>
        <v>11.8</v>
      </c>
      <c r="P127" s="37">
        <f t="shared" si="11"/>
        <v>14.7</v>
      </c>
      <c r="Q127" s="37">
        <f t="shared" si="12"/>
        <v>4.5</v>
      </c>
      <c r="R127" s="37"/>
      <c r="S127" s="37"/>
      <c r="T127" s="37"/>
      <c r="U127" s="37"/>
    </row>
    <row r="128" spans="1:21" ht="14.1" customHeight="1" x14ac:dyDescent="0.25">
      <c r="A128" s="61" t="s">
        <v>67</v>
      </c>
      <c r="B128" s="6">
        <v>193</v>
      </c>
      <c r="C128" s="5">
        <v>2.9927120483795937</v>
      </c>
      <c r="D128" s="5"/>
      <c r="E128" s="6">
        <v>176</v>
      </c>
      <c r="F128" s="5">
        <v>2.9362696029362696</v>
      </c>
      <c r="G128" s="5"/>
      <c r="H128" s="6">
        <v>15</v>
      </c>
      <c r="I128" s="5">
        <v>3.8560411311053984</v>
      </c>
      <c r="J128" s="5"/>
      <c r="K128" s="6">
        <v>2</v>
      </c>
      <c r="L128" s="5">
        <v>3.0303030303030303</v>
      </c>
      <c r="N128" s="37">
        <f t="shared" si="9"/>
        <v>3</v>
      </c>
      <c r="O128" s="37">
        <f t="shared" si="10"/>
        <v>2.9</v>
      </c>
      <c r="P128" s="37">
        <f t="shared" si="11"/>
        <v>3.9</v>
      </c>
      <c r="Q128" s="37">
        <f t="shared" si="12"/>
        <v>3</v>
      </c>
      <c r="R128" s="37"/>
      <c r="S128" s="37"/>
      <c r="T128" s="37"/>
      <c r="U128" s="37"/>
    </row>
    <row r="129" spans="1:21" ht="14.1" customHeight="1" x14ac:dyDescent="0.25">
      <c r="A129" s="61" t="s">
        <v>69</v>
      </c>
      <c r="B129" s="6">
        <v>221</v>
      </c>
      <c r="C129" s="5">
        <v>3.4268878895952861</v>
      </c>
      <c r="D129" s="5"/>
      <c r="E129" s="6">
        <v>209</v>
      </c>
      <c r="F129" s="5">
        <v>3.48682015348682</v>
      </c>
      <c r="G129" s="5"/>
      <c r="H129" s="6">
        <v>11</v>
      </c>
      <c r="I129" s="5">
        <v>2.8277634961439588</v>
      </c>
      <c r="J129" s="5"/>
      <c r="K129" s="6">
        <v>1</v>
      </c>
      <c r="L129" s="5">
        <v>1.5151515151515151</v>
      </c>
      <c r="N129" s="37">
        <f t="shared" si="9"/>
        <v>3.4</v>
      </c>
      <c r="O129" s="37">
        <f t="shared" si="10"/>
        <v>3.5</v>
      </c>
      <c r="P129" s="37">
        <f t="shared" si="11"/>
        <v>2.8</v>
      </c>
      <c r="Q129" s="37">
        <f t="shared" si="12"/>
        <v>1.5</v>
      </c>
      <c r="R129" s="37"/>
      <c r="S129" s="37"/>
      <c r="T129" s="37"/>
      <c r="U129" s="37"/>
    </row>
    <row r="130" spans="1:21" ht="14.1" customHeight="1" x14ac:dyDescent="0.25">
      <c r="A130" s="61" t="s">
        <v>35</v>
      </c>
      <c r="B130" s="6">
        <v>193</v>
      </c>
      <c r="C130" s="5">
        <v>2.9927120483795937</v>
      </c>
      <c r="D130" s="5"/>
      <c r="E130" s="6">
        <v>184</v>
      </c>
      <c r="F130" s="5">
        <v>3.0697364030697361</v>
      </c>
      <c r="G130" s="5"/>
      <c r="H130" s="6">
        <v>8</v>
      </c>
      <c r="I130" s="5">
        <v>2.0565552699228791</v>
      </c>
      <c r="J130" s="5"/>
      <c r="K130" s="6">
        <v>1</v>
      </c>
      <c r="L130" s="5">
        <v>1.5151515151515151</v>
      </c>
      <c r="N130" s="37">
        <f t="shared" si="9"/>
        <v>3</v>
      </c>
      <c r="O130" s="37">
        <f t="shared" si="10"/>
        <v>3.1</v>
      </c>
      <c r="P130" s="37">
        <f t="shared" si="11"/>
        <v>2.1</v>
      </c>
      <c r="Q130" s="37">
        <f t="shared" si="12"/>
        <v>1.5</v>
      </c>
      <c r="R130" s="37"/>
      <c r="S130" s="37"/>
      <c r="T130" s="37"/>
      <c r="U130" s="37"/>
    </row>
    <row r="131" spans="1:21" ht="14.1" customHeight="1" x14ac:dyDescent="0.25">
      <c r="A131" s="61" t="s">
        <v>36</v>
      </c>
      <c r="B131" s="6">
        <v>1764</v>
      </c>
      <c r="C131" s="5">
        <v>27.35307799658862</v>
      </c>
      <c r="D131" s="5"/>
      <c r="E131" s="6">
        <v>1718</v>
      </c>
      <c r="F131" s="5">
        <v>28.661995328661995</v>
      </c>
      <c r="G131" s="5"/>
      <c r="H131" s="6">
        <v>43</v>
      </c>
      <c r="I131" s="5">
        <v>11.053984575835475</v>
      </c>
      <c r="J131" s="5"/>
      <c r="K131" s="6">
        <v>3</v>
      </c>
      <c r="L131" s="5">
        <v>4.5454545454545459</v>
      </c>
      <c r="N131" s="37">
        <f t="shared" si="9"/>
        <v>27.4</v>
      </c>
      <c r="O131" s="37">
        <f t="shared" si="10"/>
        <v>28.7</v>
      </c>
      <c r="P131" s="37">
        <f t="shared" si="11"/>
        <v>11.1</v>
      </c>
      <c r="Q131" s="37">
        <f t="shared" si="12"/>
        <v>4.5</v>
      </c>
      <c r="R131" s="37"/>
      <c r="S131" s="37"/>
      <c r="T131" s="37"/>
      <c r="U131" s="37"/>
    </row>
    <row r="132" spans="1:21" ht="14.1" customHeight="1" x14ac:dyDescent="0.25">
      <c r="A132" s="61" t="s">
        <v>37</v>
      </c>
      <c r="B132" s="6">
        <v>543</v>
      </c>
      <c r="C132" s="5">
        <v>8.4199100635757489</v>
      </c>
      <c r="D132" s="5"/>
      <c r="E132" s="6">
        <v>510</v>
      </c>
      <c r="F132" s="5">
        <v>8.508508508508509</v>
      </c>
      <c r="G132" s="5"/>
      <c r="H132" s="6">
        <v>28</v>
      </c>
      <c r="I132" s="5">
        <v>7.1979434447300772</v>
      </c>
      <c r="J132" s="5"/>
      <c r="K132" s="6">
        <v>5</v>
      </c>
      <c r="L132" s="5">
        <v>7.5757575757575761</v>
      </c>
      <c r="N132" s="37">
        <f t="shared" si="9"/>
        <v>8.4</v>
      </c>
      <c r="O132" s="37">
        <f t="shared" si="10"/>
        <v>8.5</v>
      </c>
      <c r="P132" s="37">
        <f t="shared" si="11"/>
        <v>7.2</v>
      </c>
      <c r="Q132" s="37">
        <f t="shared" si="12"/>
        <v>7.6</v>
      </c>
      <c r="R132" s="37"/>
      <c r="S132" s="37"/>
      <c r="T132" s="37"/>
      <c r="U132" s="37"/>
    </row>
    <row r="133" spans="1:21" ht="14.1" customHeight="1" x14ac:dyDescent="0.25">
      <c r="A133" s="61"/>
      <c r="B133" s="6"/>
      <c r="C133" s="5"/>
      <c r="D133" s="5"/>
      <c r="E133" s="6"/>
      <c r="F133" s="5"/>
      <c r="G133" s="5"/>
      <c r="H133" s="6"/>
      <c r="I133" s="5"/>
      <c r="J133" s="5"/>
      <c r="K133" s="6"/>
      <c r="L133" s="5"/>
      <c r="N133" s="37">
        <f t="shared" si="9"/>
        <v>0</v>
      </c>
      <c r="O133" s="37">
        <f t="shared" si="10"/>
        <v>0</v>
      </c>
      <c r="P133" s="37">
        <f t="shared" si="11"/>
        <v>0</v>
      </c>
      <c r="Q133" s="37">
        <f t="shared" si="12"/>
        <v>0</v>
      </c>
      <c r="R133" s="37"/>
      <c r="S133" s="37"/>
      <c r="T133" s="37"/>
      <c r="U133" s="37"/>
    </row>
    <row r="134" spans="1:21" ht="14.1" customHeight="1" x14ac:dyDescent="0.25">
      <c r="A134" s="91" t="s">
        <v>16</v>
      </c>
      <c r="B134" s="9">
        <v>1286</v>
      </c>
      <c r="C134" s="15">
        <v>100</v>
      </c>
      <c r="D134" s="15"/>
      <c r="E134" s="9">
        <v>1240</v>
      </c>
      <c r="F134" s="15">
        <v>100</v>
      </c>
      <c r="G134" s="15"/>
      <c r="H134" s="9">
        <v>42</v>
      </c>
      <c r="I134" s="15">
        <v>100</v>
      </c>
      <c r="J134" s="15"/>
      <c r="K134" s="9">
        <v>4</v>
      </c>
      <c r="L134" s="15">
        <v>100</v>
      </c>
      <c r="N134" s="37">
        <f>SUM(N135:N146)</f>
        <v>100.00000000000001</v>
      </c>
      <c r="O134" s="37">
        <f t="shared" ref="O134:Q134" si="16">SUM(O135:O146)</f>
        <v>100</v>
      </c>
      <c r="P134" s="37" t="e">
        <f t="shared" si="16"/>
        <v>#VALUE!</v>
      </c>
      <c r="Q134" s="37" t="e">
        <f t="shared" si="16"/>
        <v>#VALUE!</v>
      </c>
      <c r="R134" s="37"/>
      <c r="S134" s="37"/>
      <c r="T134" s="37"/>
      <c r="U134" s="37"/>
    </row>
    <row r="135" spans="1:21" ht="14.1" customHeight="1" x14ac:dyDescent="0.25">
      <c r="A135" s="61" t="s">
        <v>57</v>
      </c>
      <c r="B135" s="6">
        <v>19</v>
      </c>
      <c r="C135" s="5">
        <v>1.4774494556765163</v>
      </c>
      <c r="D135" s="5"/>
      <c r="E135" s="6">
        <v>18</v>
      </c>
      <c r="F135" s="5">
        <v>1.4516129032258065</v>
      </c>
      <c r="G135" s="5"/>
      <c r="H135" s="3" t="s">
        <v>96</v>
      </c>
      <c r="I135" s="16" t="s">
        <v>96</v>
      </c>
      <c r="J135" s="5"/>
      <c r="K135" s="6">
        <v>1</v>
      </c>
      <c r="L135" s="5">
        <v>25</v>
      </c>
      <c r="N135" s="37">
        <f t="shared" si="9"/>
        <v>1.5</v>
      </c>
      <c r="O135" s="37">
        <f t="shared" si="10"/>
        <v>1.5</v>
      </c>
      <c r="P135" s="37" t="e">
        <f t="shared" si="11"/>
        <v>#VALUE!</v>
      </c>
      <c r="Q135" s="37">
        <f t="shared" si="12"/>
        <v>25</v>
      </c>
      <c r="R135" s="37"/>
      <c r="S135" s="37"/>
      <c r="T135" s="37"/>
      <c r="U135" s="37"/>
    </row>
    <row r="136" spans="1:21" ht="14.1" customHeight="1" x14ac:dyDescent="0.25">
      <c r="A136" s="61" t="s">
        <v>29</v>
      </c>
      <c r="B136" s="6">
        <v>28</v>
      </c>
      <c r="C136" s="5">
        <v>2.1772939346811819</v>
      </c>
      <c r="D136" s="5"/>
      <c r="E136" s="6">
        <v>26</v>
      </c>
      <c r="F136" s="5">
        <v>2.0967741935483875</v>
      </c>
      <c r="G136" s="5"/>
      <c r="H136" s="3">
        <v>2</v>
      </c>
      <c r="I136" s="16">
        <v>4.7619047619047619</v>
      </c>
      <c r="J136" s="5"/>
      <c r="K136" s="3" t="s">
        <v>96</v>
      </c>
      <c r="L136" s="16" t="s">
        <v>96</v>
      </c>
      <c r="N136" s="37">
        <f t="shared" si="9"/>
        <v>2.2000000000000002</v>
      </c>
      <c r="O136" s="37">
        <f t="shared" si="10"/>
        <v>2.1</v>
      </c>
      <c r="P136" s="37">
        <f t="shared" si="11"/>
        <v>4.8</v>
      </c>
      <c r="Q136" s="37" t="e">
        <f t="shared" si="12"/>
        <v>#VALUE!</v>
      </c>
      <c r="R136" s="37"/>
      <c r="S136" s="37"/>
      <c r="T136" s="37"/>
      <c r="U136" s="37"/>
    </row>
    <row r="137" spans="1:21" ht="14.1" customHeight="1" x14ac:dyDescent="0.25">
      <c r="A137" s="61" t="s">
        <v>30</v>
      </c>
      <c r="B137" s="6">
        <v>29</v>
      </c>
      <c r="C137" s="5">
        <v>2.2550544323483668</v>
      </c>
      <c r="D137" s="5"/>
      <c r="E137" s="6">
        <v>28</v>
      </c>
      <c r="F137" s="5">
        <v>2.258064516129032</v>
      </c>
      <c r="G137" s="5"/>
      <c r="H137" s="3">
        <v>1</v>
      </c>
      <c r="I137" s="16">
        <v>2.3809523809523809</v>
      </c>
      <c r="J137" s="5"/>
      <c r="K137" s="3" t="s">
        <v>96</v>
      </c>
      <c r="L137" s="16" t="s">
        <v>96</v>
      </c>
      <c r="N137" s="37">
        <f t="shared" si="9"/>
        <v>2.2999999999999998</v>
      </c>
      <c r="O137" s="37">
        <f t="shared" si="10"/>
        <v>2.2999999999999998</v>
      </c>
      <c r="P137" s="37">
        <f t="shared" si="11"/>
        <v>2.4</v>
      </c>
      <c r="Q137" s="37" t="e">
        <f t="shared" si="12"/>
        <v>#VALUE!</v>
      </c>
      <c r="R137" s="37"/>
      <c r="S137" s="37"/>
      <c r="T137" s="37"/>
      <c r="U137" s="37"/>
    </row>
    <row r="138" spans="1:21" ht="14.1" customHeight="1" x14ac:dyDescent="0.25">
      <c r="A138" s="61" t="s">
        <v>31</v>
      </c>
      <c r="B138" s="6">
        <v>4</v>
      </c>
      <c r="C138" s="5">
        <v>0.31104199066874028</v>
      </c>
      <c r="D138" s="5"/>
      <c r="E138" s="6">
        <v>3</v>
      </c>
      <c r="F138" s="5">
        <v>0.24193548387096775</v>
      </c>
      <c r="G138" s="5"/>
      <c r="H138" s="3">
        <v>1</v>
      </c>
      <c r="I138" s="16">
        <v>2.3809523809523809</v>
      </c>
      <c r="J138" s="5"/>
      <c r="K138" s="3" t="s">
        <v>96</v>
      </c>
      <c r="L138" s="16" t="s">
        <v>96</v>
      </c>
      <c r="N138" s="37">
        <f t="shared" si="9"/>
        <v>0.3</v>
      </c>
      <c r="O138" s="37">
        <f t="shared" si="10"/>
        <v>0.2</v>
      </c>
      <c r="P138" s="37">
        <f t="shared" si="11"/>
        <v>2.4</v>
      </c>
      <c r="Q138" s="37" t="e">
        <f t="shared" si="12"/>
        <v>#VALUE!</v>
      </c>
      <c r="R138" s="37"/>
      <c r="S138" s="37"/>
      <c r="T138" s="37"/>
      <c r="U138" s="37"/>
    </row>
    <row r="139" spans="1:21" ht="14.1" customHeight="1" x14ac:dyDescent="0.25">
      <c r="A139" s="61" t="s">
        <v>32</v>
      </c>
      <c r="B139" s="6">
        <v>446</v>
      </c>
      <c r="C139" s="5">
        <v>34.581181959564539</v>
      </c>
      <c r="D139" s="5"/>
      <c r="E139" s="6">
        <v>425</v>
      </c>
      <c r="F139" s="5">
        <v>34.174193548387095</v>
      </c>
      <c r="G139" s="5"/>
      <c r="H139" s="3">
        <v>20</v>
      </c>
      <c r="I139" s="16">
        <v>47.519047619047612</v>
      </c>
      <c r="J139" s="5"/>
      <c r="K139" s="3">
        <v>1</v>
      </c>
      <c r="L139" s="16">
        <v>25</v>
      </c>
      <c r="N139" s="37">
        <f t="shared" si="9"/>
        <v>34.6</v>
      </c>
      <c r="O139" s="37">
        <f t="shared" si="10"/>
        <v>34.200000000000003</v>
      </c>
      <c r="P139" s="37">
        <f t="shared" si="11"/>
        <v>47.5</v>
      </c>
      <c r="Q139" s="37">
        <f t="shared" si="12"/>
        <v>25</v>
      </c>
      <c r="R139" s="37"/>
      <c r="S139" s="37"/>
      <c r="T139" s="37"/>
      <c r="U139" s="37"/>
    </row>
    <row r="140" spans="1:21" ht="14.1" customHeight="1" x14ac:dyDescent="0.25">
      <c r="A140" s="61" t="s">
        <v>33</v>
      </c>
      <c r="B140" s="6">
        <v>321</v>
      </c>
      <c r="C140" s="5">
        <v>24.861119751166406</v>
      </c>
      <c r="D140" s="5"/>
      <c r="E140" s="6">
        <v>305</v>
      </c>
      <c r="F140" s="5">
        <v>24.596774193548388</v>
      </c>
      <c r="G140" s="5"/>
      <c r="H140" s="3">
        <v>14</v>
      </c>
      <c r="I140" s="16">
        <v>33.333333333333329</v>
      </c>
      <c r="J140" s="5"/>
      <c r="K140" s="3">
        <v>2</v>
      </c>
      <c r="L140" s="16">
        <v>50</v>
      </c>
      <c r="N140" s="37">
        <f t="shared" si="9"/>
        <v>24.9</v>
      </c>
      <c r="O140" s="37">
        <f t="shared" si="10"/>
        <v>24.6</v>
      </c>
      <c r="P140" s="37">
        <f t="shared" si="11"/>
        <v>33.299999999999997</v>
      </c>
      <c r="Q140" s="37">
        <f t="shared" si="12"/>
        <v>50</v>
      </c>
      <c r="R140" s="37"/>
      <c r="S140" s="37"/>
      <c r="T140" s="37"/>
      <c r="U140" s="37"/>
    </row>
    <row r="141" spans="1:21" ht="14.1" customHeight="1" x14ac:dyDescent="0.25">
      <c r="A141" s="61" t="s">
        <v>34</v>
      </c>
      <c r="B141" s="6">
        <v>140</v>
      </c>
      <c r="C141" s="5">
        <v>10.886469673405911</v>
      </c>
      <c r="D141" s="5"/>
      <c r="E141" s="6">
        <v>138</v>
      </c>
      <c r="F141" s="5">
        <v>11.129032258064516</v>
      </c>
      <c r="G141" s="5"/>
      <c r="H141" s="3">
        <v>2</v>
      </c>
      <c r="I141" s="16">
        <v>4.7619047619047619</v>
      </c>
      <c r="J141" s="5"/>
      <c r="K141" s="3" t="s">
        <v>96</v>
      </c>
      <c r="L141" s="16" t="s">
        <v>96</v>
      </c>
      <c r="N141" s="37">
        <f t="shared" si="9"/>
        <v>10.9</v>
      </c>
      <c r="O141" s="37">
        <f t="shared" si="10"/>
        <v>11.1</v>
      </c>
      <c r="P141" s="37">
        <f t="shared" si="11"/>
        <v>4.8</v>
      </c>
      <c r="Q141" s="37" t="e">
        <f t="shared" si="12"/>
        <v>#VALUE!</v>
      </c>
      <c r="R141" s="37"/>
      <c r="S141" s="37"/>
      <c r="T141" s="37"/>
      <c r="U141" s="37"/>
    </row>
    <row r="142" spans="1:21" ht="14.1" customHeight="1" x14ac:dyDescent="0.25">
      <c r="A142" s="61" t="s">
        <v>67</v>
      </c>
      <c r="B142" s="6">
        <v>7</v>
      </c>
      <c r="C142" s="5">
        <v>0.54432348367029548</v>
      </c>
      <c r="D142" s="5"/>
      <c r="E142" s="6">
        <v>7</v>
      </c>
      <c r="F142" s="5">
        <v>0.56451612903225801</v>
      </c>
      <c r="G142" s="5"/>
      <c r="H142" s="3" t="s">
        <v>96</v>
      </c>
      <c r="I142" s="16" t="s">
        <v>96</v>
      </c>
      <c r="J142" s="5"/>
      <c r="K142" s="3" t="s">
        <v>96</v>
      </c>
      <c r="L142" s="16" t="s">
        <v>96</v>
      </c>
      <c r="N142" s="37">
        <f t="shared" si="9"/>
        <v>0.5</v>
      </c>
      <c r="O142" s="37">
        <f t="shared" si="10"/>
        <v>0.6</v>
      </c>
      <c r="P142" s="37" t="e">
        <f t="shared" si="11"/>
        <v>#VALUE!</v>
      </c>
      <c r="Q142" s="37" t="e">
        <f t="shared" si="12"/>
        <v>#VALUE!</v>
      </c>
      <c r="R142" s="37"/>
      <c r="S142" s="37"/>
      <c r="T142" s="37"/>
      <c r="U142" s="37"/>
    </row>
    <row r="143" spans="1:21" ht="14.1" customHeight="1" x14ac:dyDescent="0.25">
      <c r="A143" s="61" t="s">
        <v>69</v>
      </c>
      <c r="B143" s="6">
        <v>10</v>
      </c>
      <c r="C143" s="5">
        <v>0.77760497667185069</v>
      </c>
      <c r="D143" s="5"/>
      <c r="E143" s="6">
        <v>9</v>
      </c>
      <c r="F143" s="5">
        <v>0.72580645161290325</v>
      </c>
      <c r="G143" s="5"/>
      <c r="H143" s="3">
        <v>1</v>
      </c>
      <c r="I143" s="16">
        <v>2.3809523809523809</v>
      </c>
      <c r="J143" s="5"/>
      <c r="K143" s="3" t="s">
        <v>96</v>
      </c>
      <c r="L143" s="16" t="s">
        <v>96</v>
      </c>
      <c r="N143" s="37">
        <f t="shared" si="9"/>
        <v>0.8</v>
      </c>
      <c r="O143" s="37">
        <f t="shared" si="10"/>
        <v>0.7</v>
      </c>
      <c r="P143" s="37">
        <f t="shared" si="11"/>
        <v>2.4</v>
      </c>
      <c r="Q143" s="37" t="e">
        <f t="shared" si="12"/>
        <v>#VALUE!</v>
      </c>
      <c r="R143" s="37"/>
      <c r="S143" s="37"/>
      <c r="T143" s="37"/>
      <c r="U143" s="37"/>
    </row>
    <row r="144" spans="1:21" ht="14.1" customHeight="1" x14ac:dyDescent="0.25">
      <c r="A144" s="61" t="s">
        <v>35</v>
      </c>
      <c r="B144" s="6">
        <v>22</v>
      </c>
      <c r="C144" s="5">
        <v>1.7107309486780715</v>
      </c>
      <c r="D144" s="5"/>
      <c r="E144" s="6">
        <v>22</v>
      </c>
      <c r="F144" s="5">
        <v>1.7741935483870968</v>
      </c>
      <c r="G144" s="5"/>
      <c r="H144" s="3" t="s">
        <v>96</v>
      </c>
      <c r="I144" s="16" t="s">
        <v>96</v>
      </c>
      <c r="J144" s="5"/>
      <c r="K144" s="3" t="s">
        <v>96</v>
      </c>
      <c r="L144" s="16" t="s">
        <v>96</v>
      </c>
      <c r="N144" s="37">
        <f t="shared" si="9"/>
        <v>1.7</v>
      </c>
      <c r="O144" s="37">
        <f t="shared" si="10"/>
        <v>1.8</v>
      </c>
      <c r="P144" s="37" t="e">
        <f t="shared" si="11"/>
        <v>#VALUE!</v>
      </c>
      <c r="Q144" s="37" t="e">
        <f t="shared" si="12"/>
        <v>#VALUE!</v>
      </c>
      <c r="R144" s="37"/>
      <c r="S144" s="37"/>
      <c r="T144" s="37"/>
      <c r="U144" s="37"/>
    </row>
    <row r="145" spans="1:21" ht="14.1" customHeight="1" x14ac:dyDescent="0.25">
      <c r="A145" s="61" t="s">
        <v>36</v>
      </c>
      <c r="B145" s="6">
        <v>204</v>
      </c>
      <c r="C145" s="5">
        <v>15.863141524105753</v>
      </c>
      <c r="D145" s="5"/>
      <c r="E145" s="6">
        <v>203</v>
      </c>
      <c r="F145" s="5">
        <v>16.370967741935484</v>
      </c>
      <c r="G145" s="5"/>
      <c r="H145" s="3">
        <v>1</v>
      </c>
      <c r="I145" s="16">
        <v>2.3809523809523809</v>
      </c>
      <c r="J145" s="5"/>
      <c r="K145" s="3" t="s">
        <v>96</v>
      </c>
      <c r="L145" s="16" t="s">
        <v>96</v>
      </c>
      <c r="N145" s="37">
        <f t="shared" si="9"/>
        <v>15.9</v>
      </c>
      <c r="O145" s="37">
        <f t="shared" si="10"/>
        <v>16.399999999999999</v>
      </c>
      <c r="P145" s="37">
        <f t="shared" si="11"/>
        <v>2.4</v>
      </c>
      <c r="Q145" s="37" t="e">
        <f t="shared" si="12"/>
        <v>#VALUE!</v>
      </c>
      <c r="R145" s="37"/>
      <c r="S145" s="37"/>
      <c r="T145" s="37"/>
      <c r="U145" s="37"/>
    </row>
    <row r="146" spans="1:21" ht="14.1" customHeight="1" x14ac:dyDescent="0.25">
      <c r="A146" s="61" t="s">
        <v>37</v>
      </c>
      <c r="B146" s="6">
        <v>56</v>
      </c>
      <c r="C146" s="5">
        <v>4.3545878693623639</v>
      </c>
      <c r="D146" s="5"/>
      <c r="E146" s="6">
        <v>56</v>
      </c>
      <c r="F146" s="5">
        <v>4.5161290322580641</v>
      </c>
      <c r="G146" s="5"/>
      <c r="H146" s="3" t="s">
        <v>96</v>
      </c>
      <c r="I146" s="16" t="s">
        <v>96</v>
      </c>
      <c r="J146" s="5"/>
      <c r="K146" s="3" t="s">
        <v>96</v>
      </c>
      <c r="L146" s="16" t="s">
        <v>96</v>
      </c>
      <c r="N146" s="37">
        <f t="shared" si="9"/>
        <v>4.4000000000000004</v>
      </c>
      <c r="O146" s="37">
        <f t="shared" si="10"/>
        <v>4.5</v>
      </c>
      <c r="P146" s="37" t="e">
        <f t="shared" si="11"/>
        <v>#VALUE!</v>
      </c>
      <c r="Q146" s="37" t="e">
        <f t="shared" si="12"/>
        <v>#VALUE!</v>
      </c>
      <c r="R146" s="37"/>
      <c r="S146" s="37"/>
      <c r="T146" s="37"/>
      <c r="U146" s="37"/>
    </row>
    <row r="147" spans="1:21" ht="14.1" customHeight="1" x14ac:dyDescent="0.25">
      <c r="A147" s="61"/>
      <c r="B147" s="6"/>
      <c r="C147" s="5"/>
      <c r="D147" s="5"/>
      <c r="E147" s="6"/>
      <c r="F147" s="5"/>
      <c r="G147" s="5"/>
      <c r="H147" s="6"/>
      <c r="I147" s="5"/>
      <c r="J147" s="5"/>
      <c r="K147" s="6"/>
      <c r="L147" s="5"/>
      <c r="N147" s="37">
        <f t="shared" si="9"/>
        <v>0</v>
      </c>
      <c r="O147" s="37">
        <f t="shared" si="10"/>
        <v>0</v>
      </c>
      <c r="P147" s="37">
        <f t="shared" si="11"/>
        <v>0</v>
      </c>
      <c r="Q147" s="37">
        <f t="shared" si="12"/>
        <v>0</v>
      </c>
      <c r="R147" s="37"/>
      <c r="S147" s="37"/>
      <c r="T147" s="37"/>
      <c r="U147" s="37"/>
    </row>
    <row r="148" spans="1:21" ht="14.1" customHeight="1" x14ac:dyDescent="0.25">
      <c r="A148" s="91" t="s">
        <v>15</v>
      </c>
      <c r="B148" s="9">
        <v>2417</v>
      </c>
      <c r="C148" s="15">
        <v>100</v>
      </c>
      <c r="D148" s="15"/>
      <c r="E148" s="9">
        <v>2234</v>
      </c>
      <c r="F148" s="15">
        <v>100</v>
      </c>
      <c r="G148" s="15"/>
      <c r="H148" s="9">
        <v>160</v>
      </c>
      <c r="I148" s="15">
        <v>100</v>
      </c>
      <c r="J148" s="15"/>
      <c r="K148" s="9">
        <v>23</v>
      </c>
      <c r="L148" s="15">
        <v>100</v>
      </c>
      <c r="N148" s="37">
        <f>SUM(N149:N160)</f>
        <v>100</v>
      </c>
      <c r="O148" s="37">
        <f t="shared" ref="O148:Q148" si="17">SUM(O149:O160)</f>
        <v>99.999999999999986</v>
      </c>
      <c r="P148" s="37" t="e">
        <f t="shared" si="17"/>
        <v>#VALUE!</v>
      </c>
      <c r="Q148" s="37" t="e">
        <f t="shared" si="17"/>
        <v>#VALUE!</v>
      </c>
      <c r="R148" s="37"/>
      <c r="S148" s="37"/>
      <c r="T148" s="37"/>
      <c r="U148" s="37"/>
    </row>
    <row r="149" spans="1:21" ht="14.1" customHeight="1" x14ac:dyDescent="0.25">
      <c r="A149" s="61" t="s">
        <v>57</v>
      </c>
      <c r="B149" s="6">
        <v>68</v>
      </c>
      <c r="C149" s="5">
        <v>2.8134050475796442</v>
      </c>
      <c r="D149" s="5"/>
      <c r="E149" s="6">
        <v>66</v>
      </c>
      <c r="F149" s="5">
        <v>2.9543419874664281</v>
      </c>
      <c r="G149" s="5"/>
      <c r="H149" s="6">
        <v>2</v>
      </c>
      <c r="I149" s="5">
        <v>1.25</v>
      </c>
      <c r="J149" s="5"/>
      <c r="K149" s="3" t="s">
        <v>96</v>
      </c>
      <c r="L149" s="16" t="s">
        <v>96</v>
      </c>
      <c r="N149" s="37">
        <f t="shared" si="9"/>
        <v>2.8</v>
      </c>
      <c r="O149" s="37">
        <f t="shared" si="10"/>
        <v>3</v>
      </c>
      <c r="P149" s="37">
        <f t="shared" si="11"/>
        <v>1.3</v>
      </c>
      <c r="Q149" s="37" t="e">
        <f t="shared" si="12"/>
        <v>#VALUE!</v>
      </c>
      <c r="R149" s="37"/>
      <c r="S149" s="37"/>
      <c r="T149" s="37"/>
      <c r="U149" s="37"/>
    </row>
    <row r="150" spans="1:21" ht="14.1" customHeight="1" x14ac:dyDescent="0.25">
      <c r="A150" s="61" t="s">
        <v>29</v>
      </c>
      <c r="B150" s="6">
        <v>37</v>
      </c>
      <c r="C150" s="5">
        <v>1.5308233347124536</v>
      </c>
      <c r="D150" s="5"/>
      <c r="E150" s="6">
        <v>37</v>
      </c>
      <c r="F150" s="5">
        <v>1.656222023276634</v>
      </c>
      <c r="G150" s="5"/>
      <c r="H150" s="3" t="s">
        <v>96</v>
      </c>
      <c r="I150" s="16" t="s">
        <v>96</v>
      </c>
      <c r="J150" s="5"/>
      <c r="K150" s="3" t="s">
        <v>96</v>
      </c>
      <c r="L150" s="16" t="s">
        <v>96</v>
      </c>
      <c r="N150" s="37">
        <f t="shared" si="9"/>
        <v>1.5</v>
      </c>
      <c r="O150" s="37">
        <f t="shared" si="10"/>
        <v>1.7</v>
      </c>
      <c r="P150" s="37" t="e">
        <f t="shared" si="11"/>
        <v>#VALUE!</v>
      </c>
      <c r="Q150" s="37" t="e">
        <f t="shared" si="12"/>
        <v>#VALUE!</v>
      </c>
      <c r="R150" s="37"/>
      <c r="S150" s="37"/>
      <c r="T150" s="37"/>
      <c r="U150" s="37"/>
    </row>
    <row r="151" spans="1:21" ht="14.1" customHeight="1" x14ac:dyDescent="0.25">
      <c r="A151" s="61" t="s">
        <v>30</v>
      </c>
      <c r="B151" s="6">
        <v>134</v>
      </c>
      <c r="C151" s="5">
        <v>5.5440628878775344</v>
      </c>
      <c r="D151" s="5"/>
      <c r="E151" s="6">
        <v>121</v>
      </c>
      <c r="F151" s="5">
        <v>5.4162936436884506</v>
      </c>
      <c r="G151" s="5"/>
      <c r="H151" s="3">
        <v>12</v>
      </c>
      <c r="I151" s="16">
        <v>7.5</v>
      </c>
      <c r="J151" s="5"/>
      <c r="K151" s="3">
        <v>1</v>
      </c>
      <c r="L151" s="16">
        <v>4.3478260869565215</v>
      </c>
      <c r="N151" s="37">
        <f t="shared" si="9"/>
        <v>5.5</v>
      </c>
      <c r="O151" s="37">
        <f t="shared" si="10"/>
        <v>5.4</v>
      </c>
      <c r="P151" s="37">
        <f t="shared" si="11"/>
        <v>7.5</v>
      </c>
      <c r="Q151" s="37">
        <f t="shared" si="12"/>
        <v>4.3</v>
      </c>
      <c r="R151" s="37"/>
      <c r="S151" s="37"/>
      <c r="T151" s="37"/>
      <c r="U151" s="37"/>
    </row>
    <row r="152" spans="1:21" ht="14.1" customHeight="1" x14ac:dyDescent="0.25">
      <c r="A152" s="61" t="s">
        <v>31</v>
      </c>
      <c r="B152" s="6">
        <v>9</v>
      </c>
      <c r="C152" s="5">
        <v>0.3723624327678941</v>
      </c>
      <c r="D152" s="5"/>
      <c r="E152" s="6">
        <v>8</v>
      </c>
      <c r="F152" s="5">
        <v>0.35810205908683973</v>
      </c>
      <c r="G152" s="5"/>
      <c r="H152" s="3" t="s">
        <v>96</v>
      </c>
      <c r="I152" s="16" t="s">
        <v>96</v>
      </c>
      <c r="J152" s="5"/>
      <c r="K152" s="3">
        <v>1</v>
      </c>
      <c r="L152" s="16">
        <v>4.3478260869565215</v>
      </c>
      <c r="N152" s="37">
        <f t="shared" ref="N152:N215" si="18">ROUND(C152,1)</f>
        <v>0.4</v>
      </c>
      <c r="O152" s="37">
        <f t="shared" ref="O152:O215" si="19">ROUND(F152,1)</f>
        <v>0.4</v>
      </c>
      <c r="P152" s="37" t="e">
        <f t="shared" ref="P152:P215" si="20">ROUND(I152,1)</f>
        <v>#VALUE!</v>
      </c>
      <c r="Q152" s="37">
        <f t="shared" ref="Q152:Q215" si="21">ROUND(L152,1)</f>
        <v>4.3</v>
      </c>
      <c r="R152" s="37"/>
      <c r="S152" s="37"/>
      <c r="T152" s="37"/>
      <c r="U152" s="37"/>
    </row>
    <row r="153" spans="1:21" ht="14.1" customHeight="1" x14ac:dyDescent="0.25">
      <c r="A153" s="61" t="s">
        <v>32</v>
      </c>
      <c r="B153" s="6">
        <v>601</v>
      </c>
      <c r="C153" s="5">
        <v>24.865535788167151</v>
      </c>
      <c r="D153" s="5"/>
      <c r="E153" s="6">
        <v>565</v>
      </c>
      <c r="F153" s="5">
        <v>25.090957923008055</v>
      </c>
      <c r="G153" s="5"/>
      <c r="H153" s="6">
        <v>35</v>
      </c>
      <c r="I153" s="5">
        <v>21.875</v>
      </c>
      <c r="J153" s="5"/>
      <c r="K153" s="3">
        <v>1</v>
      </c>
      <c r="L153" s="16">
        <v>4.3478260869565215</v>
      </c>
      <c r="N153" s="37">
        <f t="shared" si="18"/>
        <v>24.9</v>
      </c>
      <c r="O153" s="37">
        <f t="shared" si="19"/>
        <v>25.1</v>
      </c>
      <c r="P153" s="37">
        <f t="shared" si="20"/>
        <v>21.9</v>
      </c>
      <c r="Q153" s="37">
        <f t="shared" si="21"/>
        <v>4.3</v>
      </c>
      <c r="R153" s="37"/>
      <c r="S153" s="37"/>
      <c r="T153" s="37"/>
      <c r="U153" s="37"/>
    </row>
    <row r="154" spans="1:21" ht="14.1" customHeight="1" x14ac:dyDescent="0.25">
      <c r="A154" s="61" t="s">
        <v>33</v>
      </c>
      <c r="B154" s="6">
        <v>609</v>
      </c>
      <c r="C154" s="5">
        <v>25.196524617294163</v>
      </c>
      <c r="D154" s="5"/>
      <c r="E154" s="6">
        <v>521</v>
      </c>
      <c r="F154" s="5">
        <v>23.221396598030438</v>
      </c>
      <c r="G154" s="5"/>
      <c r="H154" s="6">
        <v>70</v>
      </c>
      <c r="I154" s="5">
        <v>43.55</v>
      </c>
      <c r="J154" s="5"/>
      <c r="K154" s="3">
        <v>18</v>
      </c>
      <c r="L154" s="16">
        <v>78.460869565217394</v>
      </c>
      <c r="N154" s="37">
        <f t="shared" si="18"/>
        <v>25.2</v>
      </c>
      <c r="O154" s="37">
        <f t="shared" si="19"/>
        <v>23.2</v>
      </c>
      <c r="P154" s="37">
        <f t="shared" si="20"/>
        <v>43.6</v>
      </c>
      <c r="Q154" s="37">
        <f t="shared" si="21"/>
        <v>78.5</v>
      </c>
      <c r="R154" s="37"/>
      <c r="S154" s="37"/>
      <c r="T154" s="37"/>
      <c r="U154" s="37"/>
    </row>
    <row r="155" spans="1:21" ht="14.1" customHeight="1" x14ac:dyDescent="0.25">
      <c r="A155" s="61" t="s">
        <v>34</v>
      </c>
      <c r="B155" s="6">
        <v>159</v>
      </c>
      <c r="C155" s="5">
        <v>6.5784029788994625</v>
      </c>
      <c r="D155" s="5"/>
      <c r="E155" s="6">
        <v>151</v>
      </c>
      <c r="F155" s="5">
        <v>6.7591763652640999</v>
      </c>
      <c r="G155" s="5"/>
      <c r="H155" s="6">
        <v>7</v>
      </c>
      <c r="I155" s="5">
        <v>4.375</v>
      </c>
      <c r="J155" s="5"/>
      <c r="K155" s="3">
        <v>1</v>
      </c>
      <c r="L155" s="16">
        <v>4.3478260869565215</v>
      </c>
      <c r="N155" s="37">
        <f t="shared" si="18"/>
        <v>6.6</v>
      </c>
      <c r="O155" s="37">
        <f t="shared" si="19"/>
        <v>6.8</v>
      </c>
      <c r="P155" s="37">
        <f t="shared" si="20"/>
        <v>4.4000000000000004</v>
      </c>
      <c r="Q155" s="37">
        <f t="shared" si="21"/>
        <v>4.3</v>
      </c>
      <c r="R155" s="37"/>
      <c r="S155" s="37"/>
      <c r="T155" s="37"/>
      <c r="U155" s="37"/>
    </row>
    <row r="156" spans="1:21" ht="14.1" customHeight="1" x14ac:dyDescent="0.25">
      <c r="A156" s="61" t="s">
        <v>67</v>
      </c>
      <c r="B156" s="6">
        <v>29</v>
      </c>
      <c r="C156" s="5">
        <v>1.1998345055854365</v>
      </c>
      <c r="D156" s="5"/>
      <c r="E156" s="6">
        <v>26</v>
      </c>
      <c r="F156" s="5">
        <v>1.1638316920322291</v>
      </c>
      <c r="G156" s="5"/>
      <c r="H156" s="6">
        <v>3</v>
      </c>
      <c r="I156" s="5">
        <v>1.875</v>
      </c>
      <c r="J156" s="5"/>
      <c r="K156" s="3" t="s">
        <v>96</v>
      </c>
      <c r="L156" s="16" t="s">
        <v>96</v>
      </c>
      <c r="N156" s="37">
        <f t="shared" si="18"/>
        <v>1.2</v>
      </c>
      <c r="O156" s="37">
        <f t="shared" si="19"/>
        <v>1.2</v>
      </c>
      <c r="P156" s="37">
        <f t="shared" si="20"/>
        <v>1.9</v>
      </c>
      <c r="Q156" s="37" t="e">
        <f t="shared" si="21"/>
        <v>#VALUE!</v>
      </c>
      <c r="R156" s="37"/>
      <c r="S156" s="37"/>
      <c r="T156" s="37"/>
      <c r="U156" s="37"/>
    </row>
    <row r="157" spans="1:21" ht="14.1" customHeight="1" x14ac:dyDescent="0.25">
      <c r="A157" s="61" t="s">
        <v>69</v>
      </c>
      <c r="B157" s="6">
        <v>43</v>
      </c>
      <c r="C157" s="5">
        <v>1.7790649565577161</v>
      </c>
      <c r="D157" s="5"/>
      <c r="E157" s="6">
        <v>40</v>
      </c>
      <c r="F157" s="5">
        <v>1.7905102954341987</v>
      </c>
      <c r="G157" s="5"/>
      <c r="H157" s="6">
        <v>3</v>
      </c>
      <c r="I157" s="5">
        <v>1.875</v>
      </c>
      <c r="J157" s="5"/>
      <c r="K157" s="3" t="s">
        <v>96</v>
      </c>
      <c r="L157" s="16" t="s">
        <v>96</v>
      </c>
      <c r="N157" s="37">
        <f t="shared" si="18"/>
        <v>1.8</v>
      </c>
      <c r="O157" s="37">
        <f t="shared" si="19"/>
        <v>1.8</v>
      </c>
      <c r="P157" s="37">
        <f t="shared" si="20"/>
        <v>1.9</v>
      </c>
      <c r="Q157" s="37" t="e">
        <f t="shared" si="21"/>
        <v>#VALUE!</v>
      </c>
      <c r="R157" s="37"/>
      <c r="S157" s="37"/>
      <c r="T157" s="37"/>
      <c r="U157" s="37"/>
    </row>
    <row r="158" spans="1:21" ht="14.1" customHeight="1" x14ac:dyDescent="0.25">
      <c r="A158" s="61" t="s">
        <v>35</v>
      </c>
      <c r="B158" s="6">
        <v>71</v>
      </c>
      <c r="C158" s="5">
        <v>2.9375258585022754</v>
      </c>
      <c r="D158" s="5"/>
      <c r="E158" s="6">
        <v>66</v>
      </c>
      <c r="F158" s="5">
        <v>2.9543419874664281</v>
      </c>
      <c r="G158" s="5"/>
      <c r="H158" s="6">
        <v>5</v>
      </c>
      <c r="I158" s="5">
        <v>3.125</v>
      </c>
      <c r="J158" s="5"/>
      <c r="K158" s="3" t="s">
        <v>96</v>
      </c>
      <c r="L158" s="16" t="s">
        <v>96</v>
      </c>
      <c r="N158" s="37">
        <f t="shared" si="18"/>
        <v>2.9</v>
      </c>
      <c r="O158" s="37">
        <f t="shared" si="19"/>
        <v>3</v>
      </c>
      <c r="P158" s="37">
        <f t="shared" si="20"/>
        <v>3.1</v>
      </c>
      <c r="Q158" s="37" t="e">
        <f t="shared" si="21"/>
        <v>#VALUE!</v>
      </c>
      <c r="R158" s="37"/>
      <c r="S158" s="37"/>
      <c r="T158" s="37"/>
      <c r="U158" s="37"/>
    </row>
    <row r="159" spans="1:21" ht="14.1" customHeight="1" x14ac:dyDescent="0.25">
      <c r="A159" s="61" t="s">
        <v>36</v>
      </c>
      <c r="B159" s="6">
        <v>485</v>
      </c>
      <c r="C159" s="5">
        <v>20.066197765825404</v>
      </c>
      <c r="D159" s="5"/>
      <c r="E159" s="6">
        <v>471</v>
      </c>
      <c r="F159" s="5">
        <v>21.083258728737693</v>
      </c>
      <c r="G159" s="5"/>
      <c r="H159" s="6">
        <v>13</v>
      </c>
      <c r="I159" s="5">
        <v>8.125</v>
      </c>
      <c r="J159" s="5"/>
      <c r="K159" s="3">
        <v>1</v>
      </c>
      <c r="L159" s="16">
        <v>4.3478260869565215</v>
      </c>
      <c r="N159" s="37">
        <f t="shared" si="18"/>
        <v>20.100000000000001</v>
      </c>
      <c r="O159" s="37">
        <f t="shared" si="19"/>
        <v>21.1</v>
      </c>
      <c r="P159" s="37">
        <f t="shared" si="20"/>
        <v>8.1</v>
      </c>
      <c r="Q159" s="37">
        <f t="shared" si="21"/>
        <v>4.3</v>
      </c>
      <c r="R159" s="37"/>
      <c r="S159" s="37"/>
      <c r="T159" s="37"/>
      <c r="U159" s="37"/>
    </row>
    <row r="160" spans="1:21" ht="14.1" customHeight="1" x14ac:dyDescent="0.25">
      <c r="A160" s="61" t="s">
        <v>37</v>
      </c>
      <c r="B160" s="6">
        <v>172</v>
      </c>
      <c r="C160" s="5">
        <v>7.1162598262308645</v>
      </c>
      <c r="D160" s="5"/>
      <c r="E160" s="6">
        <v>162</v>
      </c>
      <c r="F160" s="5">
        <v>7.2515666965085046</v>
      </c>
      <c r="G160" s="5"/>
      <c r="H160" s="6">
        <v>10</v>
      </c>
      <c r="I160" s="5">
        <v>6.25</v>
      </c>
      <c r="J160" s="5"/>
      <c r="K160" s="3" t="s">
        <v>96</v>
      </c>
      <c r="L160" s="16" t="s">
        <v>96</v>
      </c>
      <c r="N160" s="37">
        <f t="shared" si="18"/>
        <v>7.1</v>
      </c>
      <c r="O160" s="37">
        <f t="shared" si="19"/>
        <v>7.3</v>
      </c>
      <c r="P160" s="37">
        <f t="shared" si="20"/>
        <v>6.3</v>
      </c>
      <c r="Q160" s="37" t="e">
        <f t="shared" si="21"/>
        <v>#VALUE!</v>
      </c>
      <c r="R160" s="37"/>
      <c r="S160" s="37"/>
      <c r="T160" s="37"/>
      <c r="U160" s="37"/>
    </row>
    <row r="161" spans="1:21" ht="14.1" customHeight="1" x14ac:dyDescent="0.25">
      <c r="A161" s="61"/>
      <c r="B161" s="6"/>
      <c r="C161" s="5"/>
      <c r="D161" s="5"/>
      <c r="E161" s="6"/>
      <c r="F161" s="5"/>
      <c r="G161" s="5"/>
      <c r="H161" s="6"/>
      <c r="I161" s="5"/>
      <c r="J161" s="5"/>
      <c r="K161" s="6"/>
      <c r="L161" s="5"/>
      <c r="N161" s="37">
        <f t="shared" si="18"/>
        <v>0</v>
      </c>
      <c r="O161" s="37">
        <f t="shared" si="19"/>
        <v>0</v>
      </c>
      <c r="P161" s="37">
        <f t="shared" si="20"/>
        <v>0</v>
      </c>
      <c r="Q161" s="37">
        <f t="shared" si="21"/>
        <v>0</v>
      </c>
      <c r="R161" s="37"/>
      <c r="S161" s="37"/>
      <c r="T161" s="37"/>
      <c r="U161" s="37"/>
    </row>
    <row r="162" spans="1:21" ht="14.1" customHeight="1" x14ac:dyDescent="0.25">
      <c r="A162" s="91" t="s">
        <v>14</v>
      </c>
      <c r="B162" s="9">
        <v>6043</v>
      </c>
      <c r="C162" s="15">
        <v>100</v>
      </c>
      <c r="D162" s="15"/>
      <c r="E162" s="9">
        <v>5388</v>
      </c>
      <c r="F162" s="15">
        <v>100</v>
      </c>
      <c r="G162" s="15"/>
      <c r="H162" s="9">
        <v>507</v>
      </c>
      <c r="I162" s="15">
        <v>100</v>
      </c>
      <c r="J162" s="15"/>
      <c r="K162" s="9">
        <v>148</v>
      </c>
      <c r="L162" s="15">
        <v>100</v>
      </c>
      <c r="N162" s="37">
        <f>SUM(N163:N174)</f>
        <v>100.00000000000001</v>
      </c>
      <c r="O162" s="37">
        <f t="shared" ref="O162:Q162" si="22">SUM(O163:O174)</f>
        <v>100</v>
      </c>
      <c r="P162" s="37">
        <f t="shared" si="22"/>
        <v>100.00000000000001</v>
      </c>
      <c r="Q162" s="37" t="e">
        <f t="shared" si="22"/>
        <v>#VALUE!</v>
      </c>
      <c r="R162" s="37"/>
      <c r="S162" s="37"/>
      <c r="T162" s="37"/>
      <c r="U162" s="37"/>
    </row>
    <row r="163" spans="1:21" ht="14.1" customHeight="1" x14ac:dyDescent="0.25">
      <c r="A163" s="61" t="s">
        <v>57</v>
      </c>
      <c r="B163" s="6">
        <v>445</v>
      </c>
      <c r="C163" s="5">
        <v>7.363892106569585</v>
      </c>
      <c r="D163" s="5"/>
      <c r="E163" s="6">
        <v>341</v>
      </c>
      <c r="F163" s="5">
        <v>6.3288789903489242</v>
      </c>
      <c r="G163" s="5"/>
      <c r="H163" s="6">
        <v>75</v>
      </c>
      <c r="I163" s="5">
        <v>14.792899408284024</v>
      </c>
      <c r="J163" s="5"/>
      <c r="K163" s="6">
        <v>29</v>
      </c>
      <c r="L163" s="5">
        <v>19.594594594594593</v>
      </c>
      <c r="N163" s="37">
        <f t="shared" si="18"/>
        <v>7.4</v>
      </c>
      <c r="O163" s="37">
        <f t="shared" si="19"/>
        <v>6.3</v>
      </c>
      <c r="P163" s="37">
        <f t="shared" si="20"/>
        <v>14.8</v>
      </c>
      <c r="Q163" s="37">
        <f t="shared" si="21"/>
        <v>19.600000000000001</v>
      </c>
      <c r="R163" s="37"/>
      <c r="S163" s="37"/>
      <c r="T163" s="37"/>
      <c r="U163" s="37"/>
    </row>
    <row r="164" spans="1:21" ht="14.1" customHeight="1" x14ac:dyDescent="0.25">
      <c r="A164" s="61" t="s">
        <v>29</v>
      </c>
      <c r="B164" s="6">
        <v>160</v>
      </c>
      <c r="C164" s="5">
        <v>2.6476915439351316</v>
      </c>
      <c r="D164" s="5"/>
      <c r="E164" s="6">
        <v>146</v>
      </c>
      <c r="F164" s="5">
        <v>2.7097253155159611</v>
      </c>
      <c r="G164" s="5"/>
      <c r="H164" s="6">
        <v>11</v>
      </c>
      <c r="I164" s="5">
        <v>2.1696252465483234</v>
      </c>
      <c r="J164" s="5"/>
      <c r="K164" s="6">
        <v>3</v>
      </c>
      <c r="L164" s="5">
        <v>2.0270270270270272</v>
      </c>
      <c r="N164" s="37">
        <f t="shared" si="18"/>
        <v>2.6</v>
      </c>
      <c r="O164" s="37">
        <f t="shared" si="19"/>
        <v>2.7</v>
      </c>
      <c r="P164" s="37">
        <f t="shared" si="20"/>
        <v>2.2000000000000002</v>
      </c>
      <c r="Q164" s="37">
        <f t="shared" si="21"/>
        <v>2</v>
      </c>
      <c r="R164" s="37"/>
      <c r="S164" s="37"/>
      <c r="T164" s="37"/>
      <c r="U164" s="37"/>
    </row>
    <row r="165" spans="1:21" ht="14.1" customHeight="1" x14ac:dyDescent="0.25">
      <c r="A165" s="61" t="s">
        <v>30</v>
      </c>
      <c r="B165" s="6">
        <v>473</v>
      </c>
      <c r="C165" s="5">
        <v>7.8272381267582336</v>
      </c>
      <c r="D165" s="5"/>
      <c r="E165" s="6">
        <v>391</v>
      </c>
      <c r="F165" s="5">
        <v>7.2568671121009647</v>
      </c>
      <c r="G165" s="5"/>
      <c r="H165" s="6">
        <v>41</v>
      </c>
      <c r="I165" s="5">
        <v>8.0867850098619325</v>
      </c>
      <c r="J165" s="5"/>
      <c r="K165" s="6">
        <v>41</v>
      </c>
      <c r="L165" s="5">
        <v>27.702702702702702</v>
      </c>
      <c r="N165" s="37">
        <f t="shared" si="18"/>
        <v>7.8</v>
      </c>
      <c r="O165" s="37">
        <f t="shared" si="19"/>
        <v>7.3</v>
      </c>
      <c r="P165" s="37">
        <f t="shared" si="20"/>
        <v>8.1</v>
      </c>
      <c r="Q165" s="37">
        <f t="shared" si="21"/>
        <v>27.7</v>
      </c>
      <c r="R165" s="37"/>
      <c r="S165" s="37"/>
      <c r="T165" s="37"/>
      <c r="U165" s="37"/>
    </row>
    <row r="166" spans="1:21" ht="14.1" customHeight="1" x14ac:dyDescent="0.25">
      <c r="A166" s="61" t="s">
        <v>31</v>
      </c>
      <c r="B166" s="6">
        <v>41</v>
      </c>
      <c r="C166" s="5">
        <v>0.67847095813337743</v>
      </c>
      <c r="D166" s="5"/>
      <c r="E166" s="6">
        <v>32</v>
      </c>
      <c r="F166" s="5">
        <v>0.59391239792130657</v>
      </c>
      <c r="G166" s="5"/>
      <c r="H166" s="6">
        <v>4</v>
      </c>
      <c r="I166" s="5">
        <v>0.78895463510848129</v>
      </c>
      <c r="J166" s="5"/>
      <c r="K166" s="6">
        <v>5</v>
      </c>
      <c r="L166" s="5">
        <v>3.3783783783783785</v>
      </c>
      <c r="N166" s="37">
        <f t="shared" si="18"/>
        <v>0.7</v>
      </c>
      <c r="O166" s="37">
        <f t="shared" si="19"/>
        <v>0.6</v>
      </c>
      <c r="P166" s="37">
        <f t="shared" si="20"/>
        <v>0.8</v>
      </c>
      <c r="Q166" s="37">
        <f t="shared" si="21"/>
        <v>3.4</v>
      </c>
      <c r="R166" s="37"/>
      <c r="S166" s="37"/>
      <c r="T166" s="37"/>
      <c r="U166" s="37"/>
    </row>
    <row r="167" spans="1:21" ht="14.1" customHeight="1" x14ac:dyDescent="0.25">
      <c r="A167" s="61" t="s">
        <v>32</v>
      </c>
      <c r="B167" s="6">
        <v>965</v>
      </c>
      <c r="C167" s="5">
        <v>15.968889624358763</v>
      </c>
      <c r="D167" s="5"/>
      <c r="E167" s="6">
        <v>913</v>
      </c>
      <c r="F167" s="5">
        <v>16.945063103192279</v>
      </c>
      <c r="G167" s="5"/>
      <c r="H167" s="6">
        <v>49</v>
      </c>
      <c r="I167" s="5">
        <v>9.6646942800788942</v>
      </c>
      <c r="J167" s="5"/>
      <c r="K167" s="6">
        <v>3</v>
      </c>
      <c r="L167" s="5">
        <v>2.0270270270270272</v>
      </c>
      <c r="N167" s="37">
        <f t="shared" si="18"/>
        <v>16</v>
      </c>
      <c r="O167" s="37">
        <f t="shared" si="19"/>
        <v>16.899999999999999</v>
      </c>
      <c r="P167" s="37">
        <f t="shared" si="20"/>
        <v>9.6999999999999993</v>
      </c>
      <c r="Q167" s="37">
        <f t="shared" si="21"/>
        <v>2</v>
      </c>
      <c r="R167" s="37"/>
      <c r="S167" s="37"/>
      <c r="T167" s="37"/>
      <c r="U167" s="37"/>
    </row>
    <row r="168" spans="1:21" ht="14.1" customHeight="1" x14ac:dyDescent="0.25">
      <c r="A168" s="61" t="s">
        <v>33</v>
      </c>
      <c r="B168" s="6">
        <v>1307</v>
      </c>
      <c r="C168" s="5">
        <v>21.72833029952011</v>
      </c>
      <c r="D168" s="5"/>
      <c r="E168" s="6">
        <v>1092</v>
      </c>
      <c r="F168" s="5">
        <v>20.26726057906459</v>
      </c>
      <c r="G168" s="5"/>
      <c r="H168" s="6">
        <v>163</v>
      </c>
      <c r="I168" s="5">
        <v>31.949901380670607</v>
      </c>
      <c r="J168" s="5"/>
      <c r="K168" s="6">
        <v>52</v>
      </c>
      <c r="L168" s="5">
        <v>35.135135135135137</v>
      </c>
      <c r="N168" s="37">
        <f t="shared" si="18"/>
        <v>21.7</v>
      </c>
      <c r="O168" s="37">
        <f t="shared" si="19"/>
        <v>20.3</v>
      </c>
      <c r="P168" s="37">
        <f t="shared" si="20"/>
        <v>31.9</v>
      </c>
      <c r="Q168" s="37">
        <f t="shared" si="21"/>
        <v>35.1</v>
      </c>
      <c r="R168" s="37"/>
      <c r="S168" s="37"/>
      <c r="T168" s="37"/>
      <c r="U168" s="37"/>
    </row>
    <row r="169" spans="1:21" ht="14.1" customHeight="1" x14ac:dyDescent="0.25">
      <c r="A169" s="61" t="s">
        <v>34</v>
      </c>
      <c r="B169" s="6">
        <v>846</v>
      </c>
      <c r="C169" s="5">
        <v>13.999669038557009</v>
      </c>
      <c r="D169" s="5"/>
      <c r="E169" s="6">
        <v>792</v>
      </c>
      <c r="F169" s="5">
        <v>14.699331848552339</v>
      </c>
      <c r="G169" s="5"/>
      <c r="H169" s="6">
        <v>52</v>
      </c>
      <c r="I169" s="5">
        <v>10.256410256410255</v>
      </c>
      <c r="J169" s="5"/>
      <c r="K169" s="6">
        <v>2</v>
      </c>
      <c r="L169" s="5">
        <v>1.3513513513513513</v>
      </c>
      <c r="N169" s="37">
        <f t="shared" si="18"/>
        <v>14</v>
      </c>
      <c r="O169" s="37">
        <f t="shared" si="19"/>
        <v>14.7</v>
      </c>
      <c r="P169" s="37">
        <f t="shared" si="20"/>
        <v>10.3</v>
      </c>
      <c r="Q169" s="37">
        <f t="shared" si="21"/>
        <v>1.4</v>
      </c>
      <c r="R169" s="37"/>
      <c r="S169" s="37"/>
      <c r="T169" s="37"/>
      <c r="U169" s="37"/>
    </row>
    <row r="170" spans="1:21" ht="14.1" customHeight="1" x14ac:dyDescent="0.25">
      <c r="A170" s="61" t="s">
        <v>67</v>
      </c>
      <c r="B170" s="6">
        <v>111</v>
      </c>
      <c r="C170" s="5">
        <v>1.8368360086049977</v>
      </c>
      <c r="D170" s="5"/>
      <c r="E170" s="6">
        <v>98</v>
      </c>
      <c r="F170" s="5">
        <v>1.8188567186340014</v>
      </c>
      <c r="G170" s="5"/>
      <c r="H170" s="6">
        <v>12</v>
      </c>
      <c r="I170" s="5">
        <v>2.3668639053254439</v>
      </c>
      <c r="J170" s="5"/>
      <c r="K170" s="6">
        <v>1</v>
      </c>
      <c r="L170" s="5">
        <v>0.67567567567567566</v>
      </c>
      <c r="N170" s="37">
        <f t="shared" si="18"/>
        <v>1.8</v>
      </c>
      <c r="O170" s="37">
        <f t="shared" si="19"/>
        <v>1.8</v>
      </c>
      <c r="P170" s="37">
        <f t="shared" si="20"/>
        <v>2.4</v>
      </c>
      <c r="Q170" s="37">
        <f t="shared" si="21"/>
        <v>0.7</v>
      </c>
      <c r="R170" s="37"/>
      <c r="S170" s="37"/>
      <c r="T170" s="37"/>
      <c r="U170" s="37"/>
    </row>
    <row r="171" spans="1:21" ht="14.1" customHeight="1" x14ac:dyDescent="0.25">
      <c r="A171" s="61" t="s">
        <v>69</v>
      </c>
      <c r="B171" s="6">
        <v>194</v>
      </c>
      <c r="C171" s="5">
        <v>3.2103259970213469</v>
      </c>
      <c r="D171" s="5"/>
      <c r="E171" s="6">
        <v>179</v>
      </c>
      <c r="F171" s="5">
        <v>3.3221974758723087</v>
      </c>
      <c r="G171" s="5"/>
      <c r="H171" s="6">
        <v>14</v>
      </c>
      <c r="I171" s="5">
        <v>2.7613412228796843</v>
      </c>
      <c r="J171" s="5"/>
      <c r="K171" s="6">
        <v>1</v>
      </c>
      <c r="L171" s="5">
        <v>0.67567567567567566</v>
      </c>
      <c r="N171" s="37">
        <f t="shared" si="18"/>
        <v>3.2</v>
      </c>
      <c r="O171" s="37">
        <f t="shared" si="19"/>
        <v>3.3</v>
      </c>
      <c r="P171" s="37">
        <f t="shared" si="20"/>
        <v>2.8</v>
      </c>
      <c r="Q171" s="37">
        <f t="shared" si="21"/>
        <v>0.7</v>
      </c>
      <c r="R171" s="37"/>
      <c r="S171" s="37"/>
      <c r="T171" s="37"/>
      <c r="U171" s="37"/>
    </row>
    <row r="172" spans="1:21" ht="14.1" customHeight="1" x14ac:dyDescent="0.25">
      <c r="A172" s="61" t="s">
        <v>35</v>
      </c>
      <c r="B172" s="6">
        <v>102</v>
      </c>
      <c r="C172" s="5">
        <v>1.6879033592586463</v>
      </c>
      <c r="D172" s="5"/>
      <c r="E172" s="6">
        <v>100</v>
      </c>
      <c r="F172" s="5">
        <v>1.855976243504083</v>
      </c>
      <c r="G172" s="5"/>
      <c r="H172" s="6">
        <v>2</v>
      </c>
      <c r="I172" s="5">
        <v>0.39447731755424065</v>
      </c>
      <c r="J172" s="5"/>
      <c r="K172" s="3" t="s">
        <v>96</v>
      </c>
      <c r="L172" s="3" t="s">
        <v>96</v>
      </c>
      <c r="N172" s="37">
        <f t="shared" si="18"/>
        <v>1.7</v>
      </c>
      <c r="O172" s="37">
        <f t="shared" si="19"/>
        <v>1.9</v>
      </c>
      <c r="P172" s="37">
        <f t="shared" si="20"/>
        <v>0.4</v>
      </c>
      <c r="Q172" s="37" t="e">
        <f t="shared" si="21"/>
        <v>#VALUE!</v>
      </c>
      <c r="R172" s="37"/>
      <c r="S172" s="37"/>
      <c r="T172" s="37"/>
      <c r="U172" s="37"/>
    </row>
    <row r="173" spans="1:21" ht="14.1" customHeight="1" x14ac:dyDescent="0.25">
      <c r="A173" s="61" t="s">
        <v>36</v>
      </c>
      <c r="B173" s="6">
        <v>800</v>
      </c>
      <c r="C173" s="5">
        <v>13.238457719675658</v>
      </c>
      <c r="D173" s="5"/>
      <c r="E173" s="6">
        <v>752</v>
      </c>
      <c r="F173" s="5">
        <v>13.956941351150705</v>
      </c>
      <c r="G173" s="5"/>
      <c r="H173" s="6">
        <v>45</v>
      </c>
      <c r="I173" s="5">
        <v>8.8757396449704142</v>
      </c>
      <c r="J173" s="5"/>
      <c r="K173" s="6">
        <v>3</v>
      </c>
      <c r="L173" s="5">
        <v>2.0270270270270272</v>
      </c>
      <c r="N173" s="37">
        <f t="shared" si="18"/>
        <v>13.2</v>
      </c>
      <c r="O173" s="37">
        <f t="shared" si="19"/>
        <v>14</v>
      </c>
      <c r="P173" s="37">
        <f t="shared" si="20"/>
        <v>8.9</v>
      </c>
      <c r="Q173" s="37">
        <f t="shared" si="21"/>
        <v>2</v>
      </c>
      <c r="R173" s="37"/>
      <c r="S173" s="37"/>
      <c r="T173" s="37"/>
      <c r="U173" s="37"/>
    </row>
    <row r="174" spans="1:21" ht="14.1" customHeight="1" x14ac:dyDescent="0.25">
      <c r="A174" s="61" t="s">
        <v>37</v>
      </c>
      <c r="B174" s="6">
        <v>599</v>
      </c>
      <c r="C174" s="5">
        <v>9.9122952176071486</v>
      </c>
      <c r="D174" s="5"/>
      <c r="E174" s="6">
        <v>552</v>
      </c>
      <c r="F174" s="5">
        <v>10.244988864142538</v>
      </c>
      <c r="G174" s="5"/>
      <c r="H174" s="6">
        <v>39</v>
      </c>
      <c r="I174" s="5">
        <v>7.6923076923076925</v>
      </c>
      <c r="J174" s="5"/>
      <c r="K174" s="6">
        <v>8</v>
      </c>
      <c r="L174" s="5">
        <v>5.4054054054054053</v>
      </c>
      <c r="N174" s="37">
        <f t="shared" si="18"/>
        <v>9.9</v>
      </c>
      <c r="O174" s="37">
        <f t="shared" si="19"/>
        <v>10.199999999999999</v>
      </c>
      <c r="P174" s="37">
        <f t="shared" si="20"/>
        <v>7.7</v>
      </c>
      <c r="Q174" s="37">
        <f t="shared" si="21"/>
        <v>5.4</v>
      </c>
      <c r="R174" s="37"/>
      <c r="S174" s="37"/>
      <c r="T174" s="37"/>
      <c r="U174" s="37"/>
    </row>
    <row r="175" spans="1:21" ht="14.1" customHeight="1" x14ac:dyDescent="0.25">
      <c r="A175" s="61"/>
      <c r="B175" s="6"/>
      <c r="C175" s="5"/>
      <c r="D175" s="5"/>
      <c r="E175" s="6"/>
      <c r="F175" s="5"/>
      <c r="G175" s="5"/>
      <c r="H175" s="6"/>
      <c r="I175" s="5"/>
      <c r="J175" s="5"/>
      <c r="K175" s="6"/>
      <c r="L175" s="5"/>
      <c r="N175" s="37">
        <f t="shared" si="18"/>
        <v>0</v>
      </c>
      <c r="O175" s="37">
        <f t="shared" si="19"/>
        <v>0</v>
      </c>
      <c r="P175" s="37">
        <f t="shared" si="20"/>
        <v>0</v>
      </c>
      <c r="Q175" s="37">
        <f t="shared" si="21"/>
        <v>0</v>
      </c>
      <c r="R175" s="37"/>
      <c r="S175" s="37"/>
      <c r="T175" s="37"/>
      <c r="U175" s="37"/>
    </row>
    <row r="176" spans="1:21" ht="14.1" customHeight="1" x14ac:dyDescent="0.25">
      <c r="A176" s="91" t="s">
        <v>13</v>
      </c>
      <c r="B176" s="9">
        <v>9508</v>
      </c>
      <c r="C176" s="15">
        <v>100</v>
      </c>
      <c r="D176" s="15"/>
      <c r="E176" s="9">
        <v>8961</v>
      </c>
      <c r="F176" s="15">
        <v>100</v>
      </c>
      <c r="G176" s="15"/>
      <c r="H176" s="9">
        <v>453</v>
      </c>
      <c r="I176" s="15">
        <v>100</v>
      </c>
      <c r="J176" s="15"/>
      <c r="K176" s="9">
        <v>94</v>
      </c>
      <c r="L176" s="15">
        <v>100</v>
      </c>
      <c r="N176" s="37">
        <f>SUM(N177:N188)</f>
        <v>99.999999999999986</v>
      </c>
      <c r="O176" s="37">
        <f t="shared" ref="O176:Q176" si="23">SUM(O177:O188)</f>
        <v>100</v>
      </c>
      <c r="P176" s="37">
        <f t="shared" si="23"/>
        <v>99.999999999999972</v>
      </c>
      <c r="Q176" s="37" t="e">
        <f t="shared" si="23"/>
        <v>#VALUE!</v>
      </c>
      <c r="R176" s="37"/>
      <c r="S176" s="37"/>
      <c r="T176" s="37"/>
      <c r="U176" s="37"/>
    </row>
    <row r="177" spans="1:21" ht="14.1" customHeight="1" x14ac:dyDescent="0.25">
      <c r="A177" s="61" t="s">
        <v>57</v>
      </c>
      <c r="B177" s="6">
        <v>233</v>
      </c>
      <c r="C177" s="5">
        <v>2.4505679427850229</v>
      </c>
      <c r="D177" s="5"/>
      <c r="E177" s="6">
        <v>198</v>
      </c>
      <c r="F177" s="5">
        <v>2.2095748242383664</v>
      </c>
      <c r="G177" s="5"/>
      <c r="H177" s="6">
        <v>29</v>
      </c>
      <c r="I177" s="5">
        <v>6.4017660044150109</v>
      </c>
      <c r="J177" s="5"/>
      <c r="K177" s="6">
        <v>6</v>
      </c>
      <c r="L177" s="5">
        <v>6.3829787234042552</v>
      </c>
      <c r="N177" s="37">
        <f t="shared" si="18"/>
        <v>2.5</v>
      </c>
      <c r="O177" s="37">
        <f t="shared" si="19"/>
        <v>2.2000000000000002</v>
      </c>
      <c r="P177" s="37">
        <f t="shared" si="20"/>
        <v>6.4</v>
      </c>
      <c r="Q177" s="37">
        <f t="shared" si="21"/>
        <v>6.4</v>
      </c>
      <c r="R177" s="37"/>
      <c r="S177" s="37"/>
      <c r="T177" s="37"/>
      <c r="U177" s="37"/>
    </row>
    <row r="178" spans="1:21" ht="14.1" customHeight="1" x14ac:dyDescent="0.25">
      <c r="A178" s="61" t="s">
        <v>29</v>
      </c>
      <c r="B178" s="6">
        <v>141</v>
      </c>
      <c r="C178" s="5">
        <v>1.4829617164493059</v>
      </c>
      <c r="D178" s="5"/>
      <c r="E178" s="6">
        <v>137</v>
      </c>
      <c r="F178" s="5">
        <v>1.5288472268720008</v>
      </c>
      <c r="G178" s="5"/>
      <c r="H178" s="6">
        <v>2</v>
      </c>
      <c r="I178" s="5">
        <v>0.44150110375275936</v>
      </c>
      <c r="J178" s="5"/>
      <c r="K178" s="6">
        <v>2</v>
      </c>
      <c r="L178" s="5">
        <v>2.1276595744680851</v>
      </c>
      <c r="N178" s="37">
        <f t="shared" si="18"/>
        <v>1.5</v>
      </c>
      <c r="O178" s="37">
        <f t="shared" si="19"/>
        <v>1.5</v>
      </c>
      <c r="P178" s="37">
        <f t="shared" si="20"/>
        <v>0.4</v>
      </c>
      <c r="Q178" s="37">
        <f t="shared" si="21"/>
        <v>2.1</v>
      </c>
      <c r="R178" s="37"/>
      <c r="S178" s="37"/>
      <c r="T178" s="37"/>
      <c r="U178" s="37"/>
    </row>
    <row r="179" spans="1:21" ht="14.1" customHeight="1" x14ac:dyDescent="0.25">
      <c r="A179" s="61" t="s">
        <v>30</v>
      </c>
      <c r="B179" s="6">
        <v>569</v>
      </c>
      <c r="C179" s="5">
        <v>5.9844341607067735</v>
      </c>
      <c r="D179" s="5"/>
      <c r="E179" s="6">
        <v>530</v>
      </c>
      <c r="F179" s="5">
        <v>5.9145184689208792</v>
      </c>
      <c r="G179" s="5"/>
      <c r="H179" s="6">
        <v>30</v>
      </c>
      <c r="I179" s="5">
        <v>6.6225165562913908</v>
      </c>
      <c r="J179" s="5"/>
      <c r="K179" s="6">
        <v>9</v>
      </c>
      <c r="L179" s="5">
        <v>9.5744680851063837</v>
      </c>
      <c r="N179" s="37">
        <f t="shared" si="18"/>
        <v>6</v>
      </c>
      <c r="O179" s="37">
        <f t="shared" si="19"/>
        <v>5.9</v>
      </c>
      <c r="P179" s="37">
        <f t="shared" si="20"/>
        <v>6.6</v>
      </c>
      <c r="Q179" s="37">
        <f t="shared" si="21"/>
        <v>9.6</v>
      </c>
      <c r="R179" s="37"/>
      <c r="S179" s="37"/>
      <c r="T179" s="37"/>
      <c r="U179" s="37"/>
    </row>
    <row r="180" spans="1:21" ht="14.1" customHeight="1" x14ac:dyDescent="0.25">
      <c r="A180" s="61" t="s">
        <v>31</v>
      </c>
      <c r="B180" s="6">
        <v>38</v>
      </c>
      <c r="C180" s="5">
        <v>0.39966344131257886</v>
      </c>
      <c r="D180" s="5"/>
      <c r="E180" s="6">
        <v>28</v>
      </c>
      <c r="F180" s="5">
        <v>0.31246512665997095</v>
      </c>
      <c r="G180" s="5"/>
      <c r="H180" s="6">
        <v>6</v>
      </c>
      <c r="I180" s="5">
        <v>1.3245033112582782</v>
      </c>
      <c r="J180" s="5"/>
      <c r="K180" s="6">
        <v>4</v>
      </c>
      <c r="L180" s="5">
        <v>4.2553191489361701</v>
      </c>
      <c r="N180" s="37">
        <f t="shared" si="18"/>
        <v>0.4</v>
      </c>
      <c r="O180" s="37">
        <f t="shared" si="19"/>
        <v>0.3</v>
      </c>
      <c r="P180" s="37">
        <f t="shared" si="20"/>
        <v>1.3</v>
      </c>
      <c r="Q180" s="37">
        <f t="shared" si="21"/>
        <v>4.3</v>
      </c>
      <c r="R180" s="37"/>
      <c r="S180" s="37"/>
      <c r="T180" s="37"/>
      <c r="U180" s="37"/>
    </row>
    <row r="181" spans="1:21" ht="14.1" customHeight="1" x14ac:dyDescent="0.25">
      <c r="A181" s="61" t="s">
        <v>32</v>
      </c>
      <c r="B181" s="6">
        <v>2083</v>
      </c>
      <c r="C181" s="5">
        <v>21.90786705931847</v>
      </c>
      <c r="D181" s="5"/>
      <c r="E181" s="6">
        <v>2021</v>
      </c>
      <c r="F181" s="5">
        <v>22.553286463564334</v>
      </c>
      <c r="G181" s="5"/>
      <c r="H181" s="6">
        <v>60</v>
      </c>
      <c r="I181" s="5">
        <v>13.245033112582782</v>
      </c>
      <c r="J181" s="5"/>
      <c r="K181" s="6">
        <v>2</v>
      </c>
      <c r="L181" s="5">
        <v>2.1276595744680851</v>
      </c>
      <c r="N181" s="37">
        <f t="shared" si="18"/>
        <v>21.9</v>
      </c>
      <c r="O181" s="37">
        <f t="shared" si="19"/>
        <v>22.6</v>
      </c>
      <c r="P181" s="37">
        <f t="shared" si="20"/>
        <v>13.2</v>
      </c>
      <c r="Q181" s="37">
        <f t="shared" si="21"/>
        <v>2.1</v>
      </c>
      <c r="R181" s="37"/>
      <c r="S181" s="37"/>
      <c r="T181" s="37"/>
      <c r="U181" s="37"/>
    </row>
    <row r="182" spans="1:21" ht="14.1" customHeight="1" x14ac:dyDescent="0.25">
      <c r="A182" s="61" t="s">
        <v>33</v>
      </c>
      <c r="B182" s="6">
        <v>2327</v>
      </c>
      <c r="C182" s="5">
        <v>24.374127050904498</v>
      </c>
      <c r="D182" s="5"/>
      <c r="E182" s="6">
        <v>2074</v>
      </c>
      <c r="F182" s="5">
        <v>23.244738310456423</v>
      </c>
      <c r="G182" s="5"/>
      <c r="H182" s="6">
        <v>205</v>
      </c>
      <c r="I182" s="5">
        <v>45.253863134657834</v>
      </c>
      <c r="J182" s="5"/>
      <c r="K182" s="6">
        <v>48</v>
      </c>
      <c r="L182" s="5">
        <v>50.96382978723404</v>
      </c>
      <c r="N182" s="37">
        <f t="shared" si="18"/>
        <v>24.4</v>
      </c>
      <c r="O182" s="37">
        <f t="shared" si="19"/>
        <v>23.2</v>
      </c>
      <c r="P182" s="37">
        <f t="shared" si="20"/>
        <v>45.3</v>
      </c>
      <c r="Q182" s="37">
        <f t="shared" si="21"/>
        <v>51</v>
      </c>
      <c r="R182" s="37"/>
      <c r="S182" s="37"/>
      <c r="T182" s="37"/>
      <c r="U182" s="37"/>
    </row>
    <row r="183" spans="1:21" ht="14.1" customHeight="1" x14ac:dyDescent="0.25">
      <c r="A183" s="61" t="s">
        <v>34</v>
      </c>
      <c r="B183" s="6">
        <v>1086</v>
      </c>
      <c r="C183" s="5">
        <v>11.421960454354227</v>
      </c>
      <c r="D183" s="5"/>
      <c r="E183" s="6">
        <v>1033</v>
      </c>
      <c r="F183" s="5">
        <v>11.527731279991073</v>
      </c>
      <c r="G183" s="5"/>
      <c r="H183" s="6">
        <v>48</v>
      </c>
      <c r="I183" s="5">
        <v>10.596026490066226</v>
      </c>
      <c r="J183" s="5"/>
      <c r="K183" s="6">
        <v>5</v>
      </c>
      <c r="L183" s="5">
        <v>5.3191489361702127</v>
      </c>
      <c r="N183" s="37">
        <f t="shared" si="18"/>
        <v>11.4</v>
      </c>
      <c r="O183" s="37">
        <f t="shared" si="19"/>
        <v>11.5</v>
      </c>
      <c r="P183" s="37">
        <f t="shared" si="20"/>
        <v>10.6</v>
      </c>
      <c r="Q183" s="37">
        <f t="shared" si="21"/>
        <v>5.3</v>
      </c>
      <c r="R183" s="37"/>
      <c r="S183" s="37"/>
      <c r="T183" s="37"/>
      <c r="U183" s="37"/>
    </row>
    <row r="184" spans="1:21" ht="14.1" customHeight="1" x14ac:dyDescent="0.25">
      <c r="A184" s="61" t="s">
        <v>67</v>
      </c>
      <c r="B184" s="6">
        <v>79</v>
      </c>
      <c r="C184" s="5">
        <v>0.83087925957088771</v>
      </c>
      <c r="D184" s="5"/>
      <c r="E184" s="6">
        <v>75</v>
      </c>
      <c r="F184" s="5">
        <v>0.83696016069635082</v>
      </c>
      <c r="G184" s="5"/>
      <c r="H184" s="6">
        <v>3</v>
      </c>
      <c r="I184" s="5">
        <v>0.66225165562913912</v>
      </c>
      <c r="J184" s="5"/>
      <c r="K184" s="6">
        <v>1</v>
      </c>
      <c r="L184" s="5">
        <v>1.0638297872340425</v>
      </c>
      <c r="N184" s="37">
        <f t="shared" si="18"/>
        <v>0.8</v>
      </c>
      <c r="O184" s="37">
        <f t="shared" si="19"/>
        <v>0.8</v>
      </c>
      <c r="P184" s="37">
        <f t="shared" si="20"/>
        <v>0.7</v>
      </c>
      <c r="Q184" s="37">
        <f t="shared" si="21"/>
        <v>1.1000000000000001</v>
      </c>
      <c r="R184" s="37"/>
      <c r="S184" s="37"/>
      <c r="T184" s="37"/>
      <c r="U184" s="37"/>
    </row>
    <row r="185" spans="1:21" ht="14.1" customHeight="1" x14ac:dyDescent="0.25">
      <c r="A185" s="61" t="s">
        <v>69</v>
      </c>
      <c r="B185" s="6">
        <v>199</v>
      </c>
      <c r="C185" s="5">
        <v>2.0929743374000842</v>
      </c>
      <c r="D185" s="5"/>
      <c r="E185" s="6">
        <v>193</v>
      </c>
      <c r="F185" s="5">
        <v>2.1537774801919429</v>
      </c>
      <c r="G185" s="5"/>
      <c r="H185" s="6">
        <v>6</v>
      </c>
      <c r="I185" s="5">
        <v>1.3245033112582782</v>
      </c>
      <c r="J185" s="5"/>
      <c r="K185" s="3" t="s">
        <v>96</v>
      </c>
      <c r="L185" s="3" t="s">
        <v>96</v>
      </c>
      <c r="N185" s="37">
        <f t="shared" si="18"/>
        <v>2.1</v>
      </c>
      <c r="O185" s="37">
        <f t="shared" si="19"/>
        <v>2.2000000000000002</v>
      </c>
      <c r="P185" s="37">
        <f t="shared" si="20"/>
        <v>1.3</v>
      </c>
      <c r="Q185" s="37" t="e">
        <f t="shared" si="21"/>
        <v>#VALUE!</v>
      </c>
      <c r="R185" s="37"/>
      <c r="S185" s="37"/>
      <c r="T185" s="37"/>
      <c r="U185" s="37"/>
    </row>
    <row r="186" spans="1:21" ht="14.1" customHeight="1" x14ac:dyDescent="0.25">
      <c r="A186" s="61" t="s">
        <v>35</v>
      </c>
      <c r="B186" s="6">
        <v>230</v>
      </c>
      <c r="C186" s="5">
        <v>2.4190155658392931</v>
      </c>
      <c r="D186" s="5"/>
      <c r="E186" s="6">
        <v>221</v>
      </c>
      <c r="F186" s="5">
        <v>2.4662426068519139</v>
      </c>
      <c r="G186" s="5"/>
      <c r="H186" s="6">
        <v>8</v>
      </c>
      <c r="I186" s="5">
        <v>1.7660044150110374</v>
      </c>
      <c r="J186" s="5"/>
      <c r="K186" s="6">
        <v>1</v>
      </c>
      <c r="L186" s="5">
        <v>1.0638297872340425</v>
      </c>
      <c r="N186" s="37">
        <f t="shared" si="18"/>
        <v>2.4</v>
      </c>
      <c r="O186" s="37">
        <f t="shared" si="19"/>
        <v>2.5</v>
      </c>
      <c r="P186" s="37">
        <f t="shared" si="20"/>
        <v>1.8</v>
      </c>
      <c r="Q186" s="37">
        <f t="shared" si="21"/>
        <v>1.1000000000000001</v>
      </c>
      <c r="R186" s="37"/>
      <c r="S186" s="37"/>
      <c r="T186" s="37"/>
      <c r="U186" s="37"/>
    </row>
    <row r="187" spans="1:21" ht="14.1" customHeight="1" x14ac:dyDescent="0.25">
      <c r="A187" s="61" t="s">
        <v>36</v>
      </c>
      <c r="B187" s="6">
        <v>1653</v>
      </c>
      <c r="C187" s="5">
        <v>17.385359697097179</v>
      </c>
      <c r="D187" s="5"/>
      <c r="E187" s="6">
        <v>1614</v>
      </c>
      <c r="F187" s="5">
        <v>18.011382658185472</v>
      </c>
      <c r="G187" s="5"/>
      <c r="H187" s="6">
        <v>32</v>
      </c>
      <c r="I187" s="5">
        <v>7.0640176600441498</v>
      </c>
      <c r="J187" s="5"/>
      <c r="K187" s="6">
        <v>7</v>
      </c>
      <c r="L187" s="5">
        <v>7.4468085106382977</v>
      </c>
      <c r="N187" s="37">
        <f t="shared" si="18"/>
        <v>17.399999999999999</v>
      </c>
      <c r="O187" s="37">
        <f t="shared" si="19"/>
        <v>18</v>
      </c>
      <c r="P187" s="37">
        <f t="shared" si="20"/>
        <v>7.1</v>
      </c>
      <c r="Q187" s="37">
        <f t="shared" si="21"/>
        <v>7.4</v>
      </c>
      <c r="R187" s="37"/>
      <c r="S187" s="37"/>
      <c r="T187" s="37"/>
      <c r="U187" s="37"/>
    </row>
    <row r="188" spans="1:21" ht="14.1" customHeight="1" x14ac:dyDescent="0.25">
      <c r="A188" s="61" t="s">
        <v>37</v>
      </c>
      <c r="B188" s="6">
        <v>870</v>
      </c>
      <c r="C188" s="5">
        <v>9.1501893142616737</v>
      </c>
      <c r="D188" s="5"/>
      <c r="E188" s="6">
        <v>837</v>
      </c>
      <c r="F188" s="5">
        <v>9.3404753933712747</v>
      </c>
      <c r="G188" s="5"/>
      <c r="H188" s="6">
        <v>24</v>
      </c>
      <c r="I188" s="5">
        <v>5.298013245033113</v>
      </c>
      <c r="J188" s="5"/>
      <c r="K188" s="6">
        <v>9</v>
      </c>
      <c r="L188" s="5">
        <v>9.5744680851063837</v>
      </c>
      <c r="N188" s="37">
        <f t="shared" si="18"/>
        <v>9.1999999999999993</v>
      </c>
      <c r="O188" s="37">
        <f t="shared" si="19"/>
        <v>9.3000000000000007</v>
      </c>
      <c r="P188" s="37">
        <f t="shared" si="20"/>
        <v>5.3</v>
      </c>
      <c r="Q188" s="37">
        <f t="shared" si="21"/>
        <v>9.6</v>
      </c>
      <c r="R188" s="37"/>
      <c r="S188" s="37"/>
      <c r="T188" s="37"/>
      <c r="U188" s="37"/>
    </row>
    <row r="189" spans="1:21" ht="14.1" customHeight="1" x14ac:dyDescent="0.25">
      <c r="A189" s="61"/>
      <c r="B189" s="6"/>
      <c r="C189" s="5"/>
      <c r="D189" s="5"/>
      <c r="E189" s="6"/>
      <c r="F189" s="5"/>
      <c r="G189" s="5"/>
      <c r="H189" s="6"/>
      <c r="I189" s="5"/>
      <c r="J189" s="5"/>
      <c r="K189" s="6"/>
      <c r="L189" s="5"/>
      <c r="N189" s="37">
        <f t="shared" si="18"/>
        <v>0</v>
      </c>
      <c r="O189" s="37">
        <f t="shared" si="19"/>
        <v>0</v>
      </c>
      <c r="P189" s="37">
        <f t="shared" si="20"/>
        <v>0</v>
      </c>
      <c r="Q189" s="37">
        <f t="shared" si="21"/>
        <v>0</v>
      </c>
      <c r="R189" s="37"/>
      <c r="S189" s="37"/>
      <c r="T189" s="37"/>
      <c r="U189" s="37"/>
    </row>
    <row r="190" spans="1:21" ht="14.1" customHeight="1" x14ac:dyDescent="0.25">
      <c r="A190" s="91" t="s">
        <v>12</v>
      </c>
      <c r="B190" s="9">
        <v>19411</v>
      </c>
      <c r="C190" s="15">
        <v>100</v>
      </c>
      <c r="D190" s="15"/>
      <c r="E190" s="9">
        <v>17380</v>
      </c>
      <c r="F190" s="15">
        <v>100</v>
      </c>
      <c r="G190" s="15"/>
      <c r="H190" s="9">
        <v>1708</v>
      </c>
      <c r="I190" s="15">
        <v>100</v>
      </c>
      <c r="J190" s="15"/>
      <c r="K190" s="9">
        <v>323</v>
      </c>
      <c r="L190" s="15">
        <v>100</v>
      </c>
      <c r="N190" s="37">
        <f>SUM(N191:N202)</f>
        <v>100</v>
      </c>
      <c r="O190" s="37">
        <f t="shared" ref="O190:Q190" si="24">SUM(O191:O202)</f>
        <v>99.999999999999986</v>
      </c>
      <c r="P190" s="37">
        <f t="shared" si="24"/>
        <v>99.999999999999986</v>
      </c>
      <c r="Q190" s="37" t="e">
        <f t="shared" si="24"/>
        <v>#VALUE!</v>
      </c>
      <c r="R190" s="37"/>
      <c r="S190" s="37"/>
      <c r="T190" s="37"/>
      <c r="U190" s="37"/>
    </row>
    <row r="191" spans="1:21" ht="14.1" customHeight="1" x14ac:dyDescent="0.25">
      <c r="A191" s="61" t="s">
        <v>57</v>
      </c>
      <c r="B191" s="6">
        <v>481</v>
      </c>
      <c r="C191" s="5">
        <v>2.4779764051311113</v>
      </c>
      <c r="D191" s="5"/>
      <c r="E191" s="6">
        <v>356</v>
      </c>
      <c r="F191" s="5">
        <v>2.0483314154200229</v>
      </c>
      <c r="G191" s="5"/>
      <c r="H191" s="6">
        <v>80</v>
      </c>
      <c r="I191" s="5">
        <v>4.6838407494145207</v>
      </c>
      <c r="J191" s="5"/>
      <c r="K191" s="6">
        <v>45</v>
      </c>
      <c r="L191" s="5">
        <v>13.93188854489164</v>
      </c>
      <c r="N191" s="37">
        <f t="shared" si="18"/>
        <v>2.5</v>
      </c>
      <c r="O191" s="37">
        <f t="shared" si="19"/>
        <v>2</v>
      </c>
      <c r="P191" s="37">
        <f t="shared" si="20"/>
        <v>4.7</v>
      </c>
      <c r="Q191" s="37">
        <f t="shared" si="21"/>
        <v>13.9</v>
      </c>
      <c r="R191" s="37"/>
      <c r="S191" s="37"/>
      <c r="T191" s="37"/>
      <c r="U191" s="37"/>
    </row>
    <row r="192" spans="1:21" ht="14.1" customHeight="1" x14ac:dyDescent="0.25">
      <c r="A192" s="61" t="s">
        <v>29</v>
      </c>
      <c r="B192" s="6">
        <v>428</v>
      </c>
      <c r="C192" s="5">
        <v>2.2049353459378702</v>
      </c>
      <c r="D192" s="5"/>
      <c r="E192" s="6">
        <v>380</v>
      </c>
      <c r="F192" s="5">
        <v>2.186421173762946</v>
      </c>
      <c r="G192" s="5"/>
      <c r="H192" s="6">
        <v>42</v>
      </c>
      <c r="I192" s="5">
        <v>2.459016393442623</v>
      </c>
      <c r="J192" s="5"/>
      <c r="K192" s="6">
        <v>6</v>
      </c>
      <c r="L192" s="5">
        <v>1.8575851393188854</v>
      </c>
      <c r="N192" s="37">
        <f t="shared" si="18"/>
        <v>2.2000000000000002</v>
      </c>
      <c r="O192" s="37">
        <f t="shared" si="19"/>
        <v>2.2000000000000002</v>
      </c>
      <c r="P192" s="37">
        <f t="shared" si="20"/>
        <v>2.5</v>
      </c>
      <c r="Q192" s="37">
        <f t="shared" si="21"/>
        <v>1.9</v>
      </c>
      <c r="R192" s="37"/>
      <c r="S192" s="37"/>
      <c r="T192" s="37"/>
      <c r="U192" s="37"/>
    </row>
    <row r="193" spans="1:21" ht="14.1" customHeight="1" x14ac:dyDescent="0.25">
      <c r="A193" s="61" t="s">
        <v>30</v>
      </c>
      <c r="B193" s="6">
        <v>1417</v>
      </c>
      <c r="C193" s="5">
        <v>7.2999845448457057</v>
      </c>
      <c r="D193" s="5"/>
      <c r="E193" s="6">
        <v>1230</v>
      </c>
      <c r="F193" s="5">
        <v>7.0771001150747983</v>
      </c>
      <c r="G193" s="5"/>
      <c r="H193" s="6">
        <v>149</v>
      </c>
      <c r="I193" s="5">
        <v>8.7236533957845435</v>
      </c>
      <c r="J193" s="5"/>
      <c r="K193" s="6">
        <v>38</v>
      </c>
      <c r="L193" s="5">
        <v>11.76470588235294</v>
      </c>
      <c r="N193" s="37">
        <f t="shared" si="18"/>
        <v>7.3</v>
      </c>
      <c r="O193" s="37">
        <f t="shared" si="19"/>
        <v>7.1</v>
      </c>
      <c r="P193" s="37">
        <f t="shared" si="20"/>
        <v>8.6999999999999993</v>
      </c>
      <c r="Q193" s="37">
        <f t="shared" si="21"/>
        <v>11.8</v>
      </c>
      <c r="R193" s="37"/>
      <c r="S193" s="37"/>
      <c r="T193" s="37"/>
      <c r="U193" s="37"/>
    </row>
    <row r="194" spans="1:21" ht="14.1" customHeight="1" x14ac:dyDescent="0.25">
      <c r="A194" s="61" t="s">
        <v>31</v>
      </c>
      <c r="B194" s="6">
        <v>60</v>
      </c>
      <c r="C194" s="5">
        <v>0.30910308587914065</v>
      </c>
      <c r="D194" s="5"/>
      <c r="E194" s="6">
        <v>54</v>
      </c>
      <c r="F194" s="5">
        <v>0.31070195627157654</v>
      </c>
      <c r="G194" s="5"/>
      <c r="H194" s="6">
        <v>6</v>
      </c>
      <c r="I194" s="5">
        <v>0.35128805620608899</v>
      </c>
      <c r="J194" s="5"/>
      <c r="K194" s="3" t="s">
        <v>96</v>
      </c>
      <c r="L194" s="16" t="s">
        <v>96</v>
      </c>
      <c r="N194" s="37">
        <f t="shared" si="18"/>
        <v>0.3</v>
      </c>
      <c r="O194" s="37">
        <f t="shared" si="19"/>
        <v>0.3</v>
      </c>
      <c r="P194" s="37">
        <f t="shared" si="20"/>
        <v>0.4</v>
      </c>
      <c r="Q194" s="37" t="e">
        <f t="shared" si="21"/>
        <v>#VALUE!</v>
      </c>
      <c r="R194" s="37"/>
      <c r="S194" s="37"/>
      <c r="T194" s="37"/>
      <c r="U194" s="37"/>
    </row>
    <row r="195" spans="1:21" ht="14.1" customHeight="1" x14ac:dyDescent="0.25">
      <c r="A195" s="61" t="s">
        <v>32</v>
      </c>
      <c r="B195" s="6">
        <v>3993</v>
      </c>
      <c r="C195" s="5">
        <v>20.570810365256815</v>
      </c>
      <c r="D195" s="5"/>
      <c r="E195" s="6">
        <v>3710</v>
      </c>
      <c r="F195" s="5">
        <v>21.346375143843499</v>
      </c>
      <c r="G195" s="5"/>
      <c r="H195" s="6">
        <v>255</v>
      </c>
      <c r="I195" s="5">
        <v>14.929742388758783</v>
      </c>
      <c r="J195" s="5"/>
      <c r="K195" s="3">
        <v>28</v>
      </c>
      <c r="L195" s="16">
        <v>8.6687306501547994</v>
      </c>
      <c r="N195" s="37">
        <f t="shared" si="18"/>
        <v>20.6</v>
      </c>
      <c r="O195" s="37">
        <f t="shared" si="19"/>
        <v>21.3</v>
      </c>
      <c r="P195" s="37">
        <f t="shared" si="20"/>
        <v>14.9</v>
      </c>
      <c r="Q195" s="37">
        <f t="shared" si="21"/>
        <v>8.6999999999999993</v>
      </c>
      <c r="R195" s="37"/>
      <c r="S195" s="37"/>
      <c r="T195" s="37"/>
      <c r="U195" s="37"/>
    </row>
    <row r="196" spans="1:21" ht="14.1" customHeight="1" x14ac:dyDescent="0.25">
      <c r="A196" s="61" t="s">
        <v>33</v>
      </c>
      <c r="B196" s="6">
        <v>4940</v>
      </c>
      <c r="C196" s="5">
        <v>25.449487404049247</v>
      </c>
      <c r="D196" s="5"/>
      <c r="E196" s="6">
        <v>4222</v>
      </c>
      <c r="F196" s="5">
        <v>24.29228998849252</v>
      </c>
      <c r="G196" s="5"/>
      <c r="H196" s="6">
        <v>589</v>
      </c>
      <c r="I196" s="5">
        <v>34.484777517564403</v>
      </c>
      <c r="J196" s="5"/>
      <c r="K196" s="3">
        <v>129</v>
      </c>
      <c r="L196" s="16">
        <v>39.93808049535604</v>
      </c>
      <c r="N196" s="37">
        <f t="shared" si="18"/>
        <v>25.4</v>
      </c>
      <c r="O196" s="37">
        <f t="shared" si="19"/>
        <v>24.3</v>
      </c>
      <c r="P196" s="37">
        <f t="shared" si="20"/>
        <v>34.5</v>
      </c>
      <c r="Q196" s="37">
        <f t="shared" si="21"/>
        <v>39.9</v>
      </c>
      <c r="R196" s="37"/>
      <c r="S196" s="37"/>
      <c r="T196" s="37"/>
      <c r="U196" s="37"/>
    </row>
    <row r="197" spans="1:21" ht="14.1" customHeight="1" x14ac:dyDescent="0.25">
      <c r="A197" s="61" t="s">
        <v>34</v>
      </c>
      <c r="B197" s="6">
        <v>2442</v>
      </c>
      <c r="C197" s="5">
        <v>12.580495595281027</v>
      </c>
      <c r="D197" s="5"/>
      <c r="E197" s="6">
        <v>2107</v>
      </c>
      <c r="F197" s="5">
        <v>12.12313003452244</v>
      </c>
      <c r="G197" s="5"/>
      <c r="H197" s="6">
        <v>287</v>
      </c>
      <c r="I197" s="5">
        <v>16.803278688524589</v>
      </c>
      <c r="J197" s="5"/>
      <c r="K197" s="3">
        <v>48</v>
      </c>
      <c r="L197" s="16">
        <v>14.860681114551083</v>
      </c>
      <c r="N197" s="37">
        <f t="shared" si="18"/>
        <v>12.6</v>
      </c>
      <c r="O197" s="37">
        <f t="shared" si="19"/>
        <v>12.1</v>
      </c>
      <c r="P197" s="37">
        <f t="shared" si="20"/>
        <v>16.8</v>
      </c>
      <c r="Q197" s="37">
        <f t="shared" si="21"/>
        <v>14.9</v>
      </c>
      <c r="R197" s="37"/>
      <c r="S197" s="37"/>
      <c r="T197" s="37"/>
      <c r="U197" s="37"/>
    </row>
    <row r="198" spans="1:21" ht="14.1" customHeight="1" x14ac:dyDescent="0.25">
      <c r="A198" s="61" t="s">
        <v>67</v>
      </c>
      <c r="B198" s="6">
        <v>162</v>
      </c>
      <c r="C198" s="5">
        <v>0.8345783318736798</v>
      </c>
      <c r="D198" s="5"/>
      <c r="E198" s="6">
        <v>153</v>
      </c>
      <c r="F198" s="5">
        <v>0.88032220943613337</v>
      </c>
      <c r="G198" s="5"/>
      <c r="H198" s="6">
        <v>9</v>
      </c>
      <c r="I198" s="5">
        <v>0.52693208430913352</v>
      </c>
      <c r="J198" s="5"/>
      <c r="K198" s="3" t="s">
        <v>96</v>
      </c>
      <c r="L198" s="16" t="s">
        <v>96</v>
      </c>
      <c r="N198" s="37">
        <f t="shared" si="18"/>
        <v>0.8</v>
      </c>
      <c r="O198" s="37">
        <f t="shared" si="19"/>
        <v>0.9</v>
      </c>
      <c r="P198" s="37">
        <f t="shared" si="20"/>
        <v>0.5</v>
      </c>
      <c r="Q198" s="37" t="e">
        <f t="shared" si="21"/>
        <v>#VALUE!</v>
      </c>
      <c r="R198" s="37"/>
      <c r="S198" s="37"/>
      <c r="T198" s="37"/>
      <c r="U198" s="37"/>
    </row>
    <row r="199" spans="1:21" ht="14.1" customHeight="1" x14ac:dyDescent="0.25">
      <c r="A199" s="61" t="s">
        <v>69</v>
      </c>
      <c r="B199" s="6">
        <v>573</v>
      </c>
      <c r="C199" s="5">
        <v>2.9519344701457935</v>
      </c>
      <c r="D199" s="5"/>
      <c r="E199" s="6">
        <v>533</v>
      </c>
      <c r="F199" s="5">
        <v>3.0667433831990794</v>
      </c>
      <c r="G199" s="5"/>
      <c r="H199" s="6">
        <v>39</v>
      </c>
      <c r="I199" s="5">
        <v>2.2833723653395785</v>
      </c>
      <c r="J199" s="5"/>
      <c r="K199" s="3">
        <v>1</v>
      </c>
      <c r="L199" s="16">
        <v>0.30959752321981426</v>
      </c>
      <c r="N199" s="37">
        <f t="shared" si="18"/>
        <v>3</v>
      </c>
      <c r="O199" s="37">
        <f t="shared" si="19"/>
        <v>3.1</v>
      </c>
      <c r="P199" s="37">
        <f t="shared" si="20"/>
        <v>2.2999999999999998</v>
      </c>
      <c r="Q199" s="37">
        <f t="shared" si="21"/>
        <v>0.3</v>
      </c>
      <c r="R199" s="37"/>
      <c r="S199" s="37"/>
      <c r="T199" s="37"/>
      <c r="U199" s="37"/>
    </row>
    <row r="200" spans="1:21" ht="14.1" customHeight="1" x14ac:dyDescent="0.25">
      <c r="A200" s="61" t="s">
        <v>35</v>
      </c>
      <c r="B200" s="6">
        <v>480</v>
      </c>
      <c r="C200" s="5">
        <v>2.4728246870331252</v>
      </c>
      <c r="D200" s="5"/>
      <c r="E200" s="6">
        <v>444</v>
      </c>
      <c r="F200" s="5">
        <v>2.5546605293440736</v>
      </c>
      <c r="G200" s="5"/>
      <c r="H200" s="6">
        <v>36</v>
      </c>
      <c r="I200" s="5">
        <v>2.1077283372365341</v>
      </c>
      <c r="J200" s="5"/>
      <c r="K200" s="3" t="s">
        <v>96</v>
      </c>
      <c r="L200" s="16" t="s">
        <v>96</v>
      </c>
      <c r="N200" s="37">
        <f t="shared" si="18"/>
        <v>2.5</v>
      </c>
      <c r="O200" s="37">
        <f t="shared" si="19"/>
        <v>2.6</v>
      </c>
      <c r="P200" s="37">
        <f t="shared" si="20"/>
        <v>2.1</v>
      </c>
      <c r="Q200" s="37" t="e">
        <f t="shared" si="21"/>
        <v>#VALUE!</v>
      </c>
      <c r="R200" s="37"/>
      <c r="S200" s="37"/>
      <c r="T200" s="37"/>
      <c r="U200" s="37"/>
    </row>
    <row r="201" spans="1:21" ht="14.1" customHeight="1" x14ac:dyDescent="0.25">
      <c r="A201" s="61" t="s">
        <v>36</v>
      </c>
      <c r="B201" s="6">
        <v>2591</v>
      </c>
      <c r="C201" s="5">
        <v>13.348101591880893</v>
      </c>
      <c r="D201" s="5"/>
      <c r="E201" s="6">
        <v>2448</v>
      </c>
      <c r="F201" s="5">
        <v>14.085155350978134</v>
      </c>
      <c r="G201" s="5"/>
      <c r="H201" s="6">
        <v>135</v>
      </c>
      <c r="I201" s="5">
        <v>7.9039812646370029</v>
      </c>
      <c r="J201" s="5"/>
      <c r="K201" s="6">
        <v>8</v>
      </c>
      <c r="L201" s="5">
        <v>2.4767801857585141</v>
      </c>
      <c r="N201" s="37">
        <f t="shared" si="18"/>
        <v>13.3</v>
      </c>
      <c r="O201" s="37">
        <f t="shared" si="19"/>
        <v>14.1</v>
      </c>
      <c r="P201" s="37">
        <f t="shared" si="20"/>
        <v>7.9</v>
      </c>
      <c r="Q201" s="37">
        <f t="shared" si="21"/>
        <v>2.5</v>
      </c>
      <c r="R201" s="37"/>
      <c r="S201" s="37"/>
      <c r="T201" s="37"/>
      <c r="U201" s="37"/>
    </row>
    <row r="202" spans="1:21" ht="14.1" customHeight="1" x14ac:dyDescent="0.25">
      <c r="A202" s="61" t="s">
        <v>37</v>
      </c>
      <c r="B202" s="6">
        <v>1844</v>
      </c>
      <c r="C202" s="5">
        <v>9.4997681726855916</v>
      </c>
      <c r="D202" s="5"/>
      <c r="E202" s="6">
        <v>1743</v>
      </c>
      <c r="F202" s="5">
        <v>10.028768699654776</v>
      </c>
      <c r="G202" s="5"/>
      <c r="H202" s="6">
        <v>81</v>
      </c>
      <c r="I202" s="5">
        <v>4.7423887587822016</v>
      </c>
      <c r="J202" s="5"/>
      <c r="K202" s="6">
        <v>20</v>
      </c>
      <c r="L202" s="5">
        <v>6.1919504643962853</v>
      </c>
      <c r="N202" s="37">
        <f t="shared" si="18"/>
        <v>9.5</v>
      </c>
      <c r="O202" s="37">
        <f t="shared" si="19"/>
        <v>10</v>
      </c>
      <c r="P202" s="37">
        <f t="shared" si="20"/>
        <v>4.7</v>
      </c>
      <c r="Q202" s="37">
        <f t="shared" si="21"/>
        <v>6.2</v>
      </c>
      <c r="R202" s="37"/>
      <c r="S202" s="37"/>
      <c r="T202" s="37"/>
      <c r="U202" s="37"/>
    </row>
    <row r="203" spans="1:21" ht="14.1" customHeight="1" x14ac:dyDescent="0.25">
      <c r="A203" s="61"/>
      <c r="B203" s="6"/>
      <c r="C203" s="5"/>
      <c r="D203" s="5"/>
      <c r="E203" s="6"/>
      <c r="F203" s="5"/>
      <c r="G203" s="5"/>
      <c r="H203" s="6"/>
      <c r="I203" s="5"/>
      <c r="J203" s="5"/>
      <c r="K203" s="6"/>
      <c r="L203" s="5"/>
      <c r="N203" s="37">
        <f t="shared" si="18"/>
        <v>0</v>
      </c>
      <c r="O203" s="37">
        <f t="shared" si="19"/>
        <v>0</v>
      </c>
      <c r="P203" s="37">
        <f t="shared" si="20"/>
        <v>0</v>
      </c>
      <c r="Q203" s="37">
        <f t="shared" si="21"/>
        <v>0</v>
      </c>
      <c r="R203" s="37"/>
      <c r="S203" s="37"/>
      <c r="T203" s="37"/>
      <c r="U203" s="37"/>
    </row>
    <row r="204" spans="1:21" ht="14.1" customHeight="1" x14ac:dyDescent="0.25">
      <c r="A204" s="91" t="s">
        <v>11</v>
      </c>
      <c r="B204" s="9">
        <v>7831</v>
      </c>
      <c r="C204" s="15">
        <v>100</v>
      </c>
      <c r="D204" s="15"/>
      <c r="E204" s="9">
        <v>7040</v>
      </c>
      <c r="F204" s="15">
        <v>100</v>
      </c>
      <c r="G204" s="15"/>
      <c r="H204" s="9">
        <v>640</v>
      </c>
      <c r="I204" s="15">
        <v>100</v>
      </c>
      <c r="J204" s="15"/>
      <c r="K204" s="9">
        <v>151</v>
      </c>
      <c r="L204" s="15">
        <v>100</v>
      </c>
      <c r="N204" s="37">
        <f>SUM(N205:N216)</f>
        <v>100</v>
      </c>
      <c r="O204" s="37">
        <f t="shared" ref="O204:Q204" si="25">SUM(O205:O216)</f>
        <v>100</v>
      </c>
      <c r="P204" s="37">
        <f t="shared" si="25"/>
        <v>100.00000000000001</v>
      </c>
      <c r="Q204" s="37" t="e">
        <f t="shared" si="25"/>
        <v>#VALUE!</v>
      </c>
      <c r="R204" s="37"/>
      <c r="S204" s="37"/>
      <c r="T204" s="37"/>
      <c r="U204" s="37"/>
    </row>
    <row r="205" spans="1:21" ht="14.1" customHeight="1" x14ac:dyDescent="0.25">
      <c r="A205" s="61" t="s">
        <v>57</v>
      </c>
      <c r="B205" s="6">
        <v>248</v>
      </c>
      <c r="C205" s="5">
        <v>3.1669007789554335</v>
      </c>
      <c r="D205" s="5"/>
      <c r="E205" s="6">
        <v>198</v>
      </c>
      <c r="F205" s="5">
        <v>2.8125</v>
      </c>
      <c r="G205" s="5"/>
      <c r="H205" s="6">
        <v>38</v>
      </c>
      <c r="I205" s="5">
        <v>5.9375</v>
      </c>
      <c r="J205" s="5"/>
      <c r="K205" s="6">
        <v>12</v>
      </c>
      <c r="L205" s="5">
        <v>7.9470198675496695</v>
      </c>
      <c r="N205" s="37">
        <f t="shared" si="18"/>
        <v>3.2</v>
      </c>
      <c r="O205" s="37">
        <f t="shared" si="19"/>
        <v>2.8</v>
      </c>
      <c r="P205" s="37">
        <f t="shared" si="20"/>
        <v>5.9</v>
      </c>
      <c r="Q205" s="37">
        <f t="shared" si="21"/>
        <v>7.9</v>
      </c>
      <c r="R205" s="37"/>
      <c r="S205" s="37"/>
      <c r="T205" s="37"/>
      <c r="U205" s="37"/>
    </row>
    <row r="206" spans="1:21" ht="14.1" customHeight="1" x14ac:dyDescent="0.25">
      <c r="A206" s="61" t="s">
        <v>29</v>
      </c>
      <c r="B206" s="6">
        <v>27</v>
      </c>
      <c r="C206" s="5">
        <v>0.34478355254756737</v>
      </c>
      <c r="D206" s="5"/>
      <c r="E206" s="6">
        <v>24</v>
      </c>
      <c r="F206" s="5">
        <v>0.34090909090909088</v>
      </c>
      <c r="G206" s="5"/>
      <c r="H206" s="6">
        <v>2</v>
      </c>
      <c r="I206" s="5">
        <v>0.3125</v>
      </c>
      <c r="J206" s="5"/>
      <c r="K206" s="6">
        <v>1</v>
      </c>
      <c r="L206" s="5">
        <v>0.66225165562913912</v>
      </c>
      <c r="N206" s="37">
        <f t="shared" si="18"/>
        <v>0.3</v>
      </c>
      <c r="O206" s="37">
        <f t="shared" si="19"/>
        <v>0.3</v>
      </c>
      <c r="P206" s="37">
        <f t="shared" si="20"/>
        <v>0.3</v>
      </c>
      <c r="Q206" s="37">
        <f t="shared" si="21"/>
        <v>0.7</v>
      </c>
      <c r="R206" s="37"/>
      <c r="S206" s="37"/>
      <c r="T206" s="37"/>
      <c r="U206" s="37"/>
    </row>
    <row r="207" spans="1:21" ht="14.1" customHeight="1" x14ac:dyDescent="0.25">
      <c r="A207" s="61" t="s">
        <v>30</v>
      </c>
      <c r="B207" s="6">
        <v>558</v>
      </c>
      <c r="C207" s="5">
        <v>7.1255267526497263</v>
      </c>
      <c r="D207" s="5"/>
      <c r="E207" s="6">
        <v>458</v>
      </c>
      <c r="F207" s="5">
        <v>6.5056818181818183</v>
      </c>
      <c r="G207" s="5"/>
      <c r="H207" s="6">
        <v>67</v>
      </c>
      <c r="I207" s="5">
        <v>10.46875</v>
      </c>
      <c r="J207" s="5"/>
      <c r="K207" s="6">
        <v>33</v>
      </c>
      <c r="L207" s="5">
        <v>21.85430463576159</v>
      </c>
      <c r="N207" s="37">
        <f t="shared" si="18"/>
        <v>7.1</v>
      </c>
      <c r="O207" s="37">
        <f t="shared" si="19"/>
        <v>6.5</v>
      </c>
      <c r="P207" s="37">
        <f t="shared" si="20"/>
        <v>10.5</v>
      </c>
      <c r="Q207" s="37">
        <f t="shared" si="21"/>
        <v>21.9</v>
      </c>
      <c r="R207" s="37"/>
      <c r="S207" s="37"/>
      <c r="T207" s="37"/>
      <c r="U207" s="37"/>
    </row>
    <row r="208" spans="1:21" ht="14.1" customHeight="1" x14ac:dyDescent="0.25">
      <c r="A208" s="61" t="s">
        <v>31</v>
      </c>
      <c r="B208" s="6">
        <v>39</v>
      </c>
      <c r="C208" s="5">
        <v>0.49802068701315283</v>
      </c>
      <c r="D208" s="5"/>
      <c r="E208" s="6">
        <v>37</v>
      </c>
      <c r="F208" s="5">
        <v>0.52556818181818177</v>
      </c>
      <c r="G208" s="5"/>
      <c r="H208" s="6">
        <v>2</v>
      </c>
      <c r="I208" s="5">
        <v>0.3125</v>
      </c>
      <c r="J208" s="5"/>
      <c r="K208" s="3" t="s">
        <v>96</v>
      </c>
      <c r="L208" s="16" t="s">
        <v>96</v>
      </c>
      <c r="N208" s="37">
        <f t="shared" si="18"/>
        <v>0.5</v>
      </c>
      <c r="O208" s="37">
        <f t="shared" si="19"/>
        <v>0.5</v>
      </c>
      <c r="P208" s="37">
        <f t="shared" si="20"/>
        <v>0.3</v>
      </c>
      <c r="Q208" s="37" t="e">
        <f t="shared" si="21"/>
        <v>#VALUE!</v>
      </c>
      <c r="R208" s="37"/>
      <c r="S208" s="37"/>
      <c r="T208" s="37"/>
      <c r="U208" s="37"/>
    </row>
    <row r="209" spans="1:21" ht="14.1" customHeight="1" x14ac:dyDescent="0.25">
      <c r="A209" s="61" t="s">
        <v>32</v>
      </c>
      <c r="B209" s="6">
        <v>713</v>
      </c>
      <c r="C209" s="5">
        <v>9.104839739496871</v>
      </c>
      <c r="D209" s="5"/>
      <c r="E209" s="6">
        <v>657</v>
      </c>
      <c r="F209" s="5">
        <v>9.3323863636363633</v>
      </c>
      <c r="G209" s="5"/>
      <c r="H209" s="6">
        <v>54</v>
      </c>
      <c r="I209" s="5">
        <v>8.4375</v>
      </c>
      <c r="J209" s="5"/>
      <c r="K209" s="3">
        <v>2</v>
      </c>
      <c r="L209" s="16">
        <v>1.3245033112582782</v>
      </c>
      <c r="N209" s="37">
        <f t="shared" si="18"/>
        <v>9.1</v>
      </c>
      <c r="O209" s="37">
        <f t="shared" si="19"/>
        <v>9.3000000000000007</v>
      </c>
      <c r="P209" s="37">
        <f t="shared" si="20"/>
        <v>8.4</v>
      </c>
      <c r="Q209" s="37">
        <f t="shared" si="21"/>
        <v>1.3</v>
      </c>
      <c r="R209" s="37"/>
      <c r="S209" s="37"/>
      <c r="T209" s="37"/>
      <c r="U209" s="37"/>
    </row>
    <row r="210" spans="1:21" ht="14.1" customHeight="1" x14ac:dyDescent="0.25">
      <c r="A210" s="61" t="s">
        <v>33</v>
      </c>
      <c r="B210" s="6">
        <v>2039</v>
      </c>
      <c r="C210" s="5">
        <v>26.237543097944066</v>
      </c>
      <c r="D210" s="5"/>
      <c r="E210" s="6">
        <v>1682</v>
      </c>
      <c r="F210" s="5">
        <v>23.992045454545455</v>
      </c>
      <c r="G210" s="5"/>
      <c r="H210" s="6">
        <v>280</v>
      </c>
      <c r="I210" s="5">
        <v>43.65</v>
      </c>
      <c r="J210" s="5"/>
      <c r="K210" s="3">
        <v>77</v>
      </c>
      <c r="L210" s="16">
        <v>50.993377483443716</v>
      </c>
      <c r="N210" s="37">
        <f t="shared" si="18"/>
        <v>26.2</v>
      </c>
      <c r="O210" s="37">
        <f t="shared" si="19"/>
        <v>24</v>
      </c>
      <c r="P210" s="37">
        <f t="shared" si="20"/>
        <v>43.7</v>
      </c>
      <c r="Q210" s="37">
        <f t="shared" si="21"/>
        <v>51</v>
      </c>
      <c r="R210" s="37"/>
      <c r="S210" s="37"/>
      <c r="T210" s="37"/>
      <c r="U210" s="37"/>
    </row>
    <row r="211" spans="1:21" ht="14.1" customHeight="1" x14ac:dyDescent="0.25">
      <c r="A211" s="61" t="s">
        <v>34</v>
      </c>
      <c r="B211" s="6">
        <v>719</v>
      </c>
      <c r="C211" s="5">
        <v>9.1814583067296649</v>
      </c>
      <c r="D211" s="5"/>
      <c r="E211" s="6">
        <v>657</v>
      </c>
      <c r="F211" s="5">
        <v>9.3323863636363633</v>
      </c>
      <c r="G211" s="5"/>
      <c r="H211" s="6">
        <v>49</v>
      </c>
      <c r="I211" s="5">
        <v>7.6562500000000009</v>
      </c>
      <c r="J211" s="5"/>
      <c r="K211" s="3">
        <v>13</v>
      </c>
      <c r="L211" s="16">
        <v>8.6092715231788084</v>
      </c>
      <c r="N211" s="37">
        <f t="shared" si="18"/>
        <v>9.1999999999999993</v>
      </c>
      <c r="O211" s="37">
        <f t="shared" si="19"/>
        <v>9.3000000000000007</v>
      </c>
      <c r="P211" s="37">
        <f t="shared" si="20"/>
        <v>7.7</v>
      </c>
      <c r="Q211" s="37">
        <f t="shared" si="21"/>
        <v>8.6</v>
      </c>
      <c r="R211" s="37"/>
      <c r="S211" s="37"/>
      <c r="T211" s="37"/>
      <c r="U211" s="37"/>
    </row>
    <row r="212" spans="1:21" ht="14.1" customHeight="1" x14ac:dyDescent="0.25">
      <c r="A212" s="61" t="s">
        <v>67</v>
      </c>
      <c r="B212" s="6">
        <v>73</v>
      </c>
      <c r="C212" s="5">
        <v>0.93219256799897854</v>
      </c>
      <c r="D212" s="5"/>
      <c r="E212" s="6">
        <v>72</v>
      </c>
      <c r="F212" s="5">
        <v>1.0227272727272727</v>
      </c>
      <c r="G212" s="5"/>
      <c r="H212" s="6">
        <v>1</v>
      </c>
      <c r="I212" s="5">
        <v>0.15625</v>
      </c>
      <c r="J212" s="5"/>
      <c r="K212" s="3" t="s">
        <v>96</v>
      </c>
      <c r="L212" s="16" t="s">
        <v>96</v>
      </c>
      <c r="N212" s="37">
        <f t="shared" si="18"/>
        <v>0.9</v>
      </c>
      <c r="O212" s="37">
        <f t="shared" si="19"/>
        <v>1</v>
      </c>
      <c r="P212" s="37">
        <f t="shared" si="20"/>
        <v>0.2</v>
      </c>
      <c r="Q212" s="37" t="e">
        <f t="shared" si="21"/>
        <v>#VALUE!</v>
      </c>
      <c r="R212" s="37"/>
      <c r="S212" s="37"/>
      <c r="T212" s="37"/>
      <c r="U212" s="37"/>
    </row>
    <row r="213" spans="1:21" ht="14.1" customHeight="1" x14ac:dyDescent="0.25">
      <c r="A213" s="61" t="s">
        <v>69</v>
      </c>
      <c r="B213" s="6">
        <v>215</v>
      </c>
      <c r="C213" s="5">
        <v>2.7454986591750736</v>
      </c>
      <c r="D213" s="5"/>
      <c r="E213" s="6">
        <v>203</v>
      </c>
      <c r="F213" s="5">
        <v>2.8835227272727271</v>
      </c>
      <c r="G213" s="5"/>
      <c r="H213" s="6">
        <v>12</v>
      </c>
      <c r="I213" s="5">
        <v>1.875</v>
      </c>
      <c r="J213" s="5"/>
      <c r="K213" s="3" t="s">
        <v>96</v>
      </c>
      <c r="L213" s="16" t="s">
        <v>96</v>
      </c>
      <c r="N213" s="37">
        <f t="shared" si="18"/>
        <v>2.7</v>
      </c>
      <c r="O213" s="37">
        <f t="shared" si="19"/>
        <v>2.9</v>
      </c>
      <c r="P213" s="37">
        <f t="shared" si="20"/>
        <v>1.9</v>
      </c>
      <c r="Q213" s="37" t="e">
        <f t="shared" si="21"/>
        <v>#VALUE!</v>
      </c>
      <c r="R213" s="37"/>
      <c r="S213" s="37"/>
      <c r="T213" s="37"/>
      <c r="U213" s="37"/>
    </row>
    <row r="214" spans="1:21" ht="14.1" customHeight="1" x14ac:dyDescent="0.25">
      <c r="A214" s="61" t="s">
        <v>35</v>
      </c>
      <c r="B214" s="6">
        <v>168</v>
      </c>
      <c r="C214" s="5">
        <v>2.1453198825181969</v>
      </c>
      <c r="D214" s="5"/>
      <c r="E214" s="6">
        <v>162</v>
      </c>
      <c r="F214" s="5">
        <v>2.3011363636363633</v>
      </c>
      <c r="G214" s="5"/>
      <c r="H214" s="6">
        <v>6</v>
      </c>
      <c r="I214" s="5">
        <v>0.9375</v>
      </c>
      <c r="J214" s="5"/>
      <c r="K214" s="3" t="s">
        <v>96</v>
      </c>
      <c r="L214" s="16" t="s">
        <v>96</v>
      </c>
      <c r="N214" s="37">
        <f t="shared" si="18"/>
        <v>2.1</v>
      </c>
      <c r="O214" s="37">
        <f t="shared" si="19"/>
        <v>2.2999999999999998</v>
      </c>
      <c r="P214" s="37">
        <f t="shared" si="20"/>
        <v>0.9</v>
      </c>
      <c r="Q214" s="37" t="e">
        <f t="shared" si="21"/>
        <v>#VALUE!</v>
      </c>
      <c r="R214" s="37"/>
      <c r="S214" s="37"/>
      <c r="T214" s="37"/>
      <c r="U214" s="37"/>
    </row>
    <row r="215" spans="1:21" ht="14.1" customHeight="1" x14ac:dyDescent="0.25">
      <c r="A215" s="61" t="s">
        <v>36</v>
      </c>
      <c r="B215" s="6">
        <v>1458</v>
      </c>
      <c r="C215" s="5">
        <v>18.618311837568637</v>
      </c>
      <c r="D215" s="5"/>
      <c r="E215" s="6">
        <v>1406</v>
      </c>
      <c r="F215" s="5">
        <v>19.971590909090907</v>
      </c>
      <c r="G215" s="5"/>
      <c r="H215" s="6">
        <v>49</v>
      </c>
      <c r="I215" s="5">
        <v>7.6562500000000009</v>
      </c>
      <c r="J215" s="5"/>
      <c r="K215" s="6">
        <v>3</v>
      </c>
      <c r="L215" s="5">
        <v>1.9867549668874174</v>
      </c>
      <c r="N215" s="37">
        <f t="shared" si="18"/>
        <v>18.600000000000001</v>
      </c>
      <c r="O215" s="37">
        <f t="shared" si="19"/>
        <v>20</v>
      </c>
      <c r="P215" s="37">
        <f t="shared" si="20"/>
        <v>7.7</v>
      </c>
      <c r="Q215" s="37">
        <f t="shared" si="21"/>
        <v>2</v>
      </c>
      <c r="R215" s="37"/>
      <c r="S215" s="37"/>
      <c r="T215" s="37"/>
      <c r="U215" s="37"/>
    </row>
    <row r="216" spans="1:21" ht="14.1" customHeight="1" x14ac:dyDescent="0.25">
      <c r="A216" s="61" t="s">
        <v>37</v>
      </c>
      <c r="B216" s="6">
        <v>1574</v>
      </c>
      <c r="C216" s="5">
        <v>20.099604137402629</v>
      </c>
      <c r="D216" s="5"/>
      <c r="E216" s="6">
        <v>1484</v>
      </c>
      <c r="F216" s="5">
        <v>21.079545454545453</v>
      </c>
      <c r="G216" s="5"/>
      <c r="H216" s="6">
        <v>80</v>
      </c>
      <c r="I216" s="5">
        <v>12.5</v>
      </c>
      <c r="J216" s="5"/>
      <c r="K216" s="6">
        <v>10</v>
      </c>
      <c r="L216" s="5">
        <v>6.6225165562913908</v>
      </c>
      <c r="N216" s="37">
        <f t="shared" ref="N216:N279" si="26">ROUND(C216,1)</f>
        <v>20.100000000000001</v>
      </c>
      <c r="O216" s="37">
        <f t="shared" ref="O216:O279" si="27">ROUND(F216,1)</f>
        <v>21.1</v>
      </c>
      <c r="P216" s="37">
        <f t="shared" ref="P216:P279" si="28">ROUND(I216,1)</f>
        <v>12.5</v>
      </c>
      <c r="Q216" s="37">
        <f t="shared" ref="Q216:Q279" si="29">ROUND(L216,1)</f>
        <v>6.6</v>
      </c>
      <c r="R216" s="37"/>
      <c r="S216" s="37"/>
      <c r="T216" s="37"/>
      <c r="U216" s="37"/>
    </row>
    <row r="217" spans="1:21" ht="14.1" customHeight="1" x14ac:dyDescent="0.25">
      <c r="A217" s="61"/>
      <c r="B217" s="6"/>
      <c r="C217" s="5"/>
      <c r="D217" s="5"/>
      <c r="E217" s="6"/>
      <c r="F217" s="5"/>
      <c r="G217" s="5"/>
      <c r="H217" s="6"/>
      <c r="I217" s="5"/>
      <c r="J217" s="5"/>
      <c r="K217" s="6"/>
      <c r="L217" s="5"/>
      <c r="N217" s="37">
        <f t="shared" si="26"/>
        <v>0</v>
      </c>
      <c r="O217" s="37">
        <f t="shared" si="27"/>
        <v>0</v>
      </c>
      <c r="P217" s="37">
        <f t="shared" si="28"/>
        <v>0</v>
      </c>
      <c r="Q217" s="37">
        <f t="shared" si="29"/>
        <v>0</v>
      </c>
      <c r="R217" s="37"/>
      <c r="S217" s="37"/>
      <c r="T217" s="37"/>
      <c r="U217" s="37"/>
    </row>
    <row r="218" spans="1:21" ht="14.1" customHeight="1" x14ac:dyDescent="0.25">
      <c r="A218" s="91" t="s">
        <v>75</v>
      </c>
      <c r="B218" s="9">
        <v>244149</v>
      </c>
      <c r="C218" s="15">
        <v>100</v>
      </c>
      <c r="D218" s="9"/>
      <c r="E218" s="9">
        <v>210736</v>
      </c>
      <c r="F218" s="15">
        <v>99.999999999999986</v>
      </c>
      <c r="G218" s="9"/>
      <c r="H218" s="9">
        <v>25865</v>
      </c>
      <c r="I218" s="15">
        <v>100</v>
      </c>
      <c r="J218" s="15"/>
      <c r="K218" s="9">
        <v>7548</v>
      </c>
      <c r="L218" s="15">
        <v>100</v>
      </c>
      <c r="N218" s="37">
        <f>SUM(N219:N230)</f>
        <v>100</v>
      </c>
      <c r="O218" s="37">
        <f t="shared" ref="O218:Q218" si="30">SUM(O219:O230)</f>
        <v>100</v>
      </c>
      <c r="P218" s="37">
        <f t="shared" si="30"/>
        <v>100.2</v>
      </c>
      <c r="Q218" s="37">
        <f t="shared" si="30"/>
        <v>100</v>
      </c>
      <c r="R218" s="37"/>
      <c r="S218" s="120"/>
      <c r="T218" s="120"/>
      <c r="U218" s="120"/>
    </row>
    <row r="219" spans="1:21" ht="14.1" customHeight="1" x14ac:dyDescent="0.25">
      <c r="A219" s="61" t="s">
        <v>57</v>
      </c>
      <c r="B219" s="6">
        <v>3018</v>
      </c>
      <c r="C219" s="5">
        <v>1.2361303957829031</v>
      </c>
      <c r="D219" s="6"/>
      <c r="E219" s="6">
        <v>2255</v>
      </c>
      <c r="F219" s="5">
        <v>1.0700592210158681</v>
      </c>
      <c r="G219" s="6"/>
      <c r="H219" s="6">
        <v>494</v>
      </c>
      <c r="I219" s="5">
        <v>1.9099168760873766</v>
      </c>
      <c r="J219" s="5"/>
      <c r="K219" s="6">
        <v>269</v>
      </c>
      <c r="L219" s="5">
        <v>3.5638579756226814</v>
      </c>
      <c r="N219" s="37">
        <f t="shared" si="26"/>
        <v>1.2</v>
      </c>
      <c r="O219" s="37">
        <f t="shared" si="27"/>
        <v>1.1000000000000001</v>
      </c>
      <c r="P219" s="37">
        <f t="shared" si="28"/>
        <v>1.9</v>
      </c>
      <c r="Q219" s="37">
        <f t="shared" si="29"/>
        <v>3.6</v>
      </c>
      <c r="R219" s="37"/>
      <c r="S219" s="37"/>
      <c r="T219" s="37"/>
      <c r="U219" s="37"/>
    </row>
    <row r="220" spans="1:21" ht="14.1" customHeight="1" x14ac:dyDescent="0.25">
      <c r="A220" s="61" t="s">
        <v>29</v>
      </c>
      <c r="B220" s="6">
        <v>2762</v>
      </c>
      <c r="C220" s="5">
        <v>1.131276392694625</v>
      </c>
      <c r="D220" s="6"/>
      <c r="E220" s="6">
        <v>2338</v>
      </c>
      <c r="F220" s="5">
        <v>1.1094449927871839</v>
      </c>
      <c r="G220" s="6"/>
      <c r="H220" s="97">
        <v>228</v>
      </c>
      <c r="I220" s="98">
        <v>0.88150009665571238</v>
      </c>
      <c r="J220" s="98"/>
      <c r="K220" s="97">
        <v>196</v>
      </c>
      <c r="L220" s="98">
        <v>2.6284028429663402</v>
      </c>
      <c r="N220" s="37">
        <f t="shared" si="26"/>
        <v>1.1000000000000001</v>
      </c>
      <c r="O220" s="37">
        <f t="shared" si="27"/>
        <v>1.1000000000000001</v>
      </c>
      <c r="P220" s="37">
        <f t="shared" si="28"/>
        <v>0.9</v>
      </c>
      <c r="Q220" s="37">
        <f t="shared" si="29"/>
        <v>2.6</v>
      </c>
      <c r="R220" s="37"/>
      <c r="S220" s="37"/>
      <c r="T220" s="37"/>
      <c r="U220" s="37"/>
    </row>
    <row r="221" spans="1:21" ht="14.1" customHeight="1" x14ac:dyDescent="0.25">
      <c r="A221" s="61" t="s">
        <v>30</v>
      </c>
      <c r="B221" s="6">
        <v>27614</v>
      </c>
      <c r="C221" s="5">
        <v>11.310306411248868</v>
      </c>
      <c r="D221" s="6"/>
      <c r="E221" s="6">
        <v>22993</v>
      </c>
      <c r="F221" s="5">
        <v>10.910807835395946</v>
      </c>
      <c r="G221" s="6"/>
      <c r="H221" s="97">
        <v>3454</v>
      </c>
      <c r="I221" s="98">
        <v>13.353953218635221</v>
      </c>
      <c r="J221" s="98"/>
      <c r="K221" s="97">
        <v>1167</v>
      </c>
      <c r="L221" s="98">
        <v>15.461049284578696</v>
      </c>
      <c r="N221" s="37">
        <f t="shared" si="26"/>
        <v>11.3</v>
      </c>
      <c r="O221" s="37">
        <f t="shared" si="27"/>
        <v>10.9</v>
      </c>
      <c r="P221" s="37">
        <f t="shared" si="28"/>
        <v>13.4</v>
      </c>
      <c r="Q221" s="37">
        <f t="shared" si="29"/>
        <v>15.5</v>
      </c>
      <c r="R221" s="37"/>
      <c r="S221" s="37"/>
      <c r="T221" s="37"/>
      <c r="U221" s="37"/>
    </row>
    <row r="222" spans="1:21" ht="14.1" customHeight="1" x14ac:dyDescent="0.25">
      <c r="A222" s="61" t="s">
        <v>31</v>
      </c>
      <c r="B222" s="6">
        <v>1350</v>
      </c>
      <c r="C222" s="5">
        <v>0.55294103191084132</v>
      </c>
      <c r="D222" s="6"/>
      <c r="E222" s="6">
        <v>1109</v>
      </c>
      <c r="F222" s="5">
        <v>0.52625085414926731</v>
      </c>
      <c r="G222" s="6"/>
      <c r="H222" s="97">
        <v>157</v>
      </c>
      <c r="I222" s="98">
        <v>0.60699787357432822</v>
      </c>
      <c r="J222" s="98"/>
      <c r="K222" s="97">
        <v>84</v>
      </c>
      <c r="L222" s="98">
        <v>1.1128775834658187</v>
      </c>
      <c r="N222" s="37">
        <f t="shared" si="26"/>
        <v>0.6</v>
      </c>
      <c r="O222" s="37">
        <f t="shared" si="27"/>
        <v>0.5</v>
      </c>
      <c r="P222" s="37">
        <f t="shared" si="28"/>
        <v>0.6</v>
      </c>
      <c r="Q222" s="37">
        <f t="shared" si="29"/>
        <v>1.1000000000000001</v>
      </c>
      <c r="R222" s="37"/>
      <c r="S222" s="37"/>
      <c r="T222" s="37"/>
      <c r="U222" s="37"/>
    </row>
    <row r="223" spans="1:21" ht="14.1" customHeight="1" x14ac:dyDescent="0.25">
      <c r="A223" s="61" t="s">
        <v>32</v>
      </c>
      <c r="B223" s="6">
        <v>18258</v>
      </c>
      <c r="C223" s="5">
        <v>7.478220267131956</v>
      </c>
      <c r="D223" s="6"/>
      <c r="E223" s="6">
        <v>15966</v>
      </c>
      <c r="F223" s="5">
        <v>7.5763040012147895</v>
      </c>
      <c r="G223" s="6"/>
      <c r="H223" s="97">
        <v>1784</v>
      </c>
      <c r="I223" s="98">
        <v>6.8973516334815379</v>
      </c>
      <c r="J223" s="98"/>
      <c r="K223" s="97">
        <v>508</v>
      </c>
      <c r="L223" s="98">
        <v>6.7302596714361425</v>
      </c>
      <c r="N223" s="37">
        <f t="shared" si="26"/>
        <v>7.5</v>
      </c>
      <c r="O223" s="37">
        <f t="shared" si="27"/>
        <v>7.6</v>
      </c>
      <c r="P223" s="37">
        <f t="shared" si="28"/>
        <v>6.9</v>
      </c>
      <c r="Q223" s="37">
        <f t="shared" si="29"/>
        <v>6.7</v>
      </c>
      <c r="R223" s="37"/>
      <c r="S223" s="37"/>
      <c r="T223" s="37"/>
      <c r="U223" s="37"/>
    </row>
    <row r="224" spans="1:21" ht="14.1" customHeight="1" x14ac:dyDescent="0.25">
      <c r="A224" s="61" t="s">
        <v>33</v>
      </c>
      <c r="B224" s="6">
        <v>71658</v>
      </c>
      <c r="C224" s="5">
        <v>29.350109973827461</v>
      </c>
      <c r="D224" s="6"/>
      <c r="E224" s="6">
        <v>59813</v>
      </c>
      <c r="F224" s="5">
        <v>28.382905625996507</v>
      </c>
      <c r="G224" s="6"/>
      <c r="H224" s="97">
        <v>8963</v>
      </c>
      <c r="I224" s="98">
        <v>34.653005992654165</v>
      </c>
      <c r="J224" s="98"/>
      <c r="K224" s="97">
        <v>2882</v>
      </c>
      <c r="L224" s="98">
        <v>38.182299947005824</v>
      </c>
      <c r="N224" s="37">
        <f t="shared" si="26"/>
        <v>29.4</v>
      </c>
      <c r="O224" s="37">
        <f t="shared" si="27"/>
        <v>28.4</v>
      </c>
      <c r="P224" s="37">
        <f t="shared" si="28"/>
        <v>34.700000000000003</v>
      </c>
      <c r="Q224" s="37">
        <f t="shared" si="29"/>
        <v>38.200000000000003</v>
      </c>
      <c r="R224" s="37"/>
      <c r="S224" s="37"/>
      <c r="T224" s="37"/>
      <c r="U224" s="37"/>
    </row>
    <row r="225" spans="1:21" ht="14.1" customHeight="1" x14ac:dyDescent="0.25">
      <c r="A225" s="61" t="s">
        <v>34</v>
      </c>
      <c r="B225" s="6">
        <v>16532</v>
      </c>
      <c r="C225" s="5">
        <v>6.7712749181852061</v>
      </c>
      <c r="D225" s="6"/>
      <c r="E225" s="6">
        <v>13960</v>
      </c>
      <c r="F225" s="5">
        <v>6.6244020955128686</v>
      </c>
      <c r="G225" s="6"/>
      <c r="H225" s="97">
        <v>2096</v>
      </c>
      <c r="I225" s="98">
        <v>8.1036149236419863</v>
      </c>
      <c r="J225" s="98"/>
      <c r="K225" s="97">
        <v>476</v>
      </c>
      <c r="L225" s="98">
        <v>6.3063063063063058</v>
      </c>
      <c r="N225" s="37">
        <f t="shared" si="26"/>
        <v>6.8</v>
      </c>
      <c r="O225" s="37">
        <f t="shared" si="27"/>
        <v>6.6</v>
      </c>
      <c r="P225" s="37">
        <f t="shared" si="28"/>
        <v>8.1</v>
      </c>
      <c r="Q225" s="37">
        <f t="shared" si="29"/>
        <v>6.3</v>
      </c>
      <c r="R225" s="37"/>
      <c r="S225" s="37"/>
      <c r="T225" s="37"/>
      <c r="U225" s="37"/>
    </row>
    <row r="226" spans="1:21" ht="14.1" customHeight="1" x14ac:dyDescent="0.25">
      <c r="A226" s="61" t="s">
        <v>67</v>
      </c>
      <c r="B226" s="6">
        <v>1222</v>
      </c>
      <c r="C226" s="5">
        <v>0.50051403036670228</v>
      </c>
      <c r="D226" s="6"/>
      <c r="E226" s="6">
        <v>1026</v>
      </c>
      <c r="F226" s="5">
        <v>0.48686508237795156</v>
      </c>
      <c r="G226" s="6"/>
      <c r="H226" s="97">
        <v>159</v>
      </c>
      <c r="I226" s="98">
        <v>0.61473033056253623</v>
      </c>
      <c r="J226" s="98"/>
      <c r="K226" s="97">
        <v>37</v>
      </c>
      <c r="L226" s="98">
        <v>0.49019607843137253</v>
      </c>
      <c r="N226" s="37">
        <f t="shared" si="26"/>
        <v>0.5</v>
      </c>
      <c r="O226" s="37">
        <f t="shared" si="27"/>
        <v>0.5</v>
      </c>
      <c r="P226" s="37">
        <f t="shared" si="28"/>
        <v>0.6</v>
      </c>
      <c r="Q226" s="37">
        <f t="shared" si="29"/>
        <v>0.5</v>
      </c>
      <c r="R226" s="37"/>
      <c r="S226" s="37"/>
      <c r="T226" s="37"/>
      <c r="U226" s="37"/>
    </row>
    <row r="227" spans="1:21" ht="14.1" customHeight="1" x14ac:dyDescent="0.25">
      <c r="A227" s="61" t="s">
        <v>69</v>
      </c>
      <c r="B227" s="6">
        <v>6871</v>
      </c>
      <c r="C227" s="5">
        <v>2.8142650594514005</v>
      </c>
      <c r="D227" s="6"/>
      <c r="E227" s="6">
        <v>6052</v>
      </c>
      <c r="F227" s="5">
        <v>2.8718396477108801</v>
      </c>
      <c r="G227" s="6"/>
      <c r="H227" s="97">
        <v>740</v>
      </c>
      <c r="I227" s="98">
        <v>2.8610090856369612</v>
      </c>
      <c r="J227" s="98"/>
      <c r="K227" s="97">
        <v>79</v>
      </c>
      <c r="L227" s="98">
        <v>1.0466348701642818</v>
      </c>
      <c r="N227" s="37">
        <f t="shared" si="26"/>
        <v>2.8</v>
      </c>
      <c r="O227" s="37">
        <f t="shared" si="27"/>
        <v>2.9</v>
      </c>
      <c r="P227" s="37">
        <f t="shared" si="28"/>
        <v>2.9</v>
      </c>
      <c r="Q227" s="37">
        <f t="shared" si="29"/>
        <v>1</v>
      </c>
      <c r="R227" s="37"/>
      <c r="S227" s="37"/>
      <c r="T227" s="37"/>
      <c r="U227" s="37"/>
    </row>
    <row r="228" spans="1:21" ht="14.1" customHeight="1" x14ac:dyDescent="0.25">
      <c r="A228" s="61" t="s">
        <v>35</v>
      </c>
      <c r="B228" s="6">
        <v>11350</v>
      </c>
      <c r="C228" s="5">
        <v>4.6488005275467028</v>
      </c>
      <c r="D228" s="6"/>
      <c r="E228" s="6">
        <v>9900</v>
      </c>
      <c r="F228" s="5">
        <v>4.6978209703135674</v>
      </c>
      <c r="G228" s="6"/>
      <c r="H228" s="97">
        <v>1154</v>
      </c>
      <c r="I228" s="98">
        <v>4.4616276821960179</v>
      </c>
      <c r="J228" s="98"/>
      <c r="K228" s="97">
        <v>296</v>
      </c>
      <c r="L228" s="98">
        <v>3.9215686274509802</v>
      </c>
      <c r="N228" s="37">
        <f t="shared" si="26"/>
        <v>4.5999999999999996</v>
      </c>
      <c r="O228" s="37">
        <f t="shared" si="27"/>
        <v>4.7</v>
      </c>
      <c r="P228" s="37">
        <f t="shared" si="28"/>
        <v>4.5</v>
      </c>
      <c r="Q228" s="37">
        <f t="shared" si="29"/>
        <v>3.9</v>
      </c>
      <c r="R228" s="37"/>
      <c r="S228" s="37"/>
      <c r="T228" s="37"/>
      <c r="U228" s="37"/>
    </row>
    <row r="229" spans="1:21" ht="14.1" customHeight="1" x14ac:dyDescent="0.25">
      <c r="A229" s="61" t="s">
        <v>36</v>
      </c>
      <c r="B229" s="6">
        <v>49089</v>
      </c>
      <c r="C229" s="5">
        <v>20.106164678126881</v>
      </c>
      <c r="D229" s="6"/>
      <c r="E229" s="6">
        <v>44510</v>
      </c>
      <c r="F229" s="5">
        <v>21.121213271581503</v>
      </c>
      <c r="G229" s="6"/>
      <c r="H229" s="97">
        <v>3824</v>
      </c>
      <c r="I229" s="98">
        <v>14.784457761453702</v>
      </c>
      <c r="J229" s="98"/>
      <c r="K229" s="97">
        <v>755</v>
      </c>
      <c r="L229" s="98">
        <v>10.002649708532061</v>
      </c>
      <c r="N229" s="37">
        <f t="shared" si="26"/>
        <v>20.100000000000001</v>
      </c>
      <c r="O229" s="37">
        <f t="shared" si="27"/>
        <v>21.1</v>
      </c>
      <c r="P229" s="37">
        <f t="shared" si="28"/>
        <v>14.8</v>
      </c>
      <c r="Q229" s="37">
        <f t="shared" si="29"/>
        <v>10</v>
      </c>
      <c r="R229" s="37"/>
      <c r="S229" s="37"/>
      <c r="T229" s="37"/>
      <c r="U229" s="37"/>
    </row>
    <row r="230" spans="1:21" ht="14.1" customHeight="1" x14ac:dyDescent="0.25">
      <c r="A230" s="61" t="s">
        <v>37</v>
      </c>
      <c r="B230" s="6">
        <v>34425</v>
      </c>
      <c r="C230" s="5">
        <v>14.099996313726454</v>
      </c>
      <c r="D230" s="6"/>
      <c r="E230" s="6">
        <v>30814</v>
      </c>
      <c r="F230" s="5">
        <v>14.622086401943665</v>
      </c>
      <c r="G230" s="6"/>
      <c r="H230" s="6">
        <v>2812</v>
      </c>
      <c r="I230" s="5">
        <v>10.871834525420452</v>
      </c>
      <c r="J230" s="5"/>
      <c r="K230" s="6">
        <v>799</v>
      </c>
      <c r="L230" s="5">
        <v>10.585585585585585</v>
      </c>
      <c r="N230" s="37">
        <f t="shared" si="26"/>
        <v>14.1</v>
      </c>
      <c r="O230" s="37">
        <f t="shared" si="27"/>
        <v>14.6</v>
      </c>
      <c r="P230" s="37">
        <f t="shared" si="28"/>
        <v>10.9</v>
      </c>
      <c r="Q230" s="37">
        <f t="shared" si="29"/>
        <v>10.6</v>
      </c>
      <c r="R230" s="37"/>
      <c r="S230" s="37"/>
      <c r="T230" s="37"/>
      <c r="U230" s="37"/>
    </row>
    <row r="231" spans="1:21" ht="14.1" customHeight="1" x14ac:dyDescent="0.25">
      <c r="A231" s="61"/>
      <c r="B231" s="6"/>
      <c r="C231" s="5"/>
      <c r="D231" s="5"/>
      <c r="E231" s="6"/>
      <c r="F231" s="5"/>
      <c r="G231" s="5"/>
      <c r="H231" s="6"/>
      <c r="I231" s="5"/>
      <c r="J231" s="5"/>
      <c r="K231" s="6"/>
      <c r="L231" s="5"/>
      <c r="N231" s="37">
        <f t="shared" si="26"/>
        <v>0</v>
      </c>
      <c r="O231" s="37">
        <f t="shared" si="27"/>
        <v>0</v>
      </c>
      <c r="P231" s="37">
        <f t="shared" si="28"/>
        <v>0</v>
      </c>
      <c r="Q231" s="37">
        <f t="shared" si="29"/>
        <v>0</v>
      </c>
      <c r="R231" s="37"/>
      <c r="S231" s="37"/>
      <c r="T231" s="37"/>
      <c r="U231" s="37"/>
    </row>
    <row r="232" spans="1:21" ht="14.1" customHeight="1" x14ac:dyDescent="0.25">
      <c r="A232" s="91" t="s">
        <v>10</v>
      </c>
      <c r="B232" s="9">
        <v>2621</v>
      </c>
      <c r="C232" s="15">
        <v>100</v>
      </c>
      <c r="D232" s="15"/>
      <c r="E232" s="9">
        <v>2227</v>
      </c>
      <c r="F232" s="15">
        <v>100</v>
      </c>
      <c r="G232" s="15"/>
      <c r="H232" s="9">
        <v>304</v>
      </c>
      <c r="I232" s="15">
        <v>100</v>
      </c>
      <c r="J232" s="15"/>
      <c r="K232" s="9">
        <v>90</v>
      </c>
      <c r="L232" s="15">
        <v>100</v>
      </c>
      <c r="N232" s="37">
        <f>SUM(N233:N244)</f>
        <v>100.00000000000001</v>
      </c>
      <c r="O232" s="37">
        <f t="shared" ref="O232:Q232" si="31">SUM(O233:O244)</f>
        <v>100</v>
      </c>
      <c r="P232" s="37">
        <f t="shared" si="31"/>
        <v>100</v>
      </c>
      <c r="Q232" s="37" t="e">
        <f t="shared" si="31"/>
        <v>#VALUE!</v>
      </c>
      <c r="R232" s="37"/>
      <c r="S232" s="37"/>
      <c r="T232" s="37"/>
      <c r="U232" s="37"/>
    </row>
    <row r="233" spans="1:21" ht="14.1" customHeight="1" x14ac:dyDescent="0.25">
      <c r="A233" s="61" t="s">
        <v>57</v>
      </c>
      <c r="B233" s="6">
        <v>121</v>
      </c>
      <c r="C233" s="5">
        <v>4.6165585654330412</v>
      </c>
      <c r="D233" s="5"/>
      <c r="E233" s="6">
        <v>101</v>
      </c>
      <c r="F233" s="5">
        <v>4.5352492141894931</v>
      </c>
      <c r="G233" s="5"/>
      <c r="H233" s="6">
        <v>16</v>
      </c>
      <c r="I233" s="5">
        <v>5.2631578947368416</v>
      </c>
      <c r="J233" s="5"/>
      <c r="K233" s="6">
        <v>4</v>
      </c>
      <c r="L233" s="5">
        <v>4.4444444444444446</v>
      </c>
      <c r="N233" s="37">
        <f t="shared" si="26"/>
        <v>4.5999999999999996</v>
      </c>
      <c r="O233" s="37">
        <f t="shared" si="27"/>
        <v>4.5</v>
      </c>
      <c r="P233" s="37">
        <f t="shared" si="28"/>
        <v>5.3</v>
      </c>
      <c r="Q233" s="37">
        <f t="shared" si="29"/>
        <v>4.4000000000000004</v>
      </c>
      <c r="R233" s="37"/>
      <c r="S233" s="37"/>
      <c r="T233" s="37"/>
      <c r="U233" s="37"/>
    </row>
    <row r="234" spans="1:21" ht="14.1" customHeight="1" x14ac:dyDescent="0.25">
      <c r="A234" s="61" t="s">
        <v>29</v>
      </c>
      <c r="B234" s="6">
        <v>21</v>
      </c>
      <c r="C234" s="5">
        <v>0.80122090805036239</v>
      </c>
      <c r="D234" s="5"/>
      <c r="E234" s="6">
        <v>20</v>
      </c>
      <c r="F234" s="5">
        <v>0.89806915132465204</v>
      </c>
      <c r="G234" s="5"/>
      <c r="H234" s="6">
        <v>1</v>
      </c>
      <c r="I234" s="5">
        <v>0.3289473684210526</v>
      </c>
      <c r="J234" s="5"/>
      <c r="K234" s="3" t="s">
        <v>96</v>
      </c>
      <c r="L234" s="16" t="s">
        <v>96</v>
      </c>
      <c r="N234" s="37">
        <f t="shared" si="26"/>
        <v>0.8</v>
      </c>
      <c r="O234" s="37">
        <f t="shared" si="27"/>
        <v>0.9</v>
      </c>
      <c r="P234" s="37">
        <f t="shared" si="28"/>
        <v>0.3</v>
      </c>
      <c r="Q234" s="37" t="e">
        <f t="shared" si="29"/>
        <v>#VALUE!</v>
      </c>
      <c r="R234" s="37"/>
      <c r="S234" s="37"/>
      <c r="T234" s="37"/>
      <c r="U234" s="37"/>
    </row>
    <row r="235" spans="1:21" ht="14.1" customHeight="1" x14ac:dyDescent="0.25">
      <c r="A235" s="61" t="s">
        <v>30</v>
      </c>
      <c r="B235" s="6">
        <v>199</v>
      </c>
      <c r="C235" s="5">
        <v>7.5925219381915294</v>
      </c>
      <c r="D235" s="5"/>
      <c r="E235" s="6">
        <v>173</v>
      </c>
      <c r="F235" s="5">
        <v>7.7682981589582392</v>
      </c>
      <c r="G235" s="5"/>
      <c r="H235" s="6">
        <v>19</v>
      </c>
      <c r="I235" s="5">
        <v>6.25</v>
      </c>
      <c r="J235" s="5"/>
      <c r="K235" s="3">
        <v>7</v>
      </c>
      <c r="L235" s="16">
        <v>7.7777777777777777</v>
      </c>
      <c r="N235" s="37">
        <f t="shared" si="26"/>
        <v>7.6</v>
      </c>
      <c r="O235" s="37">
        <f t="shared" si="27"/>
        <v>7.8</v>
      </c>
      <c r="P235" s="37">
        <f t="shared" si="28"/>
        <v>6.3</v>
      </c>
      <c r="Q235" s="37">
        <f t="shared" si="29"/>
        <v>7.8</v>
      </c>
      <c r="R235" s="37"/>
      <c r="S235" s="37"/>
      <c r="T235" s="37"/>
      <c r="U235" s="37"/>
    </row>
    <row r="236" spans="1:21" ht="14.1" customHeight="1" x14ac:dyDescent="0.25">
      <c r="A236" s="61" t="s">
        <v>31</v>
      </c>
      <c r="B236" s="6">
        <v>25</v>
      </c>
      <c r="C236" s="5">
        <v>0.95383441434566951</v>
      </c>
      <c r="D236" s="5"/>
      <c r="E236" s="6">
        <v>20</v>
      </c>
      <c r="F236" s="5">
        <v>0.89806915132465204</v>
      </c>
      <c r="G236" s="5"/>
      <c r="H236" s="6">
        <v>1</v>
      </c>
      <c r="I236" s="5">
        <v>0.3289473684210526</v>
      </c>
      <c r="J236" s="5"/>
      <c r="K236" s="3">
        <v>4</v>
      </c>
      <c r="L236" s="16">
        <v>4.4444444444444446</v>
      </c>
      <c r="N236" s="37">
        <f t="shared" si="26"/>
        <v>1</v>
      </c>
      <c r="O236" s="37">
        <f t="shared" si="27"/>
        <v>0.9</v>
      </c>
      <c r="P236" s="37">
        <f t="shared" si="28"/>
        <v>0.3</v>
      </c>
      <c r="Q236" s="37">
        <f t="shared" si="29"/>
        <v>4.4000000000000004</v>
      </c>
      <c r="R236" s="37"/>
      <c r="S236" s="37"/>
      <c r="T236" s="37"/>
      <c r="U236" s="37"/>
    </row>
    <row r="237" spans="1:21" ht="14.1" customHeight="1" x14ac:dyDescent="0.25">
      <c r="A237" s="61" t="s">
        <v>32</v>
      </c>
      <c r="B237" s="6">
        <v>349</v>
      </c>
      <c r="C237" s="5">
        <v>13.315528424265546</v>
      </c>
      <c r="D237" s="5"/>
      <c r="E237" s="6">
        <v>323</v>
      </c>
      <c r="F237" s="5">
        <v>14.503816793893129</v>
      </c>
      <c r="G237" s="5"/>
      <c r="H237" s="6">
        <v>23</v>
      </c>
      <c r="I237" s="5">
        <v>7.5657894736842106</v>
      </c>
      <c r="J237" s="5"/>
      <c r="K237" s="3">
        <v>3</v>
      </c>
      <c r="L237" s="16">
        <v>3.3333333333333335</v>
      </c>
      <c r="N237" s="37">
        <f t="shared" si="26"/>
        <v>13.3</v>
      </c>
      <c r="O237" s="37">
        <f t="shared" si="27"/>
        <v>14.5</v>
      </c>
      <c r="P237" s="37">
        <f t="shared" si="28"/>
        <v>7.6</v>
      </c>
      <c r="Q237" s="37">
        <f t="shared" si="29"/>
        <v>3.3</v>
      </c>
      <c r="R237" s="37"/>
      <c r="S237" s="37"/>
      <c r="T237" s="37"/>
      <c r="U237" s="37"/>
    </row>
    <row r="238" spans="1:21" ht="14.1" customHeight="1" x14ac:dyDescent="0.25">
      <c r="A238" s="61" t="s">
        <v>33</v>
      </c>
      <c r="B238" s="6">
        <v>813</v>
      </c>
      <c r="C238" s="5">
        <v>31.118695154521177</v>
      </c>
      <c r="D238" s="5"/>
      <c r="E238" s="6">
        <v>618</v>
      </c>
      <c r="F238" s="5">
        <v>27.850336775931744</v>
      </c>
      <c r="G238" s="5"/>
      <c r="H238" s="6">
        <v>139</v>
      </c>
      <c r="I238" s="5">
        <v>45.623684210526314</v>
      </c>
      <c r="J238" s="5"/>
      <c r="K238" s="3">
        <v>56</v>
      </c>
      <c r="L238" s="16">
        <v>62.322222222222223</v>
      </c>
      <c r="N238" s="37">
        <f t="shared" si="26"/>
        <v>31.1</v>
      </c>
      <c r="O238" s="37">
        <f t="shared" si="27"/>
        <v>27.9</v>
      </c>
      <c r="P238" s="37">
        <f t="shared" si="28"/>
        <v>45.6</v>
      </c>
      <c r="Q238" s="37">
        <f t="shared" si="29"/>
        <v>62.3</v>
      </c>
      <c r="R238" s="37"/>
      <c r="S238" s="37"/>
      <c r="T238" s="37"/>
      <c r="U238" s="37"/>
    </row>
    <row r="239" spans="1:21" ht="14.1" customHeight="1" x14ac:dyDescent="0.25">
      <c r="A239" s="61" t="s">
        <v>34</v>
      </c>
      <c r="B239" s="6">
        <v>204</v>
      </c>
      <c r="C239" s="5">
        <v>7.7832888210606637</v>
      </c>
      <c r="D239" s="5"/>
      <c r="E239" s="6">
        <v>162</v>
      </c>
      <c r="F239" s="5">
        <v>7.2743601257296815</v>
      </c>
      <c r="G239" s="5"/>
      <c r="H239" s="6">
        <v>35</v>
      </c>
      <c r="I239" s="5">
        <v>11.513157894736842</v>
      </c>
      <c r="J239" s="5"/>
      <c r="K239" s="3">
        <v>7</v>
      </c>
      <c r="L239" s="16">
        <v>7.7777777777777777</v>
      </c>
      <c r="N239" s="37">
        <f t="shared" si="26"/>
        <v>7.8</v>
      </c>
      <c r="O239" s="37">
        <f t="shared" si="27"/>
        <v>7.3</v>
      </c>
      <c r="P239" s="37">
        <f t="shared" si="28"/>
        <v>11.5</v>
      </c>
      <c r="Q239" s="37">
        <f t="shared" si="29"/>
        <v>7.8</v>
      </c>
      <c r="R239" s="37"/>
      <c r="S239" s="37"/>
      <c r="T239" s="37"/>
      <c r="U239" s="37"/>
    </row>
    <row r="240" spans="1:21" ht="14.1" customHeight="1" x14ac:dyDescent="0.25">
      <c r="A240" s="61" t="s">
        <v>67</v>
      </c>
      <c r="B240" s="6">
        <v>85</v>
      </c>
      <c r="C240" s="5">
        <v>3.2430370087752762</v>
      </c>
      <c r="D240" s="5"/>
      <c r="E240" s="6">
        <v>74</v>
      </c>
      <c r="F240" s="5">
        <v>3.3228558599012121</v>
      </c>
      <c r="G240" s="5"/>
      <c r="H240" s="6">
        <v>10</v>
      </c>
      <c r="I240" s="5">
        <v>3.2894736842105261</v>
      </c>
      <c r="J240" s="5"/>
      <c r="K240" s="3">
        <v>1</v>
      </c>
      <c r="L240" s="16">
        <v>1.1111111111111112</v>
      </c>
      <c r="N240" s="37">
        <f t="shared" si="26"/>
        <v>3.2</v>
      </c>
      <c r="O240" s="37">
        <f t="shared" si="27"/>
        <v>3.3</v>
      </c>
      <c r="P240" s="37">
        <f t="shared" si="28"/>
        <v>3.3</v>
      </c>
      <c r="Q240" s="37">
        <f t="shared" si="29"/>
        <v>1.1000000000000001</v>
      </c>
      <c r="R240" s="37"/>
      <c r="S240" s="37"/>
      <c r="T240" s="37"/>
      <c r="U240" s="37"/>
    </row>
    <row r="241" spans="1:21" ht="14.1" customHeight="1" x14ac:dyDescent="0.25">
      <c r="A241" s="61" t="s">
        <v>69</v>
      </c>
      <c r="B241" s="6">
        <v>113</v>
      </c>
      <c r="C241" s="5">
        <v>4.311331552842427</v>
      </c>
      <c r="D241" s="5"/>
      <c r="E241" s="6">
        <v>103</v>
      </c>
      <c r="F241" s="5">
        <v>4.6250561293219574</v>
      </c>
      <c r="G241" s="5"/>
      <c r="H241" s="6">
        <v>10</v>
      </c>
      <c r="I241" s="5">
        <v>3.2894736842105261</v>
      </c>
      <c r="J241" s="5"/>
      <c r="K241" s="3" t="s">
        <v>96</v>
      </c>
      <c r="L241" s="16" t="s">
        <v>96</v>
      </c>
      <c r="N241" s="37">
        <f t="shared" si="26"/>
        <v>4.3</v>
      </c>
      <c r="O241" s="37">
        <f t="shared" si="27"/>
        <v>4.5999999999999996</v>
      </c>
      <c r="P241" s="37">
        <f t="shared" si="28"/>
        <v>3.3</v>
      </c>
      <c r="Q241" s="37" t="e">
        <f t="shared" si="29"/>
        <v>#VALUE!</v>
      </c>
      <c r="R241" s="37"/>
      <c r="S241" s="37"/>
      <c r="T241" s="37"/>
      <c r="U241" s="37"/>
    </row>
    <row r="242" spans="1:21" ht="14.1" customHeight="1" x14ac:dyDescent="0.25">
      <c r="A242" s="61" t="s">
        <v>35</v>
      </c>
      <c r="B242" s="6">
        <v>71</v>
      </c>
      <c r="C242" s="5">
        <v>2.708889736741702</v>
      </c>
      <c r="D242" s="5"/>
      <c r="E242" s="6">
        <v>61</v>
      </c>
      <c r="F242" s="5">
        <v>2.7391109115401888</v>
      </c>
      <c r="G242" s="5"/>
      <c r="H242" s="6">
        <v>9</v>
      </c>
      <c r="I242" s="5">
        <v>2.9605263157894735</v>
      </c>
      <c r="J242" s="5"/>
      <c r="K242" s="6">
        <v>1</v>
      </c>
      <c r="L242" s="5">
        <v>1.1111111111111112</v>
      </c>
      <c r="N242" s="37">
        <f t="shared" si="26"/>
        <v>2.7</v>
      </c>
      <c r="O242" s="37">
        <f t="shared" si="27"/>
        <v>2.7</v>
      </c>
      <c r="P242" s="37">
        <f t="shared" si="28"/>
        <v>3</v>
      </c>
      <c r="Q242" s="37">
        <f t="shared" si="29"/>
        <v>1.1000000000000001</v>
      </c>
      <c r="R242" s="37"/>
      <c r="S242" s="37"/>
      <c r="T242" s="37"/>
      <c r="U242" s="37"/>
    </row>
    <row r="243" spans="1:21" ht="14.1" customHeight="1" x14ac:dyDescent="0.25">
      <c r="A243" s="61" t="s">
        <v>36</v>
      </c>
      <c r="B243" s="6">
        <v>399</v>
      </c>
      <c r="C243" s="5">
        <v>15.223197252956885</v>
      </c>
      <c r="D243" s="5"/>
      <c r="E243" s="6">
        <v>373</v>
      </c>
      <c r="F243" s="5">
        <v>16.748989672204758</v>
      </c>
      <c r="G243" s="5"/>
      <c r="H243" s="6">
        <v>21</v>
      </c>
      <c r="I243" s="5">
        <v>6.9078947368421062</v>
      </c>
      <c r="J243" s="5"/>
      <c r="K243" s="6">
        <v>5</v>
      </c>
      <c r="L243" s="5">
        <v>5.5555555555555554</v>
      </c>
      <c r="N243" s="37">
        <f t="shared" si="26"/>
        <v>15.2</v>
      </c>
      <c r="O243" s="37">
        <f t="shared" si="27"/>
        <v>16.7</v>
      </c>
      <c r="P243" s="37">
        <f t="shared" si="28"/>
        <v>6.9</v>
      </c>
      <c r="Q243" s="37">
        <f t="shared" si="29"/>
        <v>5.6</v>
      </c>
      <c r="R243" s="37"/>
      <c r="S243" s="37"/>
      <c r="T243" s="37"/>
      <c r="U243" s="37"/>
    </row>
    <row r="244" spans="1:21" ht="14.1" customHeight="1" x14ac:dyDescent="0.25">
      <c r="A244" s="61" t="s">
        <v>37</v>
      </c>
      <c r="B244" s="6">
        <v>221</v>
      </c>
      <c r="C244" s="5">
        <v>8.4318962228157197</v>
      </c>
      <c r="D244" s="5"/>
      <c r="E244" s="6">
        <v>199</v>
      </c>
      <c r="F244" s="5">
        <v>8.9357880556802876</v>
      </c>
      <c r="G244" s="5"/>
      <c r="H244" s="6">
        <v>20</v>
      </c>
      <c r="I244" s="5">
        <v>6.5789473684210522</v>
      </c>
      <c r="J244" s="5"/>
      <c r="K244" s="6">
        <v>2</v>
      </c>
      <c r="L244" s="5">
        <v>2.2222222222222223</v>
      </c>
      <c r="N244" s="37">
        <f t="shared" si="26"/>
        <v>8.4</v>
      </c>
      <c r="O244" s="37">
        <f t="shared" si="27"/>
        <v>8.9</v>
      </c>
      <c r="P244" s="37">
        <f t="shared" si="28"/>
        <v>6.6</v>
      </c>
      <c r="Q244" s="37">
        <f t="shared" si="29"/>
        <v>2.2000000000000002</v>
      </c>
      <c r="R244" s="37"/>
      <c r="S244" s="37"/>
      <c r="T244" s="37"/>
      <c r="U244" s="37"/>
    </row>
    <row r="245" spans="1:21" ht="14.1" customHeight="1" x14ac:dyDescent="0.25">
      <c r="A245" s="61"/>
      <c r="B245" s="6"/>
      <c r="C245" s="5"/>
      <c r="D245" s="5"/>
      <c r="E245" s="6"/>
      <c r="F245" s="5"/>
      <c r="G245" s="5"/>
      <c r="H245" s="6"/>
      <c r="I245" s="5"/>
      <c r="J245" s="5"/>
      <c r="K245" s="6"/>
      <c r="L245" s="5"/>
      <c r="N245" s="37">
        <f t="shared" si="26"/>
        <v>0</v>
      </c>
      <c r="O245" s="37">
        <f t="shared" si="27"/>
        <v>0</v>
      </c>
      <c r="P245" s="37">
        <f t="shared" si="28"/>
        <v>0</v>
      </c>
      <c r="Q245" s="37">
        <f t="shared" si="29"/>
        <v>0</v>
      </c>
      <c r="R245" s="37"/>
      <c r="S245" s="37"/>
      <c r="T245" s="37"/>
      <c r="U245" s="37"/>
    </row>
    <row r="246" spans="1:21" ht="14.1" customHeight="1" x14ac:dyDescent="0.25">
      <c r="A246" s="91" t="s">
        <v>9</v>
      </c>
      <c r="B246" s="9">
        <v>1104</v>
      </c>
      <c r="C246" s="15">
        <v>100</v>
      </c>
      <c r="D246" s="15"/>
      <c r="E246" s="9">
        <v>949</v>
      </c>
      <c r="F246" s="15">
        <v>100</v>
      </c>
      <c r="G246" s="15"/>
      <c r="H246" s="9">
        <v>128</v>
      </c>
      <c r="I246" s="15">
        <v>100</v>
      </c>
      <c r="J246" s="15"/>
      <c r="K246" s="9">
        <v>27</v>
      </c>
      <c r="L246" s="15">
        <v>100</v>
      </c>
      <c r="N246" s="37">
        <f>SUM(N247:N258)</f>
        <v>99.999999999999986</v>
      </c>
      <c r="O246" s="37">
        <f t="shared" ref="O246:Q246" si="32">SUM(O247:O258)</f>
        <v>99.999999999999972</v>
      </c>
      <c r="P246" s="37" t="e">
        <f t="shared" si="32"/>
        <v>#VALUE!</v>
      </c>
      <c r="Q246" s="37" t="e">
        <f t="shared" si="32"/>
        <v>#VALUE!</v>
      </c>
      <c r="R246" s="37"/>
      <c r="S246" s="37"/>
      <c r="T246" s="37"/>
      <c r="U246" s="37"/>
    </row>
    <row r="247" spans="1:21" ht="14.1" customHeight="1" x14ac:dyDescent="0.25">
      <c r="A247" s="61" t="s">
        <v>57</v>
      </c>
      <c r="B247" s="6">
        <v>107</v>
      </c>
      <c r="C247" s="5">
        <v>9.6920289855072461</v>
      </c>
      <c r="D247" s="5"/>
      <c r="E247" s="6">
        <v>90</v>
      </c>
      <c r="F247" s="5">
        <v>9.4836670179135929</v>
      </c>
      <c r="G247" s="5"/>
      <c r="H247" s="6">
        <v>11</v>
      </c>
      <c r="I247" s="5">
        <v>8.59375</v>
      </c>
      <c r="J247" s="5"/>
      <c r="K247" s="6">
        <v>6</v>
      </c>
      <c r="L247" s="5">
        <v>22.222222222222221</v>
      </c>
      <c r="N247" s="37">
        <f t="shared" si="26"/>
        <v>9.6999999999999993</v>
      </c>
      <c r="O247" s="37">
        <f t="shared" si="27"/>
        <v>9.5</v>
      </c>
      <c r="P247" s="37">
        <f t="shared" si="28"/>
        <v>8.6</v>
      </c>
      <c r="Q247" s="37">
        <f t="shared" si="29"/>
        <v>22.2</v>
      </c>
      <c r="R247" s="37"/>
      <c r="S247" s="37"/>
      <c r="T247" s="37"/>
      <c r="U247" s="37"/>
    </row>
    <row r="248" spans="1:21" ht="14.1" customHeight="1" x14ac:dyDescent="0.25">
      <c r="A248" s="61" t="s">
        <v>29</v>
      </c>
      <c r="B248" s="6">
        <v>95</v>
      </c>
      <c r="C248" s="5">
        <v>8.6050724637681153</v>
      </c>
      <c r="D248" s="5"/>
      <c r="E248" s="6">
        <v>78</v>
      </c>
      <c r="F248" s="5">
        <v>8.2191780821917799</v>
      </c>
      <c r="G248" s="5"/>
      <c r="H248" s="6">
        <v>17</v>
      </c>
      <c r="I248" s="5">
        <v>13.28125</v>
      </c>
      <c r="J248" s="5"/>
      <c r="K248" s="3" t="s">
        <v>96</v>
      </c>
      <c r="L248" s="16" t="s">
        <v>96</v>
      </c>
      <c r="N248" s="37">
        <f t="shared" si="26"/>
        <v>8.6</v>
      </c>
      <c r="O248" s="37">
        <f t="shared" si="27"/>
        <v>8.1999999999999993</v>
      </c>
      <c r="P248" s="37">
        <f t="shared" si="28"/>
        <v>13.3</v>
      </c>
      <c r="Q248" s="37" t="e">
        <f t="shared" si="29"/>
        <v>#VALUE!</v>
      </c>
      <c r="R248" s="37"/>
      <c r="S248" s="37"/>
      <c r="T248" s="37"/>
      <c r="U248" s="37"/>
    </row>
    <row r="249" spans="1:21" ht="14.1" customHeight="1" x14ac:dyDescent="0.25">
      <c r="A249" s="61" t="s">
        <v>30</v>
      </c>
      <c r="B249" s="6">
        <v>63</v>
      </c>
      <c r="C249" s="5">
        <v>5.7065217391304346</v>
      </c>
      <c r="D249" s="5"/>
      <c r="E249" s="6">
        <v>48</v>
      </c>
      <c r="F249" s="5">
        <v>5.0579557428872501</v>
      </c>
      <c r="G249" s="5"/>
      <c r="H249" s="6">
        <v>11</v>
      </c>
      <c r="I249" s="5">
        <v>8.59375</v>
      </c>
      <c r="J249" s="5"/>
      <c r="K249" s="3">
        <v>4</v>
      </c>
      <c r="L249" s="16">
        <v>14.814814814814813</v>
      </c>
      <c r="N249" s="37">
        <f t="shared" si="26"/>
        <v>5.7</v>
      </c>
      <c r="O249" s="37">
        <f t="shared" si="27"/>
        <v>5.0999999999999996</v>
      </c>
      <c r="P249" s="37">
        <f t="shared" si="28"/>
        <v>8.6</v>
      </c>
      <c r="Q249" s="37">
        <f t="shared" si="29"/>
        <v>14.8</v>
      </c>
      <c r="R249" s="37"/>
      <c r="S249" s="37"/>
      <c r="T249" s="37"/>
      <c r="U249" s="37"/>
    </row>
    <row r="250" spans="1:21" ht="14.1" customHeight="1" x14ac:dyDescent="0.25">
      <c r="A250" s="61" t="s">
        <v>31</v>
      </c>
      <c r="B250" s="6">
        <v>5</v>
      </c>
      <c r="C250" s="5">
        <v>0.45289855072463769</v>
      </c>
      <c r="D250" s="5"/>
      <c r="E250" s="6">
        <v>4</v>
      </c>
      <c r="F250" s="5">
        <v>0.42149631190727077</v>
      </c>
      <c r="G250" s="5"/>
      <c r="H250" s="3" t="s">
        <v>96</v>
      </c>
      <c r="I250" s="3" t="s">
        <v>96</v>
      </c>
      <c r="J250" s="5"/>
      <c r="K250" s="3">
        <v>1</v>
      </c>
      <c r="L250" s="16">
        <v>3.7037037037037033</v>
      </c>
      <c r="N250" s="37">
        <f t="shared" si="26"/>
        <v>0.5</v>
      </c>
      <c r="O250" s="37">
        <f t="shared" si="27"/>
        <v>0.4</v>
      </c>
      <c r="P250" s="37" t="e">
        <f t="shared" si="28"/>
        <v>#VALUE!</v>
      </c>
      <c r="Q250" s="37">
        <f t="shared" si="29"/>
        <v>3.7</v>
      </c>
      <c r="R250" s="37"/>
      <c r="S250" s="37"/>
      <c r="T250" s="37"/>
      <c r="U250" s="37"/>
    </row>
    <row r="251" spans="1:21" ht="14.1" customHeight="1" x14ac:dyDescent="0.25">
      <c r="A251" s="61" t="s">
        <v>32</v>
      </c>
      <c r="B251" s="6">
        <v>65</v>
      </c>
      <c r="C251" s="5">
        <v>5.88768115942029</v>
      </c>
      <c r="D251" s="5"/>
      <c r="E251" s="6">
        <v>64</v>
      </c>
      <c r="F251" s="5">
        <v>6.7439409905163323</v>
      </c>
      <c r="G251" s="5"/>
      <c r="H251" s="6">
        <v>1</v>
      </c>
      <c r="I251" s="5">
        <v>0.78125</v>
      </c>
      <c r="J251" s="5"/>
      <c r="K251" s="3" t="s">
        <v>96</v>
      </c>
      <c r="L251" s="16" t="s">
        <v>96</v>
      </c>
      <c r="N251" s="37">
        <f t="shared" si="26"/>
        <v>5.9</v>
      </c>
      <c r="O251" s="37">
        <f t="shared" si="27"/>
        <v>6.7</v>
      </c>
      <c r="P251" s="37">
        <f t="shared" si="28"/>
        <v>0.8</v>
      </c>
      <c r="Q251" s="37" t="e">
        <f t="shared" si="29"/>
        <v>#VALUE!</v>
      </c>
      <c r="R251" s="37"/>
      <c r="S251" s="37"/>
      <c r="T251" s="37"/>
      <c r="U251" s="37"/>
    </row>
    <row r="252" spans="1:21" ht="14.1" customHeight="1" x14ac:dyDescent="0.25">
      <c r="A252" s="61" t="s">
        <v>33</v>
      </c>
      <c r="B252" s="6">
        <v>332</v>
      </c>
      <c r="C252" s="5">
        <v>29.97246376811594</v>
      </c>
      <c r="D252" s="5"/>
      <c r="E252" s="6">
        <v>258</v>
      </c>
      <c r="F252" s="5">
        <v>27.286512118018969</v>
      </c>
      <c r="G252" s="5"/>
      <c r="H252" s="6">
        <v>59</v>
      </c>
      <c r="I252" s="5">
        <v>45.993749999999999</v>
      </c>
      <c r="J252" s="5"/>
      <c r="K252" s="3">
        <v>15</v>
      </c>
      <c r="L252" s="16">
        <v>55.555555555555557</v>
      </c>
      <c r="N252" s="37">
        <f t="shared" si="26"/>
        <v>30</v>
      </c>
      <c r="O252" s="37">
        <f t="shared" si="27"/>
        <v>27.3</v>
      </c>
      <c r="P252" s="37">
        <f t="shared" si="28"/>
        <v>46</v>
      </c>
      <c r="Q252" s="37">
        <f t="shared" si="29"/>
        <v>55.6</v>
      </c>
      <c r="R252" s="37"/>
      <c r="S252" s="37"/>
      <c r="T252" s="37"/>
      <c r="U252" s="37"/>
    </row>
    <row r="253" spans="1:21" ht="14.1" customHeight="1" x14ac:dyDescent="0.25">
      <c r="A253" s="61" t="s">
        <v>34</v>
      </c>
      <c r="B253" s="6">
        <v>109</v>
      </c>
      <c r="C253" s="5">
        <v>9.8731884057971016</v>
      </c>
      <c r="D253" s="5"/>
      <c r="E253" s="6">
        <v>97</v>
      </c>
      <c r="F253" s="5">
        <v>10.221285563751318</v>
      </c>
      <c r="G253" s="5"/>
      <c r="H253" s="6">
        <v>11</v>
      </c>
      <c r="I253" s="5">
        <v>8.59375</v>
      </c>
      <c r="J253" s="5"/>
      <c r="K253" s="3">
        <v>1</v>
      </c>
      <c r="L253" s="16">
        <v>3.7037037037037033</v>
      </c>
      <c r="N253" s="37">
        <f t="shared" si="26"/>
        <v>9.9</v>
      </c>
      <c r="O253" s="37">
        <f t="shared" si="27"/>
        <v>10.199999999999999</v>
      </c>
      <c r="P253" s="37">
        <f t="shared" si="28"/>
        <v>8.6</v>
      </c>
      <c r="Q253" s="37">
        <f t="shared" si="29"/>
        <v>3.7</v>
      </c>
      <c r="R253" s="37"/>
      <c r="S253" s="37"/>
      <c r="T253" s="37"/>
      <c r="U253" s="37"/>
    </row>
    <row r="254" spans="1:21" ht="14.1" customHeight="1" x14ac:dyDescent="0.25">
      <c r="A254" s="61" t="s">
        <v>67</v>
      </c>
      <c r="B254" s="6">
        <v>31</v>
      </c>
      <c r="C254" s="5">
        <v>2.8079710144927534</v>
      </c>
      <c r="D254" s="5"/>
      <c r="E254" s="6">
        <v>25</v>
      </c>
      <c r="F254" s="5">
        <v>2.6343519494204428</v>
      </c>
      <c r="G254" s="5"/>
      <c r="H254" s="6">
        <v>6</v>
      </c>
      <c r="I254" s="5">
        <v>4.6875</v>
      </c>
      <c r="J254" s="5"/>
      <c r="K254" s="3" t="s">
        <v>96</v>
      </c>
      <c r="L254" s="3" t="s">
        <v>96</v>
      </c>
      <c r="N254" s="37">
        <f t="shared" si="26"/>
        <v>2.8</v>
      </c>
      <c r="O254" s="37">
        <f t="shared" si="27"/>
        <v>2.6</v>
      </c>
      <c r="P254" s="37">
        <f t="shared" si="28"/>
        <v>4.7</v>
      </c>
      <c r="Q254" s="37" t="e">
        <f t="shared" si="29"/>
        <v>#VALUE!</v>
      </c>
      <c r="R254" s="37"/>
      <c r="S254" s="37"/>
      <c r="T254" s="37"/>
      <c r="U254" s="37"/>
    </row>
    <row r="255" spans="1:21" ht="14.1" customHeight="1" x14ac:dyDescent="0.25">
      <c r="A255" s="61" t="s">
        <v>69</v>
      </c>
      <c r="B255" s="6">
        <v>23</v>
      </c>
      <c r="C255" s="5">
        <v>2.083333333333333</v>
      </c>
      <c r="D255" s="5"/>
      <c r="E255" s="6">
        <v>20</v>
      </c>
      <c r="F255" s="5">
        <v>2.1074815595363541</v>
      </c>
      <c r="G255" s="5"/>
      <c r="H255" s="6">
        <v>3</v>
      </c>
      <c r="I255" s="5">
        <v>2.34375</v>
      </c>
      <c r="J255" s="5"/>
      <c r="K255" s="3" t="s">
        <v>96</v>
      </c>
      <c r="L255" s="3" t="s">
        <v>96</v>
      </c>
      <c r="N255" s="37">
        <f t="shared" si="26"/>
        <v>2.1</v>
      </c>
      <c r="O255" s="37">
        <f t="shared" si="27"/>
        <v>2.1</v>
      </c>
      <c r="P255" s="37">
        <f t="shared" si="28"/>
        <v>2.2999999999999998</v>
      </c>
      <c r="Q255" s="37" t="e">
        <f t="shared" si="29"/>
        <v>#VALUE!</v>
      </c>
      <c r="R255" s="37"/>
      <c r="S255" s="37"/>
      <c r="T255" s="37"/>
      <c r="U255" s="37"/>
    </row>
    <row r="256" spans="1:21" ht="14.1" customHeight="1" x14ac:dyDescent="0.25">
      <c r="A256" s="61" t="s">
        <v>35</v>
      </c>
      <c r="B256" s="6">
        <v>29</v>
      </c>
      <c r="C256" s="5">
        <v>2.6268115942028984</v>
      </c>
      <c r="D256" s="5"/>
      <c r="E256" s="6">
        <v>27</v>
      </c>
      <c r="F256" s="5">
        <v>2.8451001053740779</v>
      </c>
      <c r="G256" s="5"/>
      <c r="H256" s="6">
        <v>2</v>
      </c>
      <c r="I256" s="5">
        <v>1.5625</v>
      </c>
      <c r="J256" s="5"/>
      <c r="K256" s="3" t="s">
        <v>96</v>
      </c>
      <c r="L256" s="3" t="s">
        <v>96</v>
      </c>
      <c r="N256" s="37">
        <f t="shared" si="26"/>
        <v>2.6</v>
      </c>
      <c r="O256" s="37">
        <f t="shared" si="27"/>
        <v>2.8</v>
      </c>
      <c r="P256" s="37">
        <f t="shared" si="28"/>
        <v>1.6</v>
      </c>
      <c r="Q256" s="37" t="e">
        <f t="shared" si="29"/>
        <v>#VALUE!</v>
      </c>
      <c r="R256" s="37"/>
      <c r="S256" s="37"/>
      <c r="T256" s="37"/>
      <c r="U256" s="37"/>
    </row>
    <row r="257" spans="1:21" ht="14.1" customHeight="1" x14ac:dyDescent="0.25">
      <c r="A257" s="61" t="s">
        <v>36</v>
      </c>
      <c r="B257" s="6">
        <v>171</v>
      </c>
      <c r="C257" s="5">
        <v>15.489130434782608</v>
      </c>
      <c r="D257" s="5"/>
      <c r="E257" s="6">
        <v>166</v>
      </c>
      <c r="F257" s="5">
        <v>17.49209694415174</v>
      </c>
      <c r="G257" s="5"/>
      <c r="H257" s="6">
        <v>5</v>
      </c>
      <c r="I257" s="5">
        <v>3.90625</v>
      </c>
      <c r="J257" s="5"/>
      <c r="K257" s="3" t="s">
        <v>96</v>
      </c>
      <c r="L257" s="3" t="s">
        <v>96</v>
      </c>
      <c r="N257" s="37">
        <f t="shared" si="26"/>
        <v>15.5</v>
      </c>
      <c r="O257" s="37">
        <f t="shared" si="27"/>
        <v>17.5</v>
      </c>
      <c r="P257" s="37">
        <f t="shared" si="28"/>
        <v>3.9</v>
      </c>
      <c r="Q257" s="37" t="e">
        <f t="shared" si="29"/>
        <v>#VALUE!</v>
      </c>
      <c r="R257" s="37"/>
      <c r="S257" s="37"/>
      <c r="T257" s="37"/>
      <c r="U257" s="37"/>
    </row>
    <row r="258" spans="1:21" ht="14.1" customHeight="1" x14ac:dyDescent="0.25">
      <c r="A258" s="61" t="s">
        <v>37</v>
      </c>
      <c r="B258" s="6">
        <v>74</v>
      </c>
      <c r="C258" s="5">
        <v>6.7028985507246386</v>
      </c>
      <c r="D258" s="5"/>
      <c r="E258" s="6">
        <v>72</v>
      </c>
      <c r="F258" s="5">
        <v>7.5869336143308752</v>
      </c>
      <c r="G258" s="5"/>
      <c r="H258" s="6">
        <v>2</v>
      </c>
      <c r="I258" s="5">
        <v>1.5625</v>
      </c>
      <c r="J258" s="5"/>
      <c r="K258" s="3" t="s">
        <v>96</v>
      </c>
      <c r="L258" s="3" t="s">
        <v>96</v>
      </c>
      <c r="N258" s="37">
        <f t="shared" si="26"/>
        <v>6.7</v>
      </c>
      <c r="O258" s="37">
        <f t="shared" si="27"/>
        <v>7.6</v>
      </c>
      <c r="P258" s="37">
        <f t="shared" si="28"/>
        <v>1.6</v>
      </c>
      <c r="Q258" s="37" t="e">
        <f t="shared" si="29"/>
        <v>#VALUE!</v>
      </c>
      <c r="R258" s="37"/>
      <c r="S258" s="37"/>
      <c r="T258" s="37"/>
      <c r="U258" s="37"/>
    </row>
    <row r="259" spans="1:21" ht="14.1" customHeight="1" x14ac:dyDescent="0.25">
      <c r="A259" s="61"/>
      <c r="B259" s="6"/>
      <c r="C259" s="5"/>
      <c r="D259" s="5"/>
      <c r="E259" s="6"/>
      <c r="F259" s="5"/>
      <c r="G259" s="5"/>
      <c r="H259" s="6"/>
      <c r="I259" s="5"/>
      <c r="J259" s="5"/>
      <c r="K259" s="6"/>
      <c r="L259" s="5"/>
      <c r="N259" s="37">
        <f t="shared" si="26"/>
        <v>0</v>
      </c>
      <c r="O259" s="37">
        <f t="shared" si="27"/>
        <v>0</v>
      </c>
      <c r="P259" s="37">
        <f t="shared" si="28"/>
        <v>0</v>
      </c>
      <c r="Q259" s="37">
        <f t="shared" si="29"/>
        <v>0</v>
      </c>
      <c r="R259" s="37"/>
      <c r="S259" s="37"/>
      <c r="T259" s="37"/>
      <c r="U259" s="37"/>
    </row>
    <row r="260" spans="1:21" ht="14.1" customHeight="1" x14ac:dyDescent="0.25">
      <c r="A260" s="91" t="s">
        <v>8</v>
      </c>
      <c r="B260" s="9">
        <v>1025</v>
      </c>
      <c r="C260" s="15">
        <v>100</v>
      </c>
      <c r="D260" s="15"/>
      <c r="E260" s="9">
        <v>936</v>
      </c>
      <c r="F260" s="15">
        <v>100</v>
      </c>
      <c r="G260" s="15"/>
      <c r="H260" s="9">
        <v>77</v>
      </c>
      <c r="I260" s="15">
        <v>100</v>
      </c>
      <c r="J260" s="15"/>
      <c r="K260" s="9">
        <v>12</v>
      </c>
      <c r="L260" s="15">
        <v>100</v>
      </c>
      <c r="N260" s="37">
        <f>SUM(N261:N272)</f>
        <v>100</v>
      </c>
      <c r="O260" s="37">
        <f t="shared" ref="O260:Q260" si="33">SUM(O261:O272)</f>
        <v>100</v>
      </c>
      <c r="P260" s="37">
        <f t="shared" si="33"/>
        <v>100</v>
      </c>
      <c r="Q260" s="37" t="e">
        <f t="shared" si="33"/>
        <v>#VALUE!</v>
      </c>
      <c r="R260" s="37"/>
      <c r="S260" s="37"/>
      <c r="T260" s="37"/>
      <c r="U260" s="37"/>
    </row>
    <row r="261" spans="1:21" ht="14.1" customHeight="1" x14ac:dyDescent="0.25">
      <c r="A261" s="61" t="s">
        <v>57</v>
      </c>
      <c r="B261" s="6">
        <v>12</v>
      </c>
      <c r="C261" s="5">
        <v>1.1707317073170731</v>
      </c>
      <c r="D261" s="5"/>
      <c r="E261" s="6">
        <v>9</v>
      </c>
      <c r="F261" s="5">
        <v>0.96153846153846156</v>
      </c>
      <c r="G261" s="5"/>
      <c r="H261" s="6">
        <v>2</v>
      </c>
      <c r="I261" s="5">
        <v>2.5974025974025974</v>
      </c>
      <c r="J261" s="5"/>
      <c r="K261" s="6">
        <v>1</v>
      </c>
      <c r="L261" s="5">
        <v>8.3333333333333321</v>
      </c>
      <c r="N261" s="37">
        <f t="shared" si="26"/>
        <v>1.2</v>
      </c>
      <c r="O261" s="37">
        <f t="shared" si="27"/>
        <v>1</v>
      </c>
      <c r="P261" s="37">
        <f t="shared" si="28"/>
        <v>2.6</v>
      </c>
      <c r="Q261" s="37">
        <f t="shared" si="29"/>
        <v>8.3000000000000007</v>
      </c>
      <c r="R261" s="37"/>
      <c r="S261" s="37"/>
      <c r="T261" s="37"/>
      <c r="U261" s="37"/>
    </row>
    <row r="262" spans="1:21" ht="14.1" customHeight="1" x14ac:dyDescent="0.25">
      <c r="A262" s="61" t="s">
        <v>29</v>
      </c>
      <c r="B262" s="6">
        <v>20</v>
      </c>
      <c r="C262" s="5">
        <v>1.9512195121951219</v>
      </c>
      <c r="D262" s="5"/>
      <c r="E262" s="6">
        <v>17</v>
      </c>
      <c r="F262" s="5">
        <v>1.8162393162393164</v>
      </c>
      <c r="G262" s="5"/>
      <c r="H262" s="6">
        <v>3</v>
      </c>
      <c r="I262" s="5">
        <v>3.8961038961038961</v>
      </c>
      <c r="J262" s="5"/>
      <c r="K262" s="3" t="s">
        <v>96</v>
      </c>
      <c r="L262" s="16" t="s">
        <v>96</v>
      </c>
      <c r="N262" s="37">
        <f t="shared" si="26"/>
        <v>2</v>
      </c>
      <c r="O262" s="37">
        <f t="shared" si="27"/>
        <v>1.8</v>
      </c>
      <c r="P262" s="37">
        <f t="shared" si="28"/>
        <v>3.9</v>
      </c>
      <c r="Q262" s="37" t="e">
        <f t="shared" si="29"/>
        <v>#VALUE!</v>
      </c>
      <c r="R262" s="37"/>
      <c r="S262" s="37"/>
      <c r="T262" s="37"/>
      <c r="U262" s="37"/>
    </row>
    <row r="263" spans="1:21" ht="14.1" customHeight="1" x14ac:dyDescent="0.25">
      <c r="A263" s="61" t="s">
        <v>30</v>
      </c>
      <c r="B263" s="6">
        <v>106</v>
      </c>
      <c r="C263" s="5">
        <v>10.341463414634147</v>
      </c>
      <c r="D263" s="5"/>
      <c r="E263" s="6">
        <v>98</v>
      </c>
      <c r="F263" s="5">
        <v>10.47008547008547</v>
      </c>
      <c r="G263" s="5"/>
      <c r="H263" s="6">
        <v>8</v>
      </c>
      <c r="I263" s="5">
        <v>10.38961038961039</v>
      </c>
      <c r="J263" s="5"/>
      <c r="K263" s="3" t="s">
        <v>96</v>
      </c>
      <c r="L263" s="16" t="s">
        <v>96</v>
      </c>
      <c r="N263" s="37">
        <f t="shared" si="26"/>
        <v>10.3</v>
      </c>
      <c r="O263" s="37">
        <f t="shared" si="27"/>
        <v>10.5</v>
      </c>
      <c r="P263" s="37">
        <f t="shared" si="28"/>
        <v>10.4</v>
      </c>
      <c r="Q263" s="37" t="e">
        <f t="shared" si="29"/>
        <v>#VALUE!</v>
      </c>
      <c r="R263" s="37"/>
      <c r="S263" s="37"/>
      <c r="T263" s="37"/>
      <c r="U263" s="37"/>
    </row>
    <row r="264" spans="1:21" ht="14.1" customHeight="1" x14ac:dyDescent="0.25">
      <c r="A264" s="61" t="s">
        <v>31</v>
      </c>
      <c r="B264" s="6">
        <v>10</v>
      </c>
      <c r="C264" s="5">
        <v>0.97560975609756095</v>
      </c>
      <c r="D264" s="5"/>
      <c r="E264" s="6">
        <v>7</v>
      </c>
      <c r="F264" s="5">
        <v>0.74786324786324787</v>
      </c>
      <c r="G264" s="5"/>
      <c r="H264" s="6">
        <v>1</v>
      </c>
      <c r="I264" s="5">
        <v>1.2987012987012987</v>
      </c>
      <c r="J264" s="5"/>
      <c r="K264" s="3">
        <v>2</v>
      </c>
      <c r="L264" s="16">
        <v>16.666666666666664</v>
      </c>
      <c r="N264" s="37">
        <f t="shared" si="26"/>
        <v>1</v>
      </c>
      <c r="O264" s="37">
        <f t="shared" si="27"/>
        <v>0.7</v>
      </c>
      <c r="P264" s="37">
        <f t="shared" si="28"/>
        <v>1.3</v>
      </c>
      <c r="Q264" s="37">
        <f t="shared" si="29"/>
        <v>16.7</v>
      </c>
      <c r="R264" s="37"/>
      <c r="S264" s="37"/>
      <c r="T264" s="37"/>
      <c r="U264" s="37"/>
    </row>
    <row r="265" spans="1:21" ht="14.1" customHeight="1" x14ac:dyDescent="0.25">
      <c r="A265" s="61" t="s">
        <v>32</v>
      </c>
      <c r="B265" s="6">
        <v>109</v>
      </c>
      <c r="C265" s="5">
        <v>10.634146341463415</v>
      </c>
      <c r="D265" s="5"/>
      <c r="E265" s="6">
        <v>98</v>
      </c>
      <c r="F265" s="5">
        <v>10.47008547008547</v>
      </c>
      <c r="G265" s="5"/>
      <c r="H265" s="6">
        <v>7</v>
      </c>
      <c r="I265" s="5">
        <v>9.0909090909090917</v>
      </c>
      <c r="J265" s="5"/>
      <c r="K265" s="3">
        <v>4</v>
      </c>
      <c r="L265" s="16">
        <v>33.43333333333333</v>
      </c>
      <c r="N265" s="37">
        <f t="shared" si="26"/>
        <v>10.6</v>
      </c>
      <c r="O265" s="37">
        <f t="shared" si="27"/>
        <v>10.5</v>
      </c>
      <c r="P265" s="37">
        <f t="shared" si="28"/>
        <v>9.1</v>
      </c>
      <c r="Q265" s="37">
        <f t="shared" si="29"/>
        <v>33.4</v>
      </c>
      <c r="R265" s="37"/>
      <c r="S265" s="37"/>
      <c r="T265" s="37"/>
      <c r="U265" s="37"/>
    </row>
    <row r="266" spans="1:21" ht="14.1" customHeight="1" x14ac:dyDescent="0.25">
      <c r="A266" s="61" t="s">
        <v>33</v>
      </c>
      <c r="B266" s="6">
        <v>201</v>
      </c>
      <c r="C266" s="5">
        <v>19.609756097560975</v>
      </c>
      <c r="D266" s="5"/>
      <c r="E266" s="6">
        <v>173</v>
      </c>
      <c r="F266" s="5">
        <v>18.482905982905983</v>
      </c>
      <c r="G266" s="5"/>
      <c r="H266" s="6">
        <v>26</v>
      </c>
      <c r="I266" s="5">
        <v>33.666233766233766</v>
      </c>
      <c r="J266" s="5"/>
      <c r="K266" s="3">
        <v>2</v>
      </c>
      <c r="L266" s="16">
        <v>16.666666666666664</v>
      </c>
      <c r="N266" s="37">
        <f t="shared" si="26"/>
        <v>19.600000000000001</v>
      </c>
      <c r="O266" s="37">
        <f t="shared" si="27"/>
        <v>18.5</v>
      </c>
      <c r="P266" s="37">
        <f t="shared" si="28"/>
        <v>33.700000000000003</v>
      </c>
      <c r="Q266" s="37">
        <f t="shared" si="29"/>
        <v>16.7</v>
      </c>
      <c r="R266" s="37"/>
      <c r="S266" s="37"/>
      <c r="T266" s="37"/>
      <c r="U266" s="37"/>
    </row>
    <row r="267" spans="1:21" ht="14.1" customHeight="1" x14ac:dyDescent="0.25">
      <c r="A267" s="61" t="s">
        <v>34</v>
      </c>
      <c r="B267" s="6">
        <v>117</v>
      </c>
      <c r="C267" s="5">
        <v>11.414634146341465</v>
      </c>
      <c r="D267" s="5"/>
      <c r="E267" s="6">
        <v>109</v>
      </c>
      <c r="F267" s="5">
        <v>11.645299145299145</v>
      </c>
      <c r="G267" s="5"/>
      <c r="H267" s="6">
        <v>7</v>
      </c>
      <c r="I267" s="5">
        <v>9.0909090909090917</v>
      </c>
      <c r="J267" s="5"/>
      <c r="K267" s="3">
        <v>1</v>
      </c>
      <c r="L267" s="16">
        <v>8.3333333333333321</v>
      </c>
      <c r="N267" s="37">
        <f t="shared" si="26"/>
        <v>11.4</v>
      </c>
      <c r="O267" s="37">
        <f t="shared" si="27"/>
        <v>11.6</v>
      </c>
      <c r="P267" s="37">
        <f t="shared" si="28"/>
        <v>9.1</v>
      </c>
      <c r="Q267" s="37">
        <f t="shared" si="29"/>
        <v>8.3000000000000007</v>
      </c>
      <c r="R267" s="37"/>
      <c r="S267" s="37"/>
      <c r="T267" s="37"/>
      <c r="U267" s="37"/>
    </row>
    <row r="268" spans="1:21" ht="14.1" customHeight="1" x14ac:dyDescent="0.25">
      <c r="A268" s="61" t="s">
        <v>67</v>
      </c>
      <c r="B268" s="6">
        <v>20</v>
      </c>
      <c r="C268" s="5">
        <v>1.9512195121951219</v>
      </c>
      <c r="D268" s="5"/>
      <c r="E268" s="6">
        <v>17</v>
      </c>
      <c r="F268" s="5">
        <v>1.8162393162393164</v>
      </c>
      <c r="G268" s="5"/>
      <c r="H268" s="6">
        <v>3</v>
      </c>
      <c r="I268" s="5">
        <v>3.8961038961038961</v>
      </c>
      <c r="J268" s="5"/>
      <c r="K268" s="3" t="s">
        <v>96</v>
      </c>
      <c r="L268" s="16" t="s">
        <v>96</v>
      </c>
      <c r="N268" s="37">
        <f t="shared" si="26"/>
        <v>2</v>
      </c>
      <c r="O268" s="37">
        <f t="shared" si="27"/>
        <v>1.8</v>
      </c>
      <c r="P268" s="37">
        <f t="shared" si="28"/>
        <v>3.9</v>
      </c>
      <c r="Q268" s="37" t="e">
        <f t="shared" si="29"/>
        <v>#VALUE!</v>
      </c>
      <c r="R268" s="37"/>
      <c r="S268" s="37"/>
      <c r="T268" s="37"/>
      <c r="U268" s="37"/>
    </row>
    <row r="269" spans="1:21" ht="14.1" customHeight="1" x14ac:dyDescent="0.25">
      <c r="A269" s="61" t="s">
        <v>69</v>
      </c>
      <c r="B269" s="6">
        <v>42</v>
      </c>
      <c r="C269" s="5">
        <v>4.0975609756097562</v>
      </c>
      <c r="D269" s="5"/>
      <c r="E269" s="6">
        <v>39</v>
      </c>
      <c r="F269" s="5">
        <v>4.1666666666666661</v>
      </c>
      <c r="G269" s="5"/>
      <c r="H269" s="6">
        <v>3</v>
      </c>
      <c r="I269" s="5">
        <v>3.8961038961038961</v>
      </c>
      <c r="J269" s="5"/>
      <c r="K269" s="3" t="s">
        <v>96</v>
      </c>
      <c r="L269" s="16" t="s">
        <v>96</v>
      </c>
      <c r="N269" s="37">
        <f t="shared" si="26"/>
        <v>4.0999999999999996</v>
      </c>
      <c r="O269" s="37">
        <f t="shared" si="27"/>
        <v>4.2</v>
      </c>
      <c r="P269" s="37">
        <f t="shared" si="28"/>
        <v>3.9</v>
      </c>
      <c r="Q269" s="37" t="e">
        <f t="shared" si="29"/>
        <v>#VALUE!</v>
      </c>
      <c r="R269" s="37"/>
      <c r="S269" s="37"/>
      <c r="T269" s="37"/>
      <c r="U269" s="37"/>
    </row>
    <row r="270" spans="1:21" ht="14.1" customHeight="1" x14ac:dyDescent="0.25">
      <c r="A270" s="61" t="s">
        <v>35</v>
      </c>
      <c r="B270" s="6">
        <v>21</v>
      </c>
      <c r="C270" s="5">
        <v>2.0487804878048781</v>
      </c>
      <c r="D270" s="5"/>
      <c r="E270" s="6">
        <v>20</v>
      </c>
      <c r="F270" s="5">
        <v>2.1367521367521367</v>
      </c>
      <c r="G270" s="5"/>
      <c r="H270" s="6">
        <v>1</v>
      </c>
      <c r="I270" s="5">
        <v>1.2987012987012987</v>
      </c>
      <c r="J270" s="5"/>
      <c r="K270" s="3" t="s">
        <v>96</v>
      </c>
      <c r="L270" s="16" t="s">
        <v>96</v>
      </c>
      <c r="N270" s="37">
        <f t="shared" si="26"/>
        <v>2</v>
      </c>
      <c r="O270" s="37">
        <f t="shared" si="27"/>
        <v>2.1</v>
      </c>
      <c r="P270" s="37">
        <f t="shared" si="28"/>
        <v>1.3</v>
      </c>
      <c r="Q270" s="37" t="e">
        <f t="shared" si="29"/>
        <v>#VALUE!</v>
      </c>
      <c r="R270" s="37"/>
      <c r="S270" s="37"/>
      <c r="T270" s="37"/>
      <c r="U270" s="37"/>
    </row>
    <row r="271" spans="1:21" ht="14.1" customHeight="1" x14ac:dyDescent="0.25">
      <c r="A271" s="61" t="s">
        <v>36</v>
      </c>
      <c r="B271" s="6">
        <v>254</v>
      </c>
      <c r="C271" s="5">
        <v>24.780487804878049</v>
      </c>
      <c r="D271" s="5"/>
      <c r="E271" s="6">
        <v>239</v>
      </c>
      <c r="F271" s="5">
        <v>25.534188034188034</v>
      </c>
      <c r="G271" s="5"/>
      <c r="H271" s="6">
        <v>14</v>
      </c>
      <c r="I271" s="5">
        <v>18.181818181818183</v>
      </c>
      <c r="J271" s="5"/>
      <c r="K271" s="6">
        <v>1</v>
      </c>
      <c r="L271" s="5">
        <v>8.3333333333333321</v>
      </c>
      <c r="N271" s="37">
        <f t="shared" si="26"/>
        <v>24.8</v>
      </c>
      <c r="O271" s="37">
        <f t="shared" si="27"/>
        <v>25.5</v>
      </c>
      <c r="P271" s="37">
        <f t="shared" si="28"/>
        <v>18.2</v>
      </c>
      <c r="Q271" s="37">
        <f t="shared" si="29"/>
        <v>8.3000000000000007</v>
      </c>
      <c r="R271" s="37"/>
      <c r="S271" s="37"/>
      <c r="T271" s="37"/>
      <c r="U271" s="37"/>
    </row>
    <row r="272" spans="1:21" ht="14.1" customHeight="1" x14ac:dyDescent="0.25">
      <c r="A272" s="61" t="s">
        <v>37</v>
      </c>
      <c r="B272" s="6">
        <v>113</v>
      </c>
      <c r="C272" s="5">
        <v>11.02439024390244</v>
      </c>
      <c r="D272" s="5"/>
      <c r="E272" s="6">
        <v>110</v>
      </c>
      <c r="F272" s="5">
        <v>11.752136752136751</v>
      </c>
      <c r="G272" s="5"/>
      <c r="H272" s="6">
        <v>2</v>
      </c>
      <c r="I272" s="5">
        <v>2.5974025974025974</v>
      </c>
      <c r="J272" s="5"/>
      <c r="K272" s="6">
        <v>1</v>
      </c>
      <c r="L272" s="5">
        <v>8.3333333333333321</v>
      </c>
      <c r="N272" s="37">
        <f t="shared" si="26"/>
        <v>11</v>
      </c>
      <c r="O272" s="37">
        <f t="shared" si="27"/>
        <v>11.8</v>
      </c>
      <c r="P272" s="37">
        <f t="shared" si="28"/>
        <v>2.6</v>
      </c>
      <c r="Q272" s="37">
        <f t="shared" si="29"/>
        <v>8.3000000000000007</v>
      </c>
      <c r="R272" s="37"/>
      <c r="S272" s="37"/>
      <c r="T272" s="37"/>
      <c r="U272" s="37"/>
    </row>
    <row r="273" spans="1:21" ht="14.1" customHeight="1" x14ac:dyDescent="0.25">
      <c r="A273" s="61"/>
      <c r="B273" s="6"/>
      <c r="C273" s="5"/>
      <c r="D273" s="5"/>
      <c r="E273" s="6"/>
      <c r="F273" s="5"/>
      <c r="G273" s="5"/>
      <c r="H273" s="6"/>
      <c r="I273" s="5"/>
      <c r="J273" s="5"/>
      <c r="K273" s="6"/>
      <c r="L273" s="5"/>
      <c r="N273" s="37">
        <f t="shared" si="26"/>
        <v>0</v>
      </c>
      <c r="O273" s="37">
        <f t="shared" si="27"/>
        <v>0</v>
      </c>
      <c r="P273" s="37">
        <f t="shared" si="28"/>
        <v>0</v>
      </c>
      <c r="Q273" s="37">
        <f t="shared" si="29"/>
        <v>0</v>
      </c>
      <c r="R273" s="37"/>
      <c r="S273" s="37"/>
      <c r="T273" s="37"/>
      <c r="U273" s="37"/>
    </row>
    <row r="274" spans="1:21" ht="14.1" customHeight="1" x14ac:dyDescent="0.25">
      <c r="A274" s="91" t="s">
        <v>7</v>
      </c>
      <c r="B274" s="9">
        <v>1913</v>
      </c>
      <c r="C274" s="15">
        <v>100</v>
      </c>
      <c r="D274" s="15"/>
      <c r="E274" s="9">
        <v>1786</v>
      </c>
      <c r="F274" s="15">
        <v>100</v>
      </c>
      <c r="G274" s="15"/>
      <c r="H274" s="9">
        <v>116</v>
      </c>
      <c r="I274" s="15">
        <v>100</v>
      </c>
      <c r="J274" s="15"/>
      <c r="K274" s="9">
        <v>11</v>
      </c>
      <c r="L274" s="15">
        <v>100</v>
      </c>
      <c r="N274" s="37">
        <f>SUM(N275:N286)</f>
        <v>100</v>
      </c>
      <c r="O274" s="37">
        <f t="shared" ref="O274:Q274" si="34">SUM(O275:O286)</f>
        <v>99.999999999999986</v>
      </c>
      <c r="P274" s="37" t="e">
        <f t="shared" si="34"/>
        <v>#VALUE!</v>
      </c>
      <c r="Q274" s="37" t="e">
        <f t="shared" si="34"/>
        <v>#VALUE!</v>
      </c>
      <c r="R274" s="37"/>
      <c r="S274" s="37"/>
      <c r="T274" s="37"/>
      <c r="U274" s="37"/>
    </row>
    <row r="275" spans="1:21" ht="14.1" customHeight="1" x14ac:dyDescent="0.25">
      <c r="A275" s="61" t="s">
        <v>57</v>
      </c>
      <c r="B275" s="6">
        <v>82</v>
      </c>
      <c r="C275" s="5">
        <v>4.2864610559330893</v>
      </c>
      <c r="D275" s="5"/>
      <c r="E275" s="6">
        <v>75</v>
      </c>
      <c r="F275" s="5">
        <v>4.1993281075027999</v>
      </c>
      <c r="G275" s="5"/>
      <c r="H275" s="6">
        <v>6</v>
      </c>
      <c r="I275" s="5">
        <v>5.1724137931034484</v>
      </c>
      <c r="J275" s="5"/>
      <c r="K275" s="6">
        <v>1</v>
      </c>
      <c r="L275" s="5">
        <v>9.0909090909090917</v>
      </c>
      <c r="N275" s="37">
        <f t="shared" si="26"/>
        <v>4.3</v>
      </c>
      <c r="O275" s="37">
        <f t="shared" si="27"/>
        <v>4.2</v>
      </c>
      <c r="P275" s="37">
        <f t="shared" si="28"/>
        <v>5.2</v>
      </c>
      <c r="Q275" s="37">
        <f t="shared" si="29"/>
        <v>9.1</v>
      </c>
      <c r="R275" s="37"/>
      <c r="S275" s="37"/>
      <c r="T275" s="37"/>
      <c r="U275" s="37"/>
    </row>
    <row r="276" spans="1:21" ht="14.1" customHeight="1" x14ac:dyDescent="0.25">
      <c r="A276" s="61" t="s">
        <v>29</v>
      </c>
      <c r="B276" s="6">
        <v>42</v>
      </c>
      <c r="C276" s="5">
        <v>2.1955044432828021</v>
      </c>
      <c r="D276" s="5"/>
      <c r="E276" s="6">
        <v>42</v>
      </c>
      <c r="F276" s="5">
        <v>2.3516237402015676</v>
      </c>
      <c r="G276" s="5"/>
      <c r="H276" s="3" t="s">
        <v>96</v>
      </c>
      <c r="I276" s="16" t="s">
        <v>96</v>
      </c>
      <c r="J276" s="5"/>
      <c r="K276" s="3" t="s">
        <v>96</v>
      </c>
      <c r="L276" s="16" t="s">
        <v>96</v>
      </c>
      <c r="N276" s="37">
        <f t="shared" si="26"/>
        <v>2.2000000000000002</v>
      </c>
      <c r="O276" s="37">
        <f t="shared" si="27"/>
        <v>2.4</v>
      </c>
      <c r="P276" s="37" t="e">
        <f t="shared" si="28"/>
        <v>#VALUE!</v>
      </c>
      <c r="Q276" s="37" t="e">
        <f t="shared" si="29"/>
        <v>#VALUE!</v>
      </c>
      <c r="R276" s="37"/>
      <c r="S276" s="37"/>
      <c r="T276" s="37"/>
      <c r="U276" s="37"/>
    </row>
    <row r="277" spans="1:21" ht="14.1" customHeight="1" x14ac:dyDescent="0.25">
      <c r="A277" s="61" t="s">
        <v>30</v>
      </c>
      <c r="B277" s="6">
        <v>85</v>
      </c>
      <c r="C277" s="5">
        <v>4.4432828018818604</v>
      </c>
      <c r="D277" s="5"/>
      <c r="E277" s="6">
        <v>69</v>
      </c>
      <c r="F277" s="5">
        <v>3.8633818589025761</v>
      </c>
      <c r="G277" s="5"/>
      <c r="H277" s="3">
        <v>14</v>
      </c>
      <c r="I277" s="16">
        <v>12.068965517241379</v>
      </c>
      <c r="J277" s="5"/>
      <c r="K277" s="3">
        <v>2</v>
      </c>
      <c r="L277" s="16">
        <v>18.181818181818183</v>
      </c>
      <c r="N277" s="37">
        <f t="shared" si="26"/>
        <v>4.4000000000000004</v>
      </c>
      <c r="O277" s="37">
        <f t="shared" si="27"/>
        <v>3.9</v>
      </c>
      <c r="P277" s="37">
        <f t="shared" si="28"/>
        <v>12.1</v>
      </c>
      <c r="Q277" s="37">
        <f t="shared" si="29"/>
        <v>18.2</v>
      </c>
      <c r="R277" s="37"/>
      <c r="S277" s="37"/>
      <c r="T277" s="37"/>
      <c r="U277" s="37"/>
    </row>
    <row r="278" spans="1:21" ht="14.1" customHeight="1" x14ac:dyDescent="0.25">
      <c r="A278" s="61" t="s">
        <v>31</v>
      </c>
      <c r="B278" s="6">
        <v>8</v>
      </c>
      <c r="C278" s="5">
        <v>0.41819132253005747</v>
      </c>
      <c r="D278" s="5"/>
      <c r="E278" s="6">
        <v>7</v>
      </c>
      <c r="F278" s="5">
        <v>0.39193729003359462</v>
      </c>
      <c r="G278" s="5"/>
      <c r="H278" s="3">
        <v>1</v>
      </c>
      <c r="I278" s="16">
        <v>0.86206896551724133</v>
      </c>
      <c r="J278" s="5"/>
      <c r="K278" s="3" t="s">
        <v>96</v>
      </c>
      <c r="L278" s="16" t="s">
        <v>96</v>
      </c>
      <c r="N278" s="37">
        <f t="shared" si="26"/>
        <v>0.4</v>
      </c>
      <c r="O278" s="37">
        <f t="shared" si="27"/>
        <v>0.4</v>
      </c>
      <c r="P278" s="37">
        <f t="shared" si="28"/>
        <v>0.9</v>
      </c>
      <c r="Q278" s="37" t="e">
        <f t="shared" si="29"/>
        <v>#VALUE!</v>
      </c>
      <c r="R278" s="37"/>
      <c r="S278" s="37"/>
      <c r="T278" s="37"/>
      <c r="U278" s="37"/>
    </row>
    <row r="279" spans="1:21" ht="14.1" customHeight="1" x14ac:dyDescent="0.25">
      <c r="A279" s="61" t="s">
        <v>32</v>
      </c>
      <c r="B279" s="6">
        <v>531</v>
      </c>
      <c r="C279" s="5">
        <v>27.75744903293257</v>
      </c>
      <c r="D279" s="5"/>
      <c r="E279" s="6">
        <v>513</v>
      </c>
      <c r="F279" s="5">
        <v>28.723404255319153</v>
      </c>
      <c r="G279" s="5"/>
      <c r="H279" s="3">
        <v>17</v>
      </c>
      <c r="I279" s="16">
        <v>14.655172413793101</v>
      </c>
      <c r="J279" s="5"/>
      <c r="K279" s="3">
        <v>1</v>
      </c>
      <c r="L279" s="16">
        <v>9.0909090909090917</v>
      </c>
      <c r="N279" s="37">
        <f t="shared" si="26"/>
        <v>27.8</v>
      </c>
      <c r="O279" s="37">
        <f t="shared" si="27"/>
        <v>28.7</v>
      </c>
      <c r="P279" s="37">
        <f t="shared" si="28"/>
        <v>14.7</v>
      </c>
      <c r="Q279" s="37">
        <f t="shared" si="29"/>
        <v>9.1</v>
      </c>
      <c r="R279" s="37"/>
      <c r="S279" s="37"/>
      <c r="T279" s="37"/>
      <c r="U279" s="37"/>
    </row>
    <row r="280" spans="1:21" ht="14.1" customHeight="1" x14ac:dyDescent="0.25">
      <c r="A280" s="61" t="s">
        <v>33</v>
      </c>
      <c r="B280" s="6">
        <v>419</v>
      </c>
      <c r="C280" s="5">
        <v>21.902770517511762</v>
      </c>
      <c r="D280" s="5"/>
      <c r="E280" s="6">
        <v>370</v>
      </c>
      <c r="F280" s="5">
        <v>20.716685330347147</v>
      </c>
      <c r="G280" s="5"/>
      <c r="H280" s="3">
        <v>45</v>
      </c>
      <c r="I280" s="16">
        <v>38.593103448275862</v>
      </c>
      <c r="J280" s="5"/>
      <c r="K280" s="3">
        <v>4</v>
      </c>
      <c r="L280" s="16">
        <v>36.263636363636365</v>
      </c>
      <c r="N280" s="37">
        <f t="shared" ref="N280:N343" si="35">ROUND(C280,1)</f>
        <v>21.9</v>
      </c>
      <c r="O280" s="37">
        <f t="shared" ref="O280:O343" si="36">ROUND(F280,1)</f>
        <v>20.7</v>
      </c>
      <c r="P280" s="37">
        <f t="shared" ref="P280:P343" si="37">ROUND(I280,1)</f>
        <v>38.6</v>
      </c>
      <c r="Q280" s="37">
        <f t="shared" ref="Q280:Q343" si="38">ROUND(L280,1)</f>
        <v>36.299999999999997</v>
      </c>
      <c r="R280" s="37"/>
      <c r="S280" s="37"/>
      <c r="T280" s="37"/>
      <c r="U280" s="37"/>
    </row>
    <row r="281" spans="1:21" ht="14.1" customHeight="1" x14ac:dyDescent="0.25">
      <c r="A281" s="61" t="s">
        <v>34</v>
      </c>
      <c r="B281" s="6">
        <v>273</v>
      </c>
      <c r="C281" s="5">
        <v>14.270778881338211</v>
      </c>
      <c r="D281" s="5"/>
      <c r="E281" s="6">
        <v>254</v>
      </c>
      <c r="F281" s="5">
        <v>14.221724524076148</v>
      </c>
      <c r="G281" s="5"/>
      <c r="H281" s="3">
        <v>17</v>
      </c>
      <c r="I281" s="16">
        <v>14.655172413793101</v>
      </c>
      <c r="J281" s="5"/>
      <c r="K281" s="3">
        <v>2</v>
      </c>
      <c r="L281" s="16">
        <v>18.181818181818183</v>
      </c>
      <c r="N281" s="37">
        <f t="shared" si="35"/>
        <v>14.3</v>
      </c>
      <c r="O281" s="37">
        <f t="shared" si="36"/>
        <v>14.2</v>
      </c>
      <c r="P281" s="37">
        <f t="shared" si="37"/>
        <v>14.7</v>
      </c>
      <c r="Q281" s="37">
        <f t="shared" si="38"/>
        <v>18.2</v>
      </c>
      <c r="R281" s="37"/>
      <c r="S281" s="37"/>
      <c r="T281" s="37"/>
      <c r="U281" s="37"/>
    </row>
    <row r="282" spans="1:21" ht="14.1" customHeight="1" x14ac:dyDescent="0.25">
      <c r="A282" s="61" t="s">
        <v>67</v>
      </c>
      <c r="B282" s="6">
        <v>20</v>
      </c>
      <c r="C282" s="5">
        <v>1.0454783063251438</v>
      </c>
      <c r="D282" s="5"/>
      <c r="E282" s="6">
        <v>20</v>
      </c>
      <c r="F282" s="5">
        <v>1.1198208286674132</v>
      </c>
      <c r="G282" s="5"/>
      <c r="H282" s="3" t="s">
        <v>96</v>
      </c>
      <c r="I282" s="16" t="s">
        <v>96</v>
      </c>
      <c r="J282" s="5"/>
      <c r="K282" s="3" t="s">
        <v>96</v>
      </c>
      <c r="L282" s="16" t="s">
        <v>96</v>
      </c>
      <c r="N282" s="37">
        <f t="shared" si="35"/>
        <v>1</v>
      </c>
      <c r="O282" s="37">
        <f t="shared" si="36"/>
        <v>1.1000000000000001</v>
      </c>
      <c r="P282" s="37" t="e">
        <f t="shared" si="37"/>
        <v>#VALUE!</v>
      </c>
      <c r="Q282" s="37" t="e">
        <f t="shared" si="38"/>
        <v>#VALUE!</v>
      </c>
      <c r="R282" s="37"/>
      <c r="S282" s="37"/>
      <c r="T282" s="37"/>
      <c r="U282" s="37"/>
    </row>
    <row r="283" spans="1:21" ht="14.1" customHeight="1" x14ac:dyDescent="0.25">
      <c r="A283" s="61" t="s">
        <v>69</v>
      </c>
      <c r="B283" s="6">
        <v>42</v>
      </c>
      <c r="C283" s="5">
        <v>2.1955044432828021</v>
      </c>
      <c r="D283" s="5"/>
      <c r="E283" s="6">
        <v>41</v>
      </c>
      <c r="F283" s="5">
        <v>2.295632698768197</v>
      </c>
      <c r="G283" s="5"/>
      <c r="H283" s="3">
        <v>1</v>
      </c>
      <c r="I283" s="16">
        <v>0.86206896551724133</v>
      </c>
      <c r="J283" s="5"/>
      <c r="K283" s="3" t="s">
        <v>96</v>
      </c>
      <c r="L283" s="16" t="s">
        <v>96</v>
      </c>
      <c r="N283" s="37">
        <f t="shared" si="35"/>
        <v>2.2000000000000002</v>
      </c>
      <c r="O283" s="37">
        <f t="shared" si="36"/>
        <v>2.2999999999999998</v>
      </c>
      <c r="P283" s="37">
        <f t="shared" si="37"/>
        <v>0.9</v>
      </c>
      <c r="Q283" s="37" t="e">
        <f t="shared" si="38"/>
        <v>#VALUE!</v>
      </c>
      <c r="R283" s="37"/>
      <c r="S283" s="37"/>
      <c r="T283" s="37"/>
      <c r="U283" s="37"/>
    </row>
    <row r="284" spans="1:21" ht="14.1" customHeight="1" x14ac:dyDescent="0.25">
      <c r="A284" s="61" t="s">
        <v>35</v>
      </c>
      <c r="B284" s="6">
        <v>29</v>
      </c>
      <c r="C284" s="5">
        <v>1.5159435441714584</v>
      </c>
      <c r="D284" s="5"/>
      <c r="E284" s="6">
        <v>29</v>
      </c>
      <c r="F284" s="5">
        <v>1.6237402015677491</v>
      </c>
      <c r="G284" s="5"/>
      <c r="H284" s="3" t="s">
        <v>96</v>
      </c>
      <c r="I284" s="16" t="s">
        <v>96</v>
      </c>
      <c r="J284" s="5"/>
      <c r="K284" s="3" t="s">
        <v>96</v>
      </c>
      <c r="L284" s="16" t="s">
        <v>96</v>
      </c>
      <c r="N284" s="37">
        <f t="shared" si="35"/>
        <v>1.5</v>
      </c>
      <c r="O284" s="37">
        <f t="shared" si="36"/>
        <v>1.6</v>
      </c>
      <c r="P284" s="37" t="e">
        <f t="shared" si="37"/>
        <v>#VALUE!</v>
      </c>
      <c r="Q284" s="37" t="e">
        <f t="shared" si="38"/>
        <v>#VALUE!</v>
      </c>
      <c r="R284" s="37"/>
      <c r="S284" s="37"/>
      <c r="T284" s="37"/>
      <c r="U284" s="37"/>
    </row>
    <row r="285" spans="1:21" ht="14.1" customHeight="1" x14ac:dyDescent="0.25">
      <c r="A285" s="61" t="s">
        <v>36</v>
      </c>
      <c r="B285" s="6">
        <v>286</v>
      </c>
      <c r="C285" s="5">
        <v>14.950339780449557</v>
      </c>
      <c r="D285" s="5"/>
      <c r="E285" s="6">
        <v>274</v>
      </c>
      <c r="F285" s="5">
        <v>15.341545352743561</v>
      </c>
      <c r="G285" s="5"/>
      <c r="H285" s="6">
        <v>11</v>
      </c>
      <c r="I285" s="5">
        <v>9.4827586206896548</v>
      </c>
      <c r="J285" s="5"/>
      <c r="K285" s="3">
        <v>1</v>
      </c>
      <c r="L285" s="16">
        <v>9.0909090909090917</v>
      </c>
      <c r="N285" s="37">
        <f t="shared" si="35"/>
        <v>15</v>
      </c>
      <c r="O285" s="37">
        <f t="shared" si="36"/>
        <v>15.3</v>
      </c>
      <c r="P285" s="37">
        <f t="shared" si="37"/>
        <v>9.5</v>
      </c>
      <c r="Q285" s="37">
        <f t="shared" si="38"/>
        <v>9.1</v>
      </c>
      <c r="R285" s="37"/>
      <c r="S285" s="37"/>
      <c r="T285" s="37"/>
      <c r="U285" s="37"/>
    </row>
    <row r="286" spans="1:21" ht="14.1" customHeight="1" x14ac:dyDescent="0.25">
      <c r="A286" s="61" t="s">
        <v>37</v>
      </c>
      <c r="B286" s="6">
        <v>96</v>
      </c>
      <c r="C286" s="5">
        <v>5.0182958703606904</v>
      </c>
      <c r="D286" s="5"/>
      <c r="E286" s="6">
        <v>92</v>
      </c>
      <c r="F286" s="5">
        <v>5.1511758118701003</v>
      </c>
      <c r="G286" s="5"/>
      <c r="H286" s="6">
        <v>4</v>
      </c>
      <c r="I286" s="5">
        <v>3.4482758620689653</v>
      </c>
      <c r="J286" s="5"/>
      <c r="K286" s="3" t="s">
        <v>96</v>
      </c>
      <c r="L286" s="16" t="s">
        <v>96</v>
      </c>
      <c r="N286" s="37">
        <f t="shared" si="35"/>
        <v>5</v>
      </c>
      <c r="O286" s="37">
        <f t="shared" si="36"/>
        <v>5.2</v>
      </c>
      <c r="P286" s="37">
        <f t="shared" si="37"/>
        <v>3.4</v>
      </c>
      <c r="Q286" s="37" t="e">
        <f t="shared" si="38"/>
        <v>#VALUE!</v>
      </c>
      <c r="R286" s="37"/>
      <c r="S286" s="37"/>
      <c r="T286" s="37"/>
      <c r="U286" s="37"/>
    </row>
    <row r="287" spans="1:21" ht="14.1" customHeight="1" x14ac:dyDescent="0.25">
      <c r="A287" s="61"/>
      <c r="B287" s="6"/>
      <c r="C287" s="5"/>
      <c r="D287" s="5"/>
      <c r="E287" s="6"/>
      <c r="F287" s="5"/>
      <c r="G287" s="5"/>
      <c r="H287" s="6"/>
      <c r="I287" s="5"/>
      <c r="J287" s="5"/>
      <c r="K287" s="6"/>
      <c r="L287" s="5"/>
      <c r="N287" s="37">
        <f t="shared" si="35"/>
        <v>0</v>
      </c>
      <c r="O287" s="37">
        <f t="shared" si="36"/>
        <v>0</v>
      </c>
      <c r="P287" s="37">
        <f t="shared" si="37"/>
        <v>0</v>
      </c>
      <c r="Q287" s="37">
        <f t="shared" si="38"/>
        <v>0</v>
      </c>
      <c r="R287" s="37"/>
      <c r="S287" s="37"/>
      <c r="T287" s="37"/>
      <c r="U287" s="37"/>
    </row>
    <row r="288" spans="1:21" ht="14.1" customHeight="1" x14ac:dyDescent="0.25">
      <c r="A288" s="91" t="s">
        <v>6</v>
      </c>
      <c r="B288" s="9">
        <v>6848</v>
      </c>
      <c r="C288" s="15">
        <v>100</v>
      </c>
      <c r="D288" s="15"/>
      <c r="E288" s="9">
        <v>5976</v>
      </c>
      <c r="F288" s="15">
        <v>100</v>
      </c>
      <c r="G288" s="15"/>
      <c r="H288" s="9">
        <v>667</v>
      </c>
      <c r="I288" s="15">
        <v>100</v>
      </c>
      <c r="J288" s="15"/>
      <c r="K288" s="9">
        <v>205</v>
      </c>
      <c r="L288" s="15">
        <v>100</v>
      </c>
      <c r="N288" s="37">
        <f>SUM(N289:N300)</f>
        <v>100</v>
      </c>
      <c r="O288" s="37">
        <f t="shared" ref="O288:Q288" si="39">SUM(O289:O300)</f>
        <v>100</v>
      </c>
      <c r="P288" s="37">
        <f t="shared" si="39"/>
        <v>100.00000000000001</v>
      </c>
      <c r="Q288" s="37">
        <f t="shared" si="39"/>
        <v>100</v>
      </c>
      <c r="R288" s="37"/>
      <c r="S288" s="37"/>
      <c r="T288" s="37"/>
      <c r="U288" s="37"/>
    </row>
    <row r="289" spans="1:21" ht="14.1" customHeight="1" x14ac:dyDescent="0.25">
      <c r="A289" s="61" t="s">
        <v>57</v>
      </c>
      <c r="B289" s="6">
        <v>649</v>
      </c>
      <c r="C289" s="5">
        <v>9.4772196261682247</v>
      </c>
      <c r="D289" s="5"/>
      <c r="E289" s="6">
        <v>492</v>
      </c>
      <c r="F289" s="5">
        <v>8.2329317269076299</v>
      </c>
      <c r="G289" s="5"/>
      <c r="H289" s="6">
        <v>119</v>
      </c>
      <c r="I289" s="5">
        <v>17.841079460269864</v>
      </c>
      <c r="J289" s="5"/>
      <c r="K289" s="6">
        <v>38</v>
      </c>
      <c r="L289" s="5">
        <v>18.536585365853657</v>
      </c>
      <c r="N289" s="37">
        <f t="shared" si="35"/>
        <v>9.5</v>
      </c>
      <c r="O289" s="37">
        <f t="shared" si="36"/>
        <v>8.1999999999999993</v>
      </c>
      <c r="P289" s="37">
        <f t="shared" si="37"/>
        <v>17.8</v>
      </c>
      <c r="Q289" s="37">
        <f t="shared" si="38"/>
        <v>18.5</v>
      </c>
      <c r="R289" s="37"/>
      <c r="S289" s="37"/>
      <c r="T289" s="37"/>
      <c r="U289" s="37"/>
    </row>
    <row r="290" spans="1:21" ht="14.1" customHeight="1" x14ac:dyDescent="0.25">
      <c r="A290" s="61" t="s">
        <v>29</v>
      </c>
      <c r="B290" s="6">
        <v>104</v>
      </c>
      <c r="C290" s="5">
        <v>1.5186915887850467</v>
      </c>
      <c r="D290" s="5"/>
      <c r="E290" s="6">
        <v>88</v>
      </c>
      <c r="F290" s="5">
        <v>1.4725568942436411</v>
      </c>
      <c r="G290" s="5"/>
      <c r="H290" s="6">
        <v>13</v>
      </c>
      <c r="I290" s="5">
        <v>1.9490254872563717</v>
      </c>
      <c r="J290" s="5"/>
      <c r="K290" s="6">
        <v>3</v>
      </c>
      <c r="L290" s="5">
        <v>1.4634146341463417</v>
      </c>
      <c r="N290" s="37">
        <f t="shared" si="35"/>
        <v>1.5</v>
      </c>
      <c r="O290" s="37">
        <f t="shared" si="36"/>
        <v>1.5</v>
      </c>
      <c r="P290" s="37">
        <f t="shared" si="37"/>
        <v>1.9</v>
      </c>
      <c r="Q290" s="37">
        <f t="shared" si="38"/>
        <v>1.5</v>
      </c>
      <c r="R290" s="37"/>
      <c r="S290" s="37"/>
      <c r="T290" s="37"/>
      <c r="U290" s="37"/>
    </row>
    <row r="291" spans="1:21" ht="14.1" customHeight="1" x14ac:dyDescent="0.25">
      <c r="A291" s="61" t="s">
        <v>30</v>
      </c>
      <c r="B291" s="6">
        <v>594</v>
      </c>
      <c r="C291" s="5">
        <v>8.6740654205607477</v>
      </c>
      <c r="D291" s="5"/>
      <c r="E291" s="6">
        <v>447</v>
      </c>
      <c r="F291" s="5">
        <v>7.4799196787148592</v>
      </c>
      <c r="G291" s="5"/>
      <c r="H291" s="6">
        <v>83</v>
      </c>
      <c r="I291" s="5">
        <v>12.443778110944528</v>
      </c>
      <c r="J291" s="5"/>
      <c r="K291" s="6">
        <v>64</v>
      </c>
      <c r="L291" s="5">
        <v>31.219512195121951</v>
      </c>
      <c r="N291" s="37">
        <f t="shared" si="35"/>
        <v>8.6999999999999993</v>
      </c>
      <c r="O291" s="37">
        <f t="shared" si="36"/>
        <v>7.5</v>
      </c>
      <c r="P291" s="37">
        <f t="shared" si="37"/>
        <v>12.4</v>
      </c>
      <c r="Q291" s="37">
        <f t="shared" si="38"/>
        <v>31.2</v>
      </c>
      <c r="R291" s="37"/>
      <c r="S291" s="37"/>
      <c r="T291" s="37"/>
      <c r="U291" s="37"/>
    </row>
    <row r="292" spans="1:21" ht="14.1" customHeight="1" x14ac:dyDescent="0.25">
      <c r="A292" s="61" t="s">
        <v>31</v>
      </c>
      <c r="B292" s="6">
        <v>56</v>
      </c>
      <c r="C292" s="5">
        <v>0.81775700934579432</v>
      </c>
      <c r="D292" s="5"/>
      <c r="E292" s="6">
        <v>46</v>
      </c>
      <c r="F292" s="5">
        <v>0.76974564926372158</v>
      </c>
      <c r="G292" s="5"/>
      <c r="H292" s="6">
        <v>6</v>
      </c>
      <c r="I292" s="5">
        <v>0.8995502248875562</v>
      </c>
      <c r="J292" s="5"/>
      <c r="K292" s="6">
        <v>4</v>
      </c>
      <c r="L292" s="5">
        <v>1.9512195121951219</v>
      </c>
      <c r="N292" s="37">
        <f t="shared" si="35"/>
        <v>0.8</v>
      </c>
      <c r="O292" s="37">
        <f t="shared" si="36"/>
        <v>0.8</v>
      </c>
      <c r="P292" s="37">
        <f t="shared" si="37"/>
        <v>0.9</v>
      </c>
      <c r="Q292" s="37">
        <f t="shared" si="38"/>
        <v>2</v>
      </c>
      <c r="R292" s="37"/>
      <c r="S292" s="37"/>
      <c r="T292" s="37"/>
      <c r="U292" s="37"/>
    </row>
    <row r="293" spans="1:21" ht="14.1" customHeight="1" x14ac:dyDescent="0.25">
      <c r="A293" s="61" t="s">
        <v>32</v>
      </c>
      <c r="B293" s="6">
        <v>1075</v>
      </c>
      <c r="C293" s="5">
        <v>15.698014018691589</v>
      </c>
      <c r="D293" s="5"/>
      <c r="E293" s="6">
        <v>1008</v>
      </c>
      <c r="F293" s="5">
        <v>16.767469879518071</v>
      </c>
      <c r="G293" s="5"/>
      <c r="H293" s="6">
        <v>59</v>
      </c>
      <c r="I293" s="5">
        <v>8.8455772113943016</v>
      </c>
      <c r="J293" s="5"/>
      <c r="K293" s="6">
        <v>8</v>
      </c>
      <c r="L293" s="5">
        <v>3.9024390243902438</v>
      </c>
      <c r="N293" s="37">
        <f t="shared" si="35"/>
        <v>15.7</v>
      </c>
      <c r="O293" s="37">
        <f t="shared" si="36"/>
        <v>16.8</v>
      </c>
      <c r="P293" s="37">
        <f t="shared" si="37"/>
        <v>8.8000000000000007</v>
      </c>
      <c r="Q293" s="37">
        <f t="shared" si="38"/>
        <v>3.9</v>
      </c>
      <c r="R293" s="37"/>
      <c r="S293" s="37"/>
      <c r="T293" s="37"/>
      <c r="U293" s="37"/>
    </row>
    <row r="294" spans="1:21" ht="14.1" customHeight="1" x14ac:dyDescent="0.25">
      <c r="A294" s="61" t="s">
        <v>33</v>
      </c>
      <c r="B294" s="6">
        <v>1357</v>
      </c>
      <c r="C294" s="5">
        <v>19.716004672897196</v>
      </c>
      <c r="D294" s="5"/>
      <c r="E294" s="6">
        <v>1143</v>
      </c>
      <c r="F294" s="5">
        <v>19.126506024096386</v>
      </c>
      <c r="G294" s="5"/>
      <c r="H294" s="6">
        <v>157</v>
      </c>
      <c r="I294" s="5">
        <v>23.738230884557719</v>
      </c>
      <c r="J294" s="5"/>
      <c r="K294" s="6">
        <v>57</v>
      </c>
      <c r="L294" s="5">
        <v>27.804878048780491</v>
      </c>
      <c r="N294" s="37">
        <f t="shared" si="35"/>
        <v>19.7</v>
      </c>
      <c r="O294" s="37">
        <f t="shared" si="36"/>
        <v>19.100000000000001</v>
      </c>
      <c r="P294" s="37">
        <f t="shared" si="37"/>
        <v>23.7</v>
      </c>
      <c r="Q294" s="37">
        <f t="shared" si="38"/>
        <v>27.8</v>
      </c>
      <c r="R294" s="37"/>
      <c r="S294" s="37"/>
      <c r="T294" s="37"/>
      <c r="U294" s="37"/>
    </row>
    <row r="295" spans="1:21" ht="14.1" customHeight="1" x14ac:dyDescent="0.25">
      <c r="A295" s="61" t="s">
        <v>34</v>
      </c>
      <c r="B295" s="6">
        <v>724</v>
      </c>
      <c r="C295" s="5">
        <v>10.572429906542057</v>
      </c>
      <c r="D295" s="5"/>
      <c r="E295" s="6">
        <v>619</v>
      </c>
      <c r="F295" s="5">
        <v>10.35809906291834</v>
      </c>
      <c r="G295" s="5"/>
      <c r="H295" s="6">
        <v>92</v>
      </c>
      <c r="I295" s="5">
        <v>13.893103448275861</v>
      </c>
      <c r="J295" s="5"/>
      <c r="K295" s="6">
        <v>13</v>
      </c>
      <c r="L295" s="5">
        <v>6.3414634146341466</v>
      </c>
      <c r="N295" s="37">
        <f t="shared" si="35"/>
        <v>10.6</v>
      </c>
      <c r="O295" s="37">
        <f t="shared" si="36"/>
        <v>10.4</v>
      </c>
      <c r="P295" s="37">
        <f t="shared" si="37"/>
        <v>13.9</v>
      </c>
      <c r="Q295" s="37">
        <f t="shared" si="38"/>
        <v>6.3</v>
      </c>
      <c r="R295" s="37"/>
      <c r="S295" s="37"/>
      <c r="T295" s="37"/>
      <c r="U295" s="37"/>
    </row>
    <row r="296" spans="1:21" ht="14.1" customHeight="1" x14ac:dyDescent="0.25">
      <c r="A296" s="61" t="s">
        <v>67</v>
      </c>
      <c r="B296" s="6">
        <v>102</v>
      </c>
      <c r="C296" s="5">
        <v>1.4894859813084111</v>
      </c>
      <c r="D296" s="5"/>
      <c r="E296" s="6">
        <v>91</v>
      </c>
      <c r="F296" s="5">
        <v>1.5227576974564927</v>
      </c>
      <c r="G296" s="5"/>
      <c r="H296" s="6">
        <v>10</v>
      </c>
      <c r="I296" s="5">
        <v>1.4992503748125936</v>
      </c>
      <c r="J296" s="5"/>
      <c r="K296" s="6">
        <v>1</v>
      </c>
      <c r="L296" s="5">
        <v>0.48780487804878048</v>
      </c>
      <c r="N296" s="37">
        <f t="shared" si="35"/>
        <v>1.5</v>
      </c>
      <c r="O296" s="37">
        <f t="shared" si="36"/>
        <v>1.5</v>
      </c>
      <c r="P296" s="37">
        <f t="shared" si="37"/>
        <v>1.5</v>
      </c>
      <c r="Q296" s="37">
        <f t="shared" si="38"/>
        <v>0.5</v>
      </c>
      <c r="R296" s="37"/>
      <c r="S296" s="37"/>
      <c r="T296" s="37"/>
      <c r="U296" s="37"/>
    </row>
    <row r="297" spans="1:21" ht="14.1" customHeight="1" x14ac:dyDescent="0.25">
      <c r="A297" s="61" t="s">
        <v>69</v>
      </c>
      <c r="B297" s="6">
        <v>238</v>
      </c>
      <c r="C297" s="5">
        <v>3.4754672897196262</v>
      </c>
      <c r="D297" s="5"/>
      <c r="E297" s="6">
        <v>222</v>
      </c>
      <c r="F297" s="5">
        <v>3.7148594377510036</v>
      </c>
      <c r="G297" s="5"/>
      <c r="H297" s="6">
        <v>15</v>
      </c>
      <c r="I297" s="5">
        <v>2.2488755622188905</v>
      </c>
      <c r="J297" s="5"/>
      <c r="K297" s="6">
        <v>1</v>
      </c>
      <c r="L297" s="5">
        <v>0.48780487804878048</v>
      </c>
      <c r="N297" s="37">
        <f t="shared" si="35"/>
        <v>3.5</v>
      </c>
      <c r="O297" s="37">
        <f t="shared" si="36"/>
        <v>3.7</v>
      </c>
      <c r="P297" s="37">
        <f t="shared" si="37"/>
        <v>2.2000000000000002</v>
      </c>
      <c r="Q297" s="37">
        <f t="shared" si="38"/>
        <v>0.5</v>
      </c>
      <c r="R297" s="37"/>
      <c r="S297" s="37"/>
      <c r="T297" s="37"/>
      <c r="U297" s="37"/>
    </row>
    <row r="298" spans="1:21" ht="14.1" customHeight="1" x14ac:dyDescent="0.25">
      <c r="A298" s="61" t="s">
        <v>35</v>
      </c>
      <c r="B298" s="6">
        <v>155</v>
      </c>
      <c r="C298" s="5">
        <v>2.2634345794392523</v>
      </c>
      <c r="D298" s="5"/>
      <c r="E298" s="6">
        <v>149</v>
      </c>
      <c r="F298" s="5">
        <v>2.4933065595716197</v>
      </c>
      <c r="G298" s="5"/>
      <c r="H298" s="6">
        <v>5</v>
      </c>
      <c r="I298" s="5">
        <v>0.7496251874062968</v>
      </c>
      <c r="J298" s="5"/>
      <c r="K298" s="6">
        <v>1</v>
      </c>
      <c r="L298" s="5">
        <v>0.48780487804878048</v>
      </c>
      <c r="N298" s="37">
        <f t="shared" si="35"/>
        <v>2.2999999999999998</v>
      </c>
      <c r="O298" s="37">
        <f t="shared" si="36"/>
        <v>2.5</v>
      </c>
      <c r="P298" s="37">
        <f t="shared" si="37"/>
        <v>0.7</v>
      </c>
      <c r="Q298" s="37">
        <f t="shared" si="38"/>
        <v>0.5</v>
      </c>
      <c r="R298" s="37"/>
      <c r="S298" s="37"/>
      <c r="T298" s="37"/>
      <c r="U298" s="37"/>
    </row>
    <row r="299" spans="1:21" ht="14.1" customHeight="1" x14ac:dyDescent="0.25">
      <c r="A299" s="61" t="s">
        <v>36</v>
      </c>
      <c r="B299" s="6">
        <v>1064</v>
      </c>
      <c r="C299" s="5">
        <v>15.537383177570094</v>
      </c>
      <c r="D299" s="5"/>
      <c r="E299" s="6">
        <v>1010</v>
      </c>
      <c r="F299" s="5">
        <v>16.900937081659972</v>
      </c>
      <c r="G299" s="5"/>
      <c r="H299" s="6">
        <v>52</v>
      </c>
      <c r="I299" s="5">
        <v>7.7961019490254868</v>
      </c>
      <c r="J299" s="5"/>
      <c r="K299" s="6">
        <v>2</v>
      </c>
      <c r="L299" s="5">
        <v>0.97560975609756095</v>
      </c>
      <c r="N299" s="37">
        <f t="shared" si="35"/>
        <v>15.5</v>
      </c>
      <c r="O299" s="37">
        <f t="shared" si="36"/>
        <v>16.899999999999999</v>
      </c>
      <c r="P299" s="37">
        <f t="shared" si="37"/>
        <v>7.8</v>
      </c>
      <c r="Q299" s="37">
        <f t="shared" si="38"/>
        <v>1</v>
      </c>
      <c r="R299" s="37"/>
      <c r="S299" s="37"/>
      <c r="T299" s="37"/>
      <c r="U299" s="37"/>
    </row>
    <row r="300" spans="1:21" ht="14.1" customHeight="1" x14ac:dyDescent="0.25">
      <c r="A300" s="61" t="s">
        <v>37</v>
      </c>
      <c r="B300" s="6">
        <v>730</v>
      </c>
      <c r="C300" s="5">
        <v>10.660046728971963</v>
      </c>
      <c r="D300" s="5"/>
      <c r="E300" s="6">
        <v>661</v>
      </c>
      <c r="F300" s="5">
        <v>11.06091030789826</v>
      </c>
      <c r="G300" s="5"/>
      <c r="H300" s="6">
        <v>56</v>
      </c>
      <c r="I300" s="5">
        <v>8.3958020989505258</v>
      </c>
      <c r="J300" s="5"/>
      <c r="K300" s="6">
        <v>13</v>
      </c>
      <c r="L300" s="5">
        <v>6.3414634146341466</v>
      </c>
      <c r="N300" s="37">
        <f t="shared" si="35"/>
        <v>10.7</v>
      </c>
      <c r="O300" s="37">
        <f t="shared" si="36"/>
        <v>11.1</v>
      </c>
      <c r="P300" s="37">
        <f t="shared" si="37"/>
        <v>8.4</v>
      </c>
      <c r="Q300" s="37">
        <f t="shared" si="38"/>
        <v>6.3</v>
      </c>
      <c r="R300" s="37"/>
      <c r="S300" s="37"/>
      <c r="T300" s="37"/>
      <c r="U300" s="37"/>
    </row>
    <row r="301" spans="1:21" ht="14.1" customHeight="1" x14ac:dyDescent="0.25">
      <c r="A301" s="61"/>
      <c r="B301" s="6"/>
      <c r="C301" s="5"/>
      <c r="D301" s="5"/>
      <c r="E301" s="6"/>
      <c r="F301" s="5"/>
      <c r="G301" s="5"/>
      <c r="H301" s="6"/>
      <c r="I301" s="5"/>
      <c r="J301" s="5"/>
      <c r="K301" s="6"/>
      <c r="L301" s="5"/>
      <c r="N301" s="37">
        <f t="shared" si="35"/>
        <v>0</v>
      </c>
      <c r="O301" s="37">
        <f t="shared" si="36"/>
        <v>0</v>
      </c>
      <c r="P301" s="37">
        <f t="shared" si="37"/>
        <v>0</v>
      </c>
      <c r="Q301" s="37">
        <f t="shared" si="38"/>
        <v>0</v>
      </c>
      <c r="R301" s="37"/>
      <c r="S301" s="37"/>
      <c r="T301" s="37"/>
      <c r="U301" s="37"/>
    </row>
    <row r="302" spans="1:21" ht="14.1" customHeight="1" x14ac:dyDescent="0.25">
      <c r="A302" s="91" t="s">
        <v>5</v>
      </c>
      <c r="B302" s="9">
        <v>5232</v>
      </c>
      <c r="C302" s="15">
        <v>100</v>
      </c>
      <c r="D302" s="15"/>
      <c r="E302" s="9">
        <v>4885</v>
      </c>
      <c r="F302" s="15">
        <v>100</v>
      </c>
      <c r="G302" s="15"/>
      <c r="H302" s="9">
        <v>288</v>
      </c>
      <c r="I302" s="15">
        <v>100</v>
      </c>
      <c r="J302" s="15"/>
      <c r="K302" s="9">
        <v>59</v>
      </c>
      <c r="L302" s="15">
        <v>100</v>
      </c>
      <c r="N302" s="37">
        <f>SUM(N303:N314)</f>
        <v>100</v>
      </c>
      <c r="O302" s="37">
        <f t="shared" ref="O302:Q302" si="40">SUM(O303:O314)</f>
        <v>100.00000000000001</v>
      </c>
      <c r="P302" s="37">
        <f t="shared" si="40"/>
        <v>100.00000000000003</v>
      </c>
      <c r="Q302" s="37" t="e">
        <f t="shared" si="40"/>
        <v>#VALUE!</v>
      </c>
      <c r="R302" s="37"/>
      <c r="S302" s="37"/>
      <c r="T302" s="37"/>
      <c r="U302" s="37"/>
    </row>
    <row r="303" spans="1:21" ht="14.1" customHeight="1" x14ac:dyDescent="0.25">
      <c r="A303" s="61" t="s">
        <v>57</v>
      </c>
      <c r="B303" s="6">
        <v>63</v>
      </c>
      <c r="C303" s="5">
        <v>1.2041284403669725</v>
      </c>
      <c r="D303" s="5"/>
      <c r="E303" s="6">
        <v>59</v>
      </c>
      <c r="F303" s="5">
        <v>1.2077789150460594</v>
      </c>
      <c r="G303" s="5"/>
      <c r="H303" s="6">
        <v>3</v>
      </c>
      <c r="I303" s="5">
        <v>1.0416666666666665</v>
      </c>
      <c r="J303" s="5"/>
      <c r="K303" s="6">
        <v>1</v>
      </c>
      <c r="L303" s="5">
        <v>1.6949152542372881</v>
      </c>
      <c r="N303" s="37">
        <f t="shared" si="35"/>
        <v>1.2</v>
      </c>
      <c r="O303" s="37">
        <f t="shared" si="36"/>
        <v>1.2</v>
      </c>
      <c r="P303" s="37">
        <f t="shared" si="37"/>
        <v>1</v>
      </c>
      <c r="Q303" s="37">
        <f t="shared" si="38"/>
        <v>1.7</v>
      </c>
      <c r="R303" s="37"/>
      <c r="S303" s="37"/>
      <c r="T303" s="37"/>
      <c r="U303" s="37"/>
    </row>
    <row r="304" spans="1:21" ht="14.1" customHeight="1" x14ac:dyDescent="0.25">
      <c r="A304" s="61" t="s">
        <v>29</v>
      </c>
      <c r="B304" s="6">
        <v>372</v>
      </c>
      <c r="C304" s="5">
        <v>7.1100917431192663</v>
      </c>
      <c r="D304" s="5"/>
      <c r="E304" s="6">
        <v>351</v>
      </c>
      <c r="F304" s="5">
        <v>7.1852610030706243</v>
      </c>
      <c r="G304" s="5"/>
      <c r="H304" s="6">
        <v>14</v>
      </c>
      <c r="I304" s="5">
        <v>4.8611111111111116</v>
      </c>
      <c r="J304" s="5"/>
      <c r="K304" s="6">
        <v>7</v>
      </c>
      <c r="L304" s="5">
        <v>11.864406779661017</v>
      </c>
      <c r="N304" s="37">
        <f t="shared" si="35"/>
        <v>7.1</v>
      </c>
      <c r="O304" s="37">
        <f t="shared" si="36"/>
        <v>7.2</v>
      </c>
      <c r="P304" s="37">
        <f t="shared" si="37"/>
        <v>4.9000000000000004</v>
      </c>
      <c r="Q304" s="37">
        <f t="shared" si="38"/>
        <v>11.9</v>
      </c>
      <c r="R304" s="37"/>
      <c r="S304" s="37"/>
      <c r="T304" s="37"/>
      <c r="U304" s="37"/>
    </row>
    <row r="305" spans="1:21" ht="14.1" customHeight="1" x14ac:dyDescent="0.25">
      <c r="A305" s="61" t="s">
        <v>30</v>
      </c>
      <c r="B305" s="6">
        <v>289</v>
      </c>
      <c r="C305" s="5">
        <v>5.5237003058103973</v>
      </c>
      <c r="D305" s="5"/>
      <c r="E305" s="6">
        <v>277</v>
      </c>
      <c r="F305" s="5">
        <v>5.670419651995906</v>
      </c>
      <c r="G305" s="5"/>
      <c r="H305" s="6">
        <v>11</v>
      </c>
      <c r="I305" s="5">
        <v>3.8194444444444446</v>
      </c>
      <c r="J305" s="5"/>
      <c r="K305" s="6">
        <v>1</v>
      </c>
      <c r="L305" s="5">
        <v>1.6949152542372881</v>
      </c>
      <c r="N305" s="37">
        <f t="shared" si="35"/>
        <v>5.5</v>
      </c>
      <c r="O305" s="37">
        <f t="shared" si="36"/>
        <v>5.7</v>
      </c>
      <c r="P305" s="37">
        <f t="shared" si="37"/>
        <v>3.8</v>
      </c>
      <c r="Q305" s="37">
        <f t="shared" si="38"/>
        <v>1.7</v>
      </c>
      <c r="R305" s="37"/>
      <c r="S305" s="37"/>
      <c r="T305" s="37"/>
      <c r="U305" s="37"/>
    </row>
    <row r="306" spans="1:21" ht="14.1" customHeight="1" x14ac:dyDescent="0.25">
      <c r="A306" s="61" t="s">
        <v>31</v>
      </c>
      <c r="B306" s="6">
        <v>24</v>
      </c>
      <c r="C306" s="5">
        <v>0.45871559633027525</v>
      </c>
      <c r="D306" s="5"/>
      <c r="E306" s="6">
        <v>19</v>
      </c>
      <c r="F306" s="5">
        <v>0.3889457523029683</v>
      </c>
      <c r="G306" s="5"/>
      <c r="H306" s="6">
        <v>1</v>
      </c>
      <c r="I306" s="5">
        <v>0.34722222222222221</v>
      </c>
      <c r="J306" s="5"/>
      <c r="K306" s="6">
        <v>4</v>
      </c>
      <c r="L306" s="5">
        <v>6.7796610169491522</v>
      </c>
      <c r="N306" s="37">
        <f t="shared" si="35"/>
        <v>0.5</v>
      </c>
      <c r="O306" s="37">
        <f t="shared" si="36"/>
        <v>0.4</v>
      </c>
      <c r="P306" s="37">
        <f t="shared" si="37"/>
        <v>0.3</v>
      </c>
      <c r="Q306" s="37">
        <f t="shared" si="38"/>
        <v>6.8</v>
      </c>
      <c r="R306" s="37"/>
      <c r="S306" s="37"/>
      <c r="T306" s="37"/>
      <c r="U306" s="37"/>
    </row>
    <row r="307" spans="1:21" ht="14.1" customHeight="1" x14ac:dyDescent="0.25">
      <c r="A307" s="61" t="s">
        <v>32</v>
      </c>
      <c r="B307" s="6">
        <v>787</v>
      </c>
      <c r="C307" s="5">
        <v>15.04204892966361</v>
      </c>
      <c r="D307" s="5"/>
      <c r="E307" s="6">
        <v>750</v>
      </c>
      <c r="F307" s="5">
        <v>15.353121801432959</v>
      </c>
      <c r="G307" s="5"/>
      <c r="H307" s="6">
        <v>33</v>
      </c>
      <c r="I307" s="5">
        <v>11.458333333333332</v>
      </c>
      <c r="J307" s="5"/>
      <c r="K307" s="6">
        <v>4</v>
      </c>
      <c r="L307" s="5">
        <v>6.7796610169491522</v>
      </c>
      <c r="N307" s="37">
        <f t="shared" si="35"/>
        <v>15</v>
      </c>
      <c r="O307" s="37">
        <f t="shared" si="36"/>
        <v>15.4</v>
      </c>
      <c r="P307" s="37">
        <f t="shared" si="37"/>
        <v>11.5</v>
      </c>
      <c r="Q307" s="37">
        <f t="shared" si="38"/>
        <v>6.8</v>
      </c>
      <c r="R307" s="37"/>
      <c r="S307" s="37"/>
      <c r="T307" s="37"/>
      <c r="U307" s="37"/>
    </row>
    <row r="308" spans="1:21" ht="14.1" customHeight="1" x14ac:dyDescent="0.25">
      <c r="A308" s="61" t="s">
        <v>33</v>
      </c>
      <c r="B308" s="6">
        <v>1482</v>
      </c>
      <c r="C308" s="5">
        <v>28.325688073394495</v>
      </c>
      <c r="D308" s="5"/>
      <c r="E308" s="6">
        <v>1315</v>
      </c>
      <c r="F308" s="5">
        <v>26.819140225179122</v>
      </c>
      <c r="G308" s="5"/>
      <c r="H308" s="6">
        <v>137</v>
      </c>
      <c r="I308" s="5">
        <v>47.669444444444444</v>
      </c>
      <c r="J308" s="5"/>
      <c r="K308" s="6">
        <v>30</v>
      </c>
      <c r="L308" s="5">
        <v>50.747457627118642</v>
      </c>
      <c r="N308" s="37">
        <f t="shared" si="35"/>
        <v>28.3</v>
      </c>
      <c r="O308" s="37">
        <f t="shared" si="36"/>
        <v>26.8</v>
      </c>
      <c r="P308" s="37">
        <f t="shared" si="37"/>
        <v>47.7</v>
      </c>
      <c r="Q308" s="37">
        <f t="shared" si="38"/>
        <v>50.7</v>
      </c>
      <c r="R308" s="37"/>
      <c r="S308" s="37"/>
      <c r="T308" s="37"/>
      <c r="U308" s="37"/>
    </row>
    <row r="309" spans="1:21" ht="14.1" customHeight="1" x14ac:dyDescent="0.25">
      <c r="A309" s="61" t="s">
        <v>34</v>
      </c>
      <c r="B309" s="6">
        <v>616</v>
      </c>
      <c r="C309" s="5">
        <v>11.773700305810397</v>
      </c>
      <c r="D309" s="5"/>
      <c r="E309" s="6">
        <v>571</v>
      </c>
      <c r="F309" s="5">
        <v>11.688843398157625</v>
      </c>
      <c r="G309" s="5"/>
      <c r="H309" s="6">
        <v>41</v>
      </c>
      <c r="I309" s="5">
        <v>14.236111111111111</v>
      </c>
      <c r="J309" s="5"/>
      <c r="K309" s="6">
        <v>4</v>
      </c>
      <c r="L309" s="5">
        <v>6.7796610169491522</v>
      </c>
      <c r="N309" s="37">
        <f t="shared" si="35"/>
        <v>11.8</v>
      </c>
      <c r="O309" s="37">
        <f t="shared" si="36"/>
        <v>11.7</v>
      </c>
      <c r="P309" s="37">
        <f t="shared" si="37"/>
        <v>14.2</v>
      </c>
      <c r="Q309" s="37">
        <f t="shared" si="38"/>
        <v>6.8</v>
      </c>
      <c r="R309" s="37"/>
      <c r="S309" s="37"/>
      <c r="T309" s="37"/>
      <c r="U309" s="37"/>
    </row>
    <row r="310" spans="1:21" ht="14.1" customHeight="1" x14ac:dyDescent="0.25">
      <c r="A310" s="61" t="s">
        <v>67</v>
      </c>
      <c r="B310" s="6">
        <v>27</v>
      </c>
      <c r="C310" s="5">
        <v>0.5160550458715597</v>
      </c>
      <c r="D310" s="5"/>
      <c r="E310" s="6">
        <v>24</v>
      </c>
      <c r="F310" s="5">
        <v>0.49129989764585469</v>
      </c>
      <c r="G310" s="5"/>
      <c r="H310" s="6">
        <v>3</v>
      </c>
      <c r="I310" s="5">
        <v>1.0416666666666665</v>
      </c>
      <c r="J310" s="5"/>
      <c r="K310" s="3" t="s">
        <v>96</v>
      </c>
      <c r="L310" s="3" t="s">
        <v>96</v>
      </c>
      <c r="N310" s="37">
        <f t="shared" si="35"/>
        <v>0.5</v>
      </c>
      <c r="O310" s="37">
        <f t="shared" si="36"/>
        <v>0.5</v>
      </c>
      <c r="P310" s="37">
        <f t="shared" si="37"/>
        <v>1</v>
      </c>
      <c r="Q310" s="37" t="e">
        <f t="shared" si="38"/>
        <v>#VALUE!</v>
      </c>
      <c r="R310" s="37"/>
      <c r="S310" s="37"/>
      <c r="T310" s="37"/>
      <c r="U310" s="37"/>
    </row>
    <row r="311" spans="1:21" ht="14.1" customHeight="1" x14ac:dyDescent="0.25">
      <c r="A311" s="61" t="s">
        <v>69</v>
      </c>
      <c r="B311" s="6">
        <v>50</v>
      </c>
      <c r="C311" s="5">
        <v>0.95565749235473996</v>
      </c>
      <c r="D311" s="5"/>
      <c r="E311" s="6">
        <v>46</v>
      </c>
      <c r="F311" s="5">
        <v>0.94165813715455482</v>
      </c>
      <c r="G311" s="5"/>
      <c r="H311" s="6">
        <v>4</v>
      </c>
      <c r="I311" s="5">
        <v>1.3888888888888888</v>
      </c>
      <c r="J311" s="5"/>
      <c r="K311" s="3" t="s">
        <v>96</v>
      </c>
      <c r="L311" s="3" t="s">
        <v>96</v>
      </c>
      <c r="N311" s="37">
        <f t="shared" si="35"/>
        <v>1</v>
      </c>
      <c r="O311" s="37">
        <f t="shared" si="36"/>
        <v>0.9</v>
      </c>
      <c r="P311" s="37">
        <f t="shared" si="37"/>
        <v>1.4</v>
      </c>
      <c r="Q311" s="37" t="e">
        <f t="shared" si="38"/>
        <v>#VALUE!</v>
      </c>
      <c r="R311" s="37"/>
      <c r="S311" s="37"/>
      <c r="T311" s="37"/>
      <c r="U311" s="37"/>
    </row>
    <row r="312" spans="1:21" ht="14.1" customHeight="1" x14ac:dyDescent="0.25">
      <c r="A312" s="61" t="s">
        <v>35</v>
      </c>
      <c r="B312" s="6">
        <v>115</v>
      </c>
      <c r="C312" s="5">
        <v>2.1980122324159019</v>
      </c>
      <c r="D312" s="5"/>
      <c r="E312" s="6">
        <v>110</v>
      </c>
      <c r="F312" s="5">
        <v>2.2517911975435005</v>
      </c>
      <c r="G312" s="5"/>
      <c r="H312" s="6">
        <v>4</v>
      </c>
      <c r="I312" s="5">
        <v>1.3888888888888888</v>
      </c>
      <c r="J312" s="5"/>
      <c r="K312" s="6">
        <v>1</v>
      </c>
      <c r="L312" s="5">
        <v>1.6949152542372881</v>
      </c>
      <c r="N312" s="37">
        <f t="shared" si="35"/>
        <v>2.2000000000000002</v>
      </c>
      <c r="O312" s="37">
        <f t="shared" si="36"/>
        <v>2.2999999999999998</v>
      </c>
      <c r="P312" s="37">
        <f t="shared" si="37"/>
        <v>1.4</v>
      </c>
      <c r="Q312" s="37">
        <f t="shared" si="38"/>
        <v>1.7</v>
      </c>
      <c r="R312" s="37"/>
      <c r="S312" s="37"/>
      <c r="T312" s="37"/>
      <c r="U312" s="37"/>
    </row>
    <row r="313" spans="1:21" ht="14.1" customHeight="1" x14ac:dyDescent="0.25">
      <c r="A313" s="61" t="s">
        <v>36</v>
      </c>
      <c r="B313" s="6">
        <v>1108</v>
      </c>
      <c r="C313" s="5">
        <v>21.177370030581038</v>
      </c>
      <c r="D313" s="5"/>
      <c r="E313" s="6">
        <v>1074</v>
      </c>
      <c r="F313" s="5">
        <v>21.985670419651996</v>
      </c>
      <c r="G313" s="5"/>
      <c r="H313" s="6">
        <v>30</v>
      </c>
      <c r="I313" s="5">
        <v>10.416666666666668</v>
      </c>
      <c r="J313" s="5"/>
      <c r="K313" s="6">
        <v>4</v>
      </c>
      <c r="L313" s="5">
        <v>6.7796610169491522</v>
      </c>
      <c r="N313" s="37">
        <f t="shared" si="35"/>
        <v>21.2</v>
      </c>
      <c r="O313" s="37">
        <f t="shared" si="36"/>
        <v>22</v>
      </c>
      <c r="P313" s="37">
        <f t="shared" si="37"/>
        <v>10.4</v>
      </c>
      <c r="Q313" s="37">
        <f t="shared" si="38"/>
        <v>6.8</v>
      </c>
      <c r="R313" s="37"/>
      <c r="S313" s="37"/>
      <c r="T313" s="37"/>
      <c r="U313" s="37"/>
    </row>
    <row r="314" spans="1:21" ht="14.1" customHeight="1" x14ac:dyDescent="0.25">
      <c r="A314" s="61" t="s">
        <v>37</v>
      </c>
      <c r="B314" s="6">
        <v>299</v>
      </c>
      <c r="C314" s="5">
        <v>5.7148318042813457</v>
      </c>
      <c r="D314" s="5"/>
      <c r="E314" s="6">
        <v>289</v>
      </c>
      <c r="F314" s="5">
        <v>5.9160696008188332</v>
      </c>
      <c r="G314" s="5"/>
      <c r="H314" s="6">
        <v>7</v>
      </c>
      <c r="I314" s="5">
        <v>2.4305555555555558</v>
      </c>
      <c r="J314" s="5"/>
      <c r="K314" s="6">
        <v>3</v>
      </c>
      <c r="L314" s="5">
        <v>5.0847457627118651</v>
      </c>
      <c r="N314" s="37">
        <f t="shared" si="35"/>
        <v>5.7</v>
      </c>
      <c r="O314" s="37">
        <f t="shared" si="36"/>
        <v>5.9</v>
      </c>
      <c r="P314" s="37">
        <f t="shared" si="37"/>
        <v>2.4</v>
      </c>
      <c r="Q314" s="37">
        <f t="shared" si="38"/>
        <v>5.0999999999999996</v>
      </c>
      <c r="R314" s="37"/>
      <c r="S314" s="37"/>
      <c r="T314" s="37"/>
      <c r="U314" s="37"/>
    </row>
    <row r="315" spans="1:21" ht="14.1" customHeight="1" x14ac:dyDescent="0.25">
      <c r="A315" s="61"/>
      <c r="B315" s="6"/>
      <c r="C315" s="5"/>
      <c r="D315" s="5"/>
      <c r="E315" s="6"/>
      <c r="F315" s="5"/>
      <c r="G315" s="5"/>
      <c r="H315" s="6"/>
      <c r="I315" s="5"/>
      <c r="J315" s="5"/>
      <c r="K315" s="6"/>
      <c r="L315" s="5"/>
      <c r="N315" s="37">
        <f t="shared" si="35"/>
        <v>0</v>
      </c>
      <c r="O315" s="37">
        <f t="shared" si="36"/>
        <v>0</v>
      </c>
      <c r="P315" s="37">
        <f t="shared" si="37"/>
        <v>0</v>
      </c>
      <c r="Q315" s="37">
        <f t="shared" si="38"/>
        <v>0</v>
      </c>
      <c r="R315" s="37"/>
      <c r="S315" s="37"/>
      <c r="T315" s="37"/>
      <c r="U315" s="37"/>
    </row>
    <row r="316" spans="1:21" ht="14.1" customHeight="1" x14ac:dyDescent="0.25">
      <c r="A316" s="91" t="s">
        <v>38</v>
      </c>
      <c r="B316" s="9">
        <v>6120</v>
      </c>
      <c r="C316" s="15">
        <v>100</v>
      </c>
      <c r="D316" s="15"/>
      <c r="E316" s="9">
        <v>5488</v>
      </c>
      <c r="F316" s="15">
        <v>100</v>
      </c>
      <c r="G316" s="15"/>
      <c r="H316" s="9">
        <v>532</v>
      </c>
      <c r="I316" s="15">
        <v>100</v>
      </c>
      <c r="J316" s="15"/>
      <c r="K316" s="9">
        <v>100</v>
      </c>
      <c r="L316" s="15">
        <v>100</v>
      </c>
      <c r="N316" s="37">
        <f>SUM(N317:N328)</f>
        <v>99.999999999999986</v>
      </c>
      <c r="O316" s="37">
        <f t="shared" ref="O316:Q316" si="41">SUM(O317:O328)</f>
        <v>100</v>
      </c>
      <c r="P316" s="37">
        <f t="shared" si="41"/>
        <v>99.999999999999986</v>
      </c>
      <c r="Q316" s="37" t="e">
        <f t="shared" si="41"/>
        <v>#VALUE!</v>
      </c>
      <c r="R316" s="37"/>
      <c r="S316" s="37"/>
      <c r="T316" s="37"/>
      <c r="U316" s="37"/>
    </row>
    <row r="317" spans="1:21" ht="14.1" customHeight="1" x14ac:dyDescent="0.25">
      <c r="A317" s="61" t="s">
        <v>57</v>
      </c>
      <c r="B317" s="6">
        <v>323</v>
      </c>
      <c r="C317" s="5">
        <v>5.2777777777777777</v>
      </c>
      <c r="D317" s="5"/>
      <c r="E317" s="6">
        <v>282</v>
      </c>
      <c r="F317" s="5">
        <v>5.1384839650145775</v>
      </c>
      <c r="G317" s="5"/>
      <c r="H317" s="6">
        <v>28</v>
      </c>
      <c r="I317" s="5">
        <v>5.2631578947368416</v>
      </c>
      <c r="J317" s="5"/>
      <c r="K317" s="6">
        <v>13</v>
      </c>
      <c r="L317" s="5">
        <v>13</v>
      </c>
      <c r="N317" s="37">
        <f t="shared" si="35"/>
        <v>5.3</v>
      </c>
      <c r="O317" s="37">
        <f t="shared" si="36"/>
        <v>5.0999999999999996</v>
      </c>
      <c r="P317" s="37">
        <f t="shared" si="37"/>
        <v>5.3</v>
      </c>
      <c r="Q317" s="37">
        <f t="shared" si="38"/>
        <v>13</v>
      </c>
      <c r="R317" s="37"/>
      <c r="S317" s="37"/>
      <c r="T317" s="37"/>
      <c r="U317" s="37"/>
    </row>
    <row r="318" spans="1:21" ht="14.1" customHeight="1" x14ac:dyDescent="0.25">
      <c r="A318" s="61" t="s">
        <v>29</v>
      </c>
      <c r="B318" s="6">
        <v>20</v>
      </c>
      <c r="C318" s="5">
        <v>0.32679738562091504</v>
      </c>
      <c r="D318" s="5"/>
      <c r="E318" s="6">
        <v>15</v>
      </c>
      <c r="F318" s="5">
        <v>0.27332361516034986</v>
      </c>
      <c r="G318" s="5"/>
      <c r="H318" s="6">
        <v>5</v>
      </c>
      <c r="I318" s="5">
        <v>0.93984962406015038</v>
      </c>
      <c r="J318" s="5"/>
      <c r="K318" s="3" t="s">
        <v>96</v>
      </c>
      <c r="L318" s="3" t="s">
        <v>96</v>
      </c>
      <c r="N318" s="37">
        <f t="shared" si="35"/>
        <v>0.3</v>
      </c>
      <c r="O318" s="37">
        <f t="shared" si="36"/>
        <v>0.3</v>
      </c>
      <c r="P318" s="37">
        <f t="shared" si="37"/>
        <v>0.9</v>
      </c>
      <c r="Q318" s="37" t="e">
        <f t="shared" si="38"/>
        <v>#VALUE!</v>
      </c>
      <c r="R318" s="37"/>
      <c r="S318" s="37"/>
      <c r="T318" s="37"/>
      <c r="U318" s="37"/>
    </row>
    <row r="319" spans="1:21" ht="14.1" customHeight="1" x14ac:dyDescent="0.25">
      <c r="A319" s="61" t="s">
        <v>30</v>
      </c>
      <c r="B319" s="6">
        <v>414</v>
      </c>
      <c r="C319" s="5">
        <v>6.7647058823529411</v>
      </c>
      <c r="D319" s="5"/>
      <c r="E319" s="6">
        <v>366</v>
      </c>
      <c r="F319" s="5">
        <v>6.6690962099125368</v>
      </c>
      <c r="G319" s="5"/>
      <c r="H319" s="6">
        <v>38</v>
      </c>
      <c r="I319" s="5">
        <v>7.1428571428571423</v>
      </c>
      <c r="J319" s="5"/>
      <c r="K319" s="3">
        <v>10</v>
      </c>
      <c r="L319" s="3">
        <v>10</v>
      </c>
      <c r="N319" s="37">
        <f t="shared" si="35"/>
        <v>6.8</v>
      </c>
      <c r="O319" s="37">
        <f t="shared" si="36"/>
        <v>6.7</v>
      </c>
      <c r="P319" s="37">
        <f t="shared" si="37"/>
        <v>7.1</v>
      </c>
      <c r="Q319" s="37">
        <f t="shared" si="38"/>
        <v>10</v>
      </c>
      <c r="R319" s="37"/>
      <c r="S319" s="37"/>
      <c r="T319" s="37"/>
      <c r="U319" s="37"/>
    </row>
    <row r="320" spans="1:21" ht="14.1" customHeight="1" x14ac:dyDescent="0.25">
      <c r="A320" s="61" t="s">
        <v>31</v>
      </c>
      <c r="B320" s="6">
        <v>36</v>
      </c>
      <c r="C320" s="5">
        <v>0.58823529411764708</v>
      </c>
      <c r="D320" s="5"/>
      <c r="E320" s="6">
        <v>26</v>
      </c>
      <c r="F320" s="5">
        <v>0.47376093294460642</v>
      </c>
      <c r="G320" s="5"/>
      <c r="H320" s="6">
        <v>7</v>
      </c>
      <c r="I320" s="5">
        <v>1.3157894736842104</v>
      </c>
      <c r="J320" s="5"/>
      <c r="K320" s="3">
        <v>3</v>
      </c>
      <c r="L320" s="3">
        <v>3</v>
      </c>
      <c r="N320" s="37">
        <f t="shared" si="35"/>
        <v>0.6</v>
      </c>
      <c r="O320" s="37">
        <f t="shared" si="36"/>
        <v>0.5</v>
      </c>
      <c r="P320" s="37">
        <f t="shared" si="37"/>
        <v>1.3</v>
      </c>
      <c r="Q320" s="37">
        <f t="shared" si="38"/>
        <v>3</v>
      </c>
      <c r="R320" s="37"/>
      <c r="S320" s="37"/>
      <c r="T320" s="37"/>
      <c r="U320" s="37"/>
    </row>
    <row r="321" spans="1:21" ht="14.1" customHeight="1" x14ac:dyDescent="0.25">
      <c r="A321" s="61" t="s">
        <v>32</v>
      </c>
      <c r="B321" s="6">
        <v>1025</v>
      </c>
      <c r="C321" s="5">
        <v>16.748366013071895</v>
      </c>
      <c r="D321" s="5"/>
      <c r="E321" s="6">
        <v>944</v>
      </c>
      <c r="F321" s="5">
        <v>17.201166180758019</v>
      </c>
      <c r="G321" s="5"/>
      <c r="H321" s="6">
        <v>72</v>
      </c>
      <c r="I321" s="5">
        <v>13.533834586466165</v>
      </c>
      <c r="J321" s="5"/>
      <c r="K321" s="3">
        <v>9</v>
      </c>
      <c r="L321" s="3">
        <v>9</v>
      </c>
      <c r="N321" s="37">
        <f t="shared" si="35"/>
        <v>16.7</v>
      </c>
      <c r="O321" s="37">
        <f t="shared" si="36"/>
        <v>17.2</v>
      </c>
      <c r="P321" s="37">
        <f t="shared" si="37"/>
        <v>13.5</v>
      </c>
      <c r="Q321" s="37">
        <f t="shared" si="38"/>
        <v>9</v>
      </c>
      <c r="R321" s="37"/>
      <c r="S321" s="37"/>
      <c r="T321" s="37"/>
      <c r="U321" s="37"/>
    </row>
    <row r="322" spans="1:21" ht="14.1" customHeight="1" x14ac:dyDescent="0.25">
      <c r="A322" s="61" t="s">
        <v>33</v>
      </c>
      <c r="B322" s="6">
        <v>1799</v>
      </c>
      <c r="C322" s="5">
        <v>29.395424836601308</v>
      </c>
      <c r="D322" s="5"/>
      <c r="E322" s="6">
        <v>1500</v>
      </c>
      <c r="F322" s="5">
        <v>27.232361516034985</v>
      </c>
      <c r="G322" s="5"/>
      <c r="H322" s="6">
        <v>238</v>
      </c>
      <c r="I322" s="5">
        <v>44.93684210526316</v>
      </c>
      <c r="J322" s="5"/>
      <c r="K322" s="3">
        <v>61</v>
      </c>
      <c r="L322" s="3">
        <v>61</v>
      </c>
      <c r="N322" s="37">
        <f t="shared" si="35"/>
        <v>29.4</v>
      </c>
      <c r="O322" s="37">
        <f t="shared" si="36"/>
        <v>27.2</v>
      </c>
      <c r="P322" s="37">
        <f t="shared" si="37"/>
        <v>44.9</v>
      </c>
      <c r="Q322" s="37">
        <f t="shared" si="38"/>
        <v>61</v>
      </c>
      <c r="R322" s="37"/>
      <c r="S322" s="37"/>
      <c r="T322" s="37"/>
      <c r="U322" s="37"/>
    </row>
    <row r="323" spans="1:21" ht="14.1" customHeight="1" x14ac:dyDescent="0.25">
      <c r="A323" s="61" t="s">
        <v>34</v>
      </c>
      <c r="B323" s="6">
        <v>339</v>
      </c>
      <c r="C323" s="5">
        <v>5.5392156862745097</v>
      </c>
      <c r="D323" s="5"/>
      <c r="E323" s="6">
        <v>300</v>
      </c>
      <c r="F323" s="5">
        <v>5.4664723032069968</v>
      </c>
      <c r="G323" s="5"/>
      <c r="H323" s="6">
        <v>38</v>
      </c>
      <c r="I323" s="5">
        <v>7.1428571428571423</v>
      </c>
      <c r="J323" s="5"/>
      <c r="K323" s="3">
        <v>1</v>
      </c>
      <c r="L323" s="3">
        <v>1</v>
      </c>
      <c r="N323" s="37">
        <f t="shared" si="35"/>
        <v>5.5</v>
      </c>
      <c r="O323" s="37">
        <f t="shared" si="36"/>
        <v>5.5</v>
      </c>
      <c r="P323" s="37">
        <f t="shared" si="37"/>
        <v>7.1</v>
      </c>
      <c r="Q323" s="37">
        <f t="shared" si="38"/>
        <v>1</v>
      </c>
      <c r="R323" s="37"/>
      <c r="S323" s="37"/>
      <c r="T323" s="37"/>
      <c r="U323" s="37"/>
    </row>
    <row r="324" spans="1:21" ht="14.1" customHeight="1" x14ac:dyDescent="0.25">
      <c r="A324" s="61" t="s">
        <v>67</v>
      </c>
      <c r="B324" s="6">
        <v>105</v>
      </c>
      <c r="C324" s="5">
        <v>1.715686274509804</v>
      </c>
      <c r="D324" s="5"/>
      <c r="E324" s="6">
        <v>99</v>
      </c>
      <c r="F324" s="5">
        <v>1.8039358600583093</v>
      </c>
      <c r="G324" s="5"/>
      <c r="H324" s="6">
        <v>6</v>
      </c>
      <c r="I324" s="5">
        <v>1.1278195488721803</v>
      </c>
      <c r="J324" s="5"/>
      <c r="K324" s="3" t="s">
        <v>96</v>
      </c>
      <c r="L324" s="3" t="s">
        <v>96</v>
      </c>
      <c r="N324" s="37">
        <f t="shared" si="35"/>
        <v>1.7</v>
      </c>
      <c r="O324" s="37">
        <f t="shared" si="36"/>
        <v>1.8</v>
      </c>
      <c r="P324" s="37">
        <f t="shared" si="37"/>
        <v>1.1000000000000001</v>
      </c>
      <c r="Q324" s="37" t="e">
        <f t="shared" si="38"/>
        <v>#VALUE!</v>
      </c>
      <c r="R324" s="37"/>
      <c r="S324" s="37"/>
      <c r="T324" s="37"/>
      <c r="U324" s="37"/>
    </row>
    <row r="325" spans="1:21" ht="14.1" customHeight="1" x14ac:dyDescent="0.25">
      <c r="A325" s="61" t="s">
        <v>69</v>
      </c>
      <c r="B325" s="6">
        <v>151</v>
      </c>
      <c r="C325" s="5">
        <v>2.4673202614379086</v>
      </c>
      <c r="D325" s="5"/>
      <c r="E325" s="6">
        <v>143</v>
      </c>
      <c r="F325" s="5">
        <v>2.6056851311953353</v>
      </c>
      <c r="G325" s="5"/>
      <c r="H325" s="6">
        <v>8</v>
      </c>
      <c r="I325" s="5">
        <v>1.5037593984962405</v>
      </c>
      <c r="J325" s="5"/>
      <c r="K325" s="3" t="s">
        <v>96</v>
      </c>
      <c r="L325" s="3" t="s">
        <v>96</v>
      </c>
      <c r="N325" s="37">
        <f t="shared" si="35"/>
        <v>2.5</v>
      </c>
      <c r="O325" s="37">
        <f t="shared" si="36"/>
        <v>2.6</v>
      </c>
      <c r="P325" s="37">
        <f t="shared" si="37"/>
        <v>1.5</v>
      </c>
      <c r="Q325" s="37" t="e">
        <f t="shared" si="38"/>
        <v>#VALUE!</v>
      </c>
      <c r="R325" s="37"/>
      <c r="S325" s="37"/>
      <c r="T325" s="37"/>
      <c r="U325" s="37"/>
    </row>
    <row r="326" spans="1:21" ht="14.1" customHeight="1" x14ac:dyDescent="0.25">
      <c r="A326" s="61" t="s">
        <v>35</v>
      </c>
      <c r="B326" s="6">
        <v>182</v>
      </c>
      <c r="C326" s="5">
        <v>2.9738562091503264</v>
      </c>
      <c r="D326" s="5"/>
      <c r="E326" s="6">
        <v>162</v>
      </c>
      <c r="F326" s="5">
        <v>2.9518950437317786</v>
      </c>
      <c r="G326" s="5"/>
      <c r="H326" s="6">
        <v>19</v>
      </c>
      <c r="I326" s="5">
        <v>3.5714285714285712</v>
      </c>
      <c r="J326" s="5"/>
      <c r="K326" s="6">
        <v>1</v>
      </c>
      <c r="L326" s="5">
        <v>1</v>
      </c>
      <c r="N326" s="37">
        <f t="shared" si="35"/>
        <v>3</v>
      </c>
      <c r="O326" s="37">
        <f t="shared" si="36"/>
        <v>3</v>
      </c>
      <c r="P326" s="37">
        <f t="shared" si="37"/>
        <v>3.6</v>
      </c>
      <c r="Q326" s="37">
        <f t="shared" si="38"/>
        <v>1</v>
      </c>
      <c r="R326" s="37"/>
      <c r="S326" s="37"/>
      <c r="T326" s="37"/>
      <c r="U326" s="37"/>
    </row>
    <row r="327" spans="1:21" ht="14.1" customHeight="1" x14ac:dyDescent="0.25">
      <c r="A327" s="61" t="s">
        <v>36</v>
      </c>
      <c r="B327" s="6">
        <v>1098</v>
      </c>
      <c r="C327" s="5">
        <v>17.941176470588236</v>
      </c>
      <c r="D327" s="5"/>
      <c r="E327" s="6">
        <v>1055</v>
      </c>
      <c r="F327" s="5">
        <v>19.223760932944607</v>
      </c>
      <c r="G327" s="5"/>
      <c r="H327" s="6">
        <v>42</v>
      </c>
      <c r="I327" s="5">
        <v>7.8947368421052628</v>
      </c>
      <c r="J327" s="5"/>
      <c r="K327" s="6">
        <v>1</v>
      </c>
      <c r="L327" s="5">
        <v>1</v>
      </c>
      <c r="N327" s="37">
        <f t="shared" si="35"/>
        <v>17.899999999999999</v>
      </c>
      <c r="O327" s="37">
        <f t="shared" si="36"/>
        <v>19.2</v>
      </c>
      <c r="P327" s="37">
        <f t="shared" si="37"/>
        <v>7.9</v>
      </c>
      <c r="Q327" s="37">
        <f t="shared" si="38"/>
        <v>1</v>
      </c>
      <c r="R327" s="37"/>
      <c r="S327" s="37"/>
      <c r="T327" s="37"/>
      <c r="U327" s="37"/>
    </row>
    <row r="328" spans="1:21" ht="14.1" customHeight="1" x14ac:dyDescent="0.25">
      <c r="A328" s="61" t="s">
        <v>37</v>
      </c>
      <c r="B328" s="6">
        <v>628</v>
      </c>
      <c r="C328" s="5">
        <v>10.261437908496731</v>
      </c>
      <c r="D328" s="5"/>
      <c r="E328" s="6">
        <v>596</v>
      </c>
      <c r="F328" s="5">
        <v>10.860058309037901</v>
      </c>
      <c r="G328" s="5"/>
      <c r="H328" s="6">
        <v>31</v>
      </c>
      <c r="I328" s="5">
        <v>5.8270676691729317</v>
      </c>
      <c r="J328" s="5"/>
      <c r="K328" s="6">
        <v>1</v>
      </c>
      <c r="L328" s="5">
        <v>1</v>
      </c>
      <c r="N328" s="37">
        <f t="shared" si="35"/>
        <v>10.3</v>
      </c>
      <c r="O328" s="37">
        <f t="shared" si="36"/>
        <v>10.9</v>
      </c>
      <c r="P328" s="37">
        <f t="shared" si="37"/>
        <v>5.8</v>
      </c>
      <c r="Q328" s="37">
        <f t="shared" si="38"/>
        <v>1</v>
      </c>
      <c r="R328" s="37"/>
      <c r="S328" s="37"/>
      <c r="T328" s="37"/>
      <c r="U328" s="37"/>
    </row>
    <row r="329" spans="1:21" ht="14.1" customHeight="1" x14ac:dyDescent="0.25">
      <c r="A329" s="61"/>
      <c r="B329" s="6"/>
      <c r="C329" s="5"/>
      <c r="D329" s="5"/>
      <c r="E329" s="6"/>
      <c r="F329" s="5"/>
      <c r="G329" s="5"/>
      <c r="H329" s="6"/>
      <c r="I329" s="5"/>
      <c r="J329" s="5"/>
      <c r="K329" s="6"/>
      <c r="L329" s="5"/>
      <c r="N329" s="37">
        <f t="shared" si="35"/>
        <v>0</v>
      </c>
      <c r="O329" s="37">
        <f t="shared" si="36"/>
        <v>0</v>
      </c>
      <c r="P329" s="37">
        <f t="shared" si="37"/>
        <v>0</v>
      </c>
      <c r="Q329" s="37">
        <f t="shared" si="38"/>
        <v>0</v>
      </c>
      <c r="R329" s="37"/>
      <c r="S329" s="37"/>
      <c r="T329" s="37"/>
      <c r="U329" s="37"/>
    </row>
    <row r="330" spans="1:21" ht="14.1" customHeight="1" x14ac:dyDescent="0.25">
      <c r="A330" s="91" t="s">
        <v>3</v>
      </c>
      <c r="B330" s="9">
        <v>2709</v>
      </c>
      <c r="C330" s="15">
        <v>100</v>
      </c>
      <c r="D330" s="15"/>
      <c r="E330" s="9">
        <v>2427</v>
      </c>
      <c r="F330" s="15">
        <v>100</v>
      </c>
      <c r="G330" s="15"/>
      <c r="H330" s="9">
        <v>230</v>
      </c>
      <c r="I330" s="15">
        <v>100</v>
      </c>
      <c r="J330" s="15"/>
      <c r="K330" s="9">
        <v>52</v>
      </c>
      <c r="L330" s="15">
        <v>100</v>
      </c>
      <c r="N330" s="37">
        <f>SUM(N331:N342)</f>
        <v>100</v>
      </c>
      <c r="O330" s="37">
        <f t="shared" ref="O330:Q330" si="42">SUM(O331:O342)</f>
        <v>99.999999999999986</v>
      </c>
      <c r="P330" s="37" t="e">
        <f t="shared" si="42"/>
        <v>#VALUE!</v>
      </c>
      <c r="Q330" s="37" t="e">
        <f t="shared" si="42"/>
        <v>#VALUE!</v>
      </c>
      <c r="R330" s="37"/>
      <c r="S330" s="37"/>
      <c r="T330" s="37"/>
      <c r="U330" s="37"/>
    </row>
    <row r="331" spans="1:21" ht="14.1" customHeight="1" x14ac:dyDescent="0.25">
      <c r="A331" s="61" t="s">
        <v>57</v>
      </c>
      <c r="B331" s="6">
        <v>48</v>
      </c>
      <c r="C331" s="5">
        <v>1.7718715393133997</v>
      </c>
      <c r="D331" s="5"/>
      <c r="E331" s="6">
        <v>41</v>
      </c>
      <c r="F331" s="5">
        <v>1.6893283889575605</v>
      </c>
      <c r="G331" s="5"/>
      <c r="H331" s="6">
        <v>4</v>
      </c>
      <c r="I331" s="5">
        <v>1.7391304347826086</v>
      </c>
      <c r="J331" s="5"/>
      <c r="K331" s="6">
        <v>3</v>
      </c>
      <c r="L331" s="5">
        <v>5.7692307692307692</v>
      </c>
      <c r="N331" s="37">
        <f t="shared" si="35"/>
        <v>1.8</v>
      </c>
      <c r="O331" s="37">
        <f t="shared" si="36"/>
        <v>1.7</v>
      </c>
      <c r="P331" s="37">
        <f t="shared" si="37"/>
        <v>1.7</v>
      </c>
      <c r="Q331" s="37">
        <f t="shared" si="38"/>
        <v>5.8</v>
      </c>
      <c r="R331" s="37"/>
      <c r="S331" s="37"/>
      <c r="T331" s="37"/>
      <c r="U331" s="37"/>
    </row>
    <row r="332" spans="1:21" ht="14.1" customHeight="1" x14ac:dyDescent="0.25">
      <c r="A332" s="61" t="s">
        <v>29</v>
      </c>
      <c r="B332" s="6">
        <v>17</v>
      </c>
      <c r="C332" s="5">
        <v>0.6275378368401624</v>
      </c>
      <c r="D332" s="5"/>
      <c r="E332" s="6">
        <v>17</v>
      </c>
      <c r="F332" s="5">
        <v>0.70045323444581786</v>
      </c>
      <c r="G332" s="5"/>
      <c r="H332" s="3" t="s">
        <v>96</v>
      </c>
      <c r="I332" s="3" t="s">
        <v>96</v>
      </c>
      <c r="J332" s="5"/>
      <c r="K332" s="3" t="s">
        <v>96</v>
      </c>
      <c r="L332" s="16" t="s">
        <v>96</v>
      </c>
      <c r="N332" s="37">
        <f t="shared" si="35"/>
        <v>0.6</v>
      </c>
      <c r="O332" s="37">
        <f t="shared" si="36"/>
        <v>0.7</v>
      </c>
      <c r="P332" s="37" t="e">
        <f t="shared" si="37"/>
        <v>#VALUE!</v>
      </c>
      <c r="Q332" s="37" t="e">
        <f t="shared" si="38"/>
        <v>#VALUE!</v>
      </c>
      <c r="R332" s="37"/>
      <c r="S332" s="37"/>
      <c r="T332" s="37"/>
      <c r="U332" s="37"/>
    </row>
    <row r="333" spans="1:21" ht="14.1" customHeight="1" x14ac:dyDescent="0.25">
      <c r="A333" s="61" t="s">
        <v>30</v>
      </c>
      <c r="B333" s="6">
        <v>256</v>
      </c>
      <c r="C333" s="5">
        <v>9.4499815430047978</v>
      </c>
      <c r="D333" s="5"/>
      <c r="E333" s="6">
        <v>209</v>
      </c>
      <c r="F333" s="5">
        <v>8.611454470539762</v>
      </c>
      <c r="G333" s="5"/>
      <c r="H333" s="6">
        <v>40</v>
      </c>
      <c r="I333" s="5">
        <v>17.391304347826086</v>
      </c>
      <c r="J333" s="5"/>
      <c r="K333" s="3">
        <v>7</v>
      </c>
      <c r="L333" s="16">
        <v>13.461538461538462</v>
      </c>
      <c r="N333" s="37">
        <f t="shared" si="35"/>
        <v>9.4</v>
      </c>
      <c r="O333" s="37">
        <f t="shared" si="36"/>
        <v>8.6</v>
      </c>
      <c r="P333" s="37">
        <f t="shared" si="37"/>
        <v>17.399999999999999</v>
      </c>
      <c r="Q333" s="37">
        <f t="shared" si="38"/>
        <v>13.5</v>
      </c>
      <c r="R333" s="37"/>
      <c r="S333" s="37"/>
      <c r="T333" s="37"/>
      <c r="U333" s="37"/>
    </row>
    <row r="334" spans="1:21" ht="14.1" customHeight="1" x14ac:dyDescent="0.25">
      <c r="A334" s="61" t="s">
        <v>31</v>
      </c>
      <c r="B334" s="6">
        <v>17</v>
      </c>
      <c r="C334" s="5">
        <v>0.6275378368401624</v>
      </c>
      <c r="D334" s="5"/>
      <c r="E334" s="6">
        <v>15</v>
      </c>
      <c r="F334" s="5">
        <v>0.61804697156983934</v>
      </c>
      <c r="G334" s="5"/>
      <c r="H334" s="6">
        <v>1</v>
      </c>
      <c r="I334" s="5">
        <v>0.43478260869565216</v>
      </c>
      <c r="J334" s="5"/>
      <c r="K334" s="3">
        <v>1</v>
      </c>
      <c r="L334" s="16">
        <v>1.9230769230769231</v>
      </c>
      <c r="N334" s="37">
        <f t="shared" si="35"/>
        <v>0.6</v>
      </c>
      <c r="O334" s="37">
        <f t="shared" si="36"/>
        <v>0.6</v>
      </c>
      <c r="P334" s="37">
        <f t="shared" si="37"/>
        <v>0.4</v>
      </c>
      <c r="Q334" s="37">
        <f t="shared" si="38"/>
        <v>1.9</v>
      </c>
      <c r="R334" s="37"/>
      <c r="S334" s="37"/>
      <c r="T334" s="37"/>
      <c r="U334" s="37"/>
    </row>
    <row r="335" spans="1:21" ht="14.1" customHeight="1" x14ac:dyDescent="0.25">
      <c r="A335" s="61" t="s">
        <v>32</v>
      </c>
      <c r="B335" s="6">
        <v>249</v>
      </c>
      <c r="C335" s="5">
        <v>9.1915836101882622</v>
      </c>
      <c r="D335" s="5"/>
      <c r="E335" s="6">
        <v>235</v>
      </c>
      <c r="F335" s="5">
        <v>9.6827358879274819</v>
      </c>
      <c r="G335" s="5"/>
      <c r="H335" s="6">
        <v>14</v>
      </c>
      <c r="I335" s="5">
        <v>6.0869565217391308</v>
      </c>
      <c r="J335" s="5"/>
      <c r="K335" s="3" t="s">
        <v>96</v>
      </c>
      <c r="L335" s="16" t="s">
        <v>96</v>
      </c>
      <c r="N335" s="37">
        <f t="shared" si="35"/>
        <v>9.1999999999999993</v>
      </c>
      <c r="O335" s="37">
        <f t="shared" si="36"/>
        <v>9.6999999999999993</v>
      </c>
      <c r="P335" s="37">
        <f t="shared" si="37"/>
        <v>6.1</v>
      </c>
      <c r="Q335" s="37" t="e">
        <f t="shared" si="38"/>
        <v>#VALUE!</v>
      </c>
      <c r="R335" s="37"/>
      <c r="S335" s="37"/>
      <c r="T335" s="37"/>
      <c r="U335" s="37"/>
    </row>
    <row r="336" spans="1:21" ht="14.1" customHeight="1" x14ac:dyDescent="0.25">
      <c r="A336" s="61" t="s">
        <v>33</v>
      </c>
      <c r="B336" s="6">
        <v>917</v>
      </c>
      <c r="C336" s="5">
        <v>33.750129198966413</v>
      </c>
      <c r="D336" s="5"/>
      <c r="E336" s="6">
        <v>771</v>
      </c>
      <c r="F336" s="5">
        <v>31.767614338689743</v>
      </c>
      <c r="G336" s="5"/>
      <c r="H336" s="6">
        <v>111</v>
      </c>
      <c r="I336" s="5">
        <v>48.260869565217391</v>
      </c>
      <c r="J336" s="5"/>
      <c r="K336" s="3">
        <v>35</v>
      </c>
      <c r="L336" s="16">
        <v>67.307692307692307</v>
      </c>
      <c r="N336" s="37">
        <f t="shared" si="35"/>
        <v>33.799999999999997</v>
      </c>
      <c r="O336" s="37">
        <f t="shared" si="36"/>
        <v>31.8</v>
      </c>
      <c r="P336" s="37">
        <f t="shared" si="37"/>
        <v>48.3</v>
      </c>
      <c r="Q336" s="37">
        <f t="shared" si="38"/>
        <v>67.3</v>
      </c>
      <c r="R336" s="37"/>
      <c r="S336" s="37"/>
      <c r="T336" s="37"/>
      <c r="U336" s="37"/>
    </row>
    <row r="337" spans="1:21" ht="14.1" customHeight="1" x14ac:dyDescent="0.25">
      <c r="A337" s="61" t="s">
        <v>34</v>
      </c>
      <c r="B337" s="6">
        <v>346</v>
      </c>
      <c r="C337" s="5">
        <v>12.772240679217422</v>
      </c>
      <c r="D337" s="5"/>
      <c r="E337" s="6">
        <v>323</v>
      </c>
      <c r="F337" s="5">
        <v>13.30861145447054</v>
      </c>
      <c r="G337" s="5"/>
      <c r="H337" s="6">
        <v>20</v>
      </c>
      <c r="I337" s="5">
        <v>8.695652173913043</v>
      </c>
      <c r="J337" s="5"/>
      <c r="K337" s="3">
        <v>3</v>
      </c>
      <c r="L337" s="16">
        <v>5.7692307692307692</v>
      </c>
      <c r="N337" s="37">
        <f t="shared" si="35"/>
        <v>12.8</v>
      </c>
      <c r="O337" s="37">
        <f t="shared" si="36"/>
        <v>13.3</v>
      </c>
      <c r="P337" s="37">
        <f t="shared" si="37"/>
        <v>8.6999999999999993</v>
      </c>
      <c r="Q337" s="37">
        <f t="shared" si="38"/>
        <v>5.8</v>
      </c>
      <c r="R337" s="37"/>
      <c r="S337" s="37"/>
      <c r="T337" s="37"/>
      <c r="U337" s="37"/>
    </row>
    <row r="338" spans="1:21" ht="14.1" customHeight="1" x14ac:dyDescent="0.25">
      <c r="A338" s="61" t="s">
        <v>67</v>
      </c>
      <c r="B338" s="6">
        <v>53</v>
      </c>
      <c r="C338" s="5">
        <v>1.9564414913252122</v>
      </c>
      <c r="D338" s="5"/>
      <c r="E338" s="6">
        <v>51</v>
      </c>
      <c r="F338" s="5">
        <v>2.1013597033374536</v>
      </c>
      <c r="G338" s="5"/>
      <c r="H338" s="6">
        <v>2</v>
      </c>
      <c r="I338" s="5">
        <v>0.86956521739130432</v>
      </c>
      <c r="J338" s="5"/>
      <c r="K338" s="3" t="s">
        <v>96</v>
      </c>
      <c r="L338" s="16" t="s">
        <v>96</v>
      </c>
      <c r="N338" s="37">
        <f t="shared" si="35"/>
        <v>2</v>
      </c>
      <c r="O338" s="37">
        <f t="shared" si="36"/>
        <v>2.1</v>
      </c>
      <c r="P338" s="37">
        <f t="shared" si="37"/>
        <v>0.9</v>
      </c>
      <c r="Q338" s="37" t="e">
        <f t="shared" si="38"/>
        <v>#VALUE!</v>
      </c>
      <c r="R338" s="37"/>
      <c r="S338" s="37"/>
      <c r="T338" s="37"/>
      <c r="U338" s="37"/>
    </row>
    <row r="339" spans="1:21" ht="14.1" customHeight="1" x14ac:dyDescent="0.25">
      <c r="A339" s="61" t="s">
        <v>69</v>
      </c>
      <c r="B339" s="6">
        <v>78</v>
      </c>
      <c r="C339" s="5">
        <v>2.8792912513842746</v>
      </c>
      <c r="D339" s="5"/>
      <c r="E339" s="6">
        <v>73</v>
      </c>
      <c r="F339" s="5">
        <v>3.0078285949732178</v>
      </c>
      <c r="G339" s="5"/>
      <c r="H339" s="6">
        <v>5</v>
      </c>
      <c r="I339" s="5">
        <v>2.1739130434782608</v>
      </c>
      <c r="J339" s="5"/>
      <c r="K339" s="3" t="s">
        <v>96</v>
      </c>
      <c r="L339" s="16" t="s">
        <v>96</v>
      </c>
      <c r="N339" s="37">
        <f t="shared" si="35"/>
        <v>2.9</v>
      </c>
      <c r="O339" s="37">
        <f t="shared" si="36"/>
        <v>3</v>
      </c>
      <c r="P339" s="37">
        <f t="shared" si="37"/>
        <v>2.2000000000000002</v>
      </c>
      <c r="Q339" s="37" t="e">
        <f t="shared" si="38"/>
        <v>#VALUE!</v>
      </c>
      <c r="R339" s="37"/>
      <c r="S339" s="37"/>
      <c r="T339" s="37"/>
      <c r="U339" s="37"/>
    </row>
    <row r="340" spans="1:21" ht="14.1" customHeight="1" x14ac:dyDescent="0.25">
      <c r="A340" s="61" t="s">
        <v>35</v>
      </c>
      <c r="B340" s="6">
        <v>70</v>
      </c>
      <c r="C340" s="5">
        <v>2.5839793281653747</v>
      </c>
      <c r="D340" s="5"/>
      <c r="E340" s="6">
        <v>63</v>
      </c>
      <c r="F340" s="5">
        <v>2.5957972805933252</v>
      </c>
      <c r="G340" s="5"/>
      <c r="H340" s="6">
        <v>6</v>
      </c>
      <c r="I340" s="5">
        <v>2.6086956521739131</v>
      </c>
      <c r="J340" s="5"/>
      <c r="K340" s="6">
        <v>1</v>
      </c>
      <c r="L340" s="5">
        <v>1.9230769230769231</v>
      </c>
      <c r="N340" s="37">
        <f t="shared" si="35"/>
        <v>2.6</v>
      </c>
      <c r="O340" s="37">
        <f t="shared" si="36"/>
        <v>2.6</v>
      </c>
      <c r="P340" s="37">
        <f t="shared" si="37"/>
        <v>2.6</v>
      </c>
      <c r="Q340" s="37">
        <f t="shared" si="38"/>
        <v>1.9</v>
      </c>
      <c r="R340" s="37"/>
      <c r="S340" s="37"/>
      <c r="T340" s="37"/>
      <c r="U340" s="37"/>
    </row>
    <row r="341" spans="1:21" ht="14.1" customHeight="1" x14ac:dyDescent="0.25">
      <c r="A341" s="61" t="s">
        <v>36</v>
      </c>
      <c r="B341" s="6">
        <v>355</v>
      </c>
      <c r="C341" s="5">
        <v>13.104466592838687</v>
      </c>
      <c r="D341" s="5"/>
      <c r="E341" s="6">
        <v>344</v>
      </c>
      <c r="F341" s="5">
        <v>14.173877214668314</v>
      </c>
      <c r="G341" s="5"/>
      <c r="H341" s="6">
        <v>10</v>
      </c>
      <c r="I341" s="5">
        <v>4.3478260869565215</v>
      </c>
      <c r="J341" s="5"/>
      <c r="K341" s="6">
        <v>1</v>
      </c>
      <c r="L341" s="5">
        <v>1.9230769230769231</v>
      </c>
      <c r="N341" s="37">
        <f t="shared" si="35"/>
        <v>13.1</v>
      </c>
      <c r="O341" s="37">
        <f t="shared" si="36"/>
        <v>14.2</v>
      </c>
      <c r="P341" s="37">
        <f t="shared" si="37"/>
        <v>4.3</v>
      </c>
      <c r="Q341" s="37">
        <f t="shared" si="38"/>
        <v>1.9</v>
      </c>
      <c r="R341" s="37"/>
      <c r="S341" s="37"/>
      <c r="T341" s="37"/>
      <c r="U341" s="37"/>
    </row>
    <row r="342" spans="1:21" ht="14.1" customHeight="1" x14ac:dyDescent="0.25">
      <c r="A342" s="61" t="s">
        <v>37</v>
      </c>
      <c r="B342" s="6">
        <v>303</v>
      </c>
      <c r="C342" s="5">
        <v>11.184939091915837</v>
      </c>
      <c r="D342" s="5"/>
      <c r="E342" s="6">
        <v>285</v>
      </c>
      <c r="F342" s="5">
        <v>11.742892459826946</v>
      </c>
      <c r="G342" s="5"/>
      <c r="H342" s="6">
        <v>17</v>
      </c>
      <c r="I342" s="5">
        <v>7.3913043478260869</v>
      </c>
      <c r="J342" s="5"/>
      <c r="K342" s="6">
        <v>1</v>
      </c>
      <c r="L342" s="5">
        <v>1.9230769230769231</v>
      </c>
      <c r="N342" s="37">
        <f t="shared" si="35"/>
        <v>11.2</v>
      </c>
      <c r="O342" s="37">
        <f t="shared" si="36"/>
        <v>11.7</v>
      </c>
      <c r="P342" s="37">
        <f t="shared" si="37"/>
        <v>7.4</v>
      </c>
      <c r="Q342" s="37">
        <f t="shared" si="38"/>
        <v>1.9</v>
      </c>
      <c r="R342" s="37"/>
      <c r="S342" s="37"/>
      <c r="T342" s="37"/>
      <c r="U342" s="37"/>
    </row>
    <row r="343" spans="1:21" ht="14.1" customHeight="1" x14ac:dyDescent="0.25">
      <c r="A343" s="61"/>
      <c r="B343" s="6"/>
      <c r="C343" s="5"/>
      <c r="D343" s="5"/>
      <c r="E343" s="6"/>
      <c r="F343" s="5"/>
      <c r="G343" s="5"/>
      <c r="H343" s="6"/>
      <c r="I343" s="5"/>
      <c r="J343" s="5"/>
      <c r="K343" s="6"/>
      <c r="L343" s="5"/>
      <c r="N343" s="37">
        <f t="shared" si="35"/>
        <v>0</v>
      </c>
      <c r="O343" s="37">
        <f t="shared" si="36"/>
        <v>0</v>
      </c>
      <c r="P343" s="37">
        <f t="shared" si="37"/>
        <v>0</v>
      </c>
      <c r="Q343" s="37">
        <f t="shared" si="38"/>
        <v>0</v>
      </c>
      <c r="R343" s="37"/>
      <c r="S343" s="37"/>
      <c r="T343" s="37"/>
      <c r="U343" s="37"/>
    </row>
    <row r="344" spans="1:21" ht="14.1" customHeight="1" x14ac:dyDescent="0.25">
      <c r="A344" s="91" t="s">
        <v>2</v>
      </c>
      <c r="B344" s="9">
        <v>663</v>
      </c>
      <c r="C344" s="15">
        <v>100</v>
      </c>
      <c r="D344" s="15"/>
      <c r="E344" s="9">
        <v>591</v>
      </c>
      <c r="F344" s="15">
        <v>100</v>
      </c>
      <c r="G344" s="9"/>
      <c r="H344" s="9">
        <v>59</v>
      </c>
      <c r="I344" s="15">
        <v>100</v>
      </c>
      <c r="J344" s="15"/>
      <c r="K344" s="9">
        <v>13</v>
      </c>
      <c r="L344" s="15">
        <v>100</v>
      </c>
      <c r="N344" s="37">
        <f>SUM(N345:N356)</f>
        <v>100.00000000000001</v>
      </c>
      <c r="O344" s="37">
        <f t="shared" ref="O344:Q344" si="43">SUM(O345:O356)</f>
        <v>100.00000000000001</v>
      </c>
      <c r="P344" s="37" t="e">
        <f t="shared" si="43"/>
        <v>#VALUE!</v>
      </c>
      <c r="Q344" s="37" t="e">
        <f t="shared" si="43"/>
        <v>#VALUE!</v>
      </c>
      <c r="R344" s="37"/>
      <c r="S344" s="37"/>
      <c r="T344" s="37"/>
      <c r="U344" s="37"/>
    </row>
    <row r="345" spans="1:21" ht="14.1" customHeight="1" x14ac:dyDescent="0.25">
      <c r="A345" s="61" t="s">
        <v>57</v>
      </c>
      <c r="B345" s="6">
        <v>69</v>
      </c>
      <c r="C345" s="5">
        <v>10.407239819004525</v>
      </c>
      <c r="D345" s="5"/>
      <c r="E345" s="6">
        <v>43</v>
      </c>
      <c r="F345" s="5">
        <v>7.2758037225042305</v>
      </c>
      <c r="G345" s="6"/>
      <c r="H345" s="6">
        <v>20</v>
      </c>
      <c r="I345" s="5">
        <v>33.898305084745758</v>
      </c>
      <c r="J345" s="5"/>
      <c r="K345" s="6">
        <v>6</v>
      </c>
      <c r="L345" s="5">
        <v>46.053846153846152</v>
      </c>
      <c r="N345" s="37">
        <f t="shared" ref="N345:N398" si="44">ROUND(C345,1)</f>
        <v>10.4</v>
      </c>
      <c r="O345" s="37">
        <f t="shared" ref="O345:O398" si="45">ROUND(F345,1)</f>
        <v>7.3</v>
      </c>
      <c r="P345" s="37">
        <f t="shared" ref="P345:P398" si="46">ROUND(I345,1)</f>
        <v>33.9</v>
      </c>
      <c r="Q345" s="37">
        <f t="shared" ref="Q345:Q398" si="47">ROUND(L345,1)</f>
        <v>46.1</v>
      </c>
      <c r="R345" s="37"/>
      <c r="S345" s="37"/>
      <c r="T345" s="37"/>
      <c r="U345" s="37"/>
    </row>
    <row r="346" spans="1:21" ht="14.1" customHeight="1" x14ac:dyDescent="0.25">
      <c r="A346" s="61" t="s">
        <v>29</v>
      </c>
      <c r="B346" s="6">
        <v>4</v>
      </c>
      <c r="C346" s="5">
        <v>0.60331825037707398</v>
      </c>
      <c r="D346" s="5"/>
      <c r="E346" s="6">
        <v>4</v>
      </c>
      <c r="F346" s="5">
        <v>0.67681895093062605</v>
      </c>
      <c r="G346" s="6"/>
      <c r="H346" s="3" t="s">
        <v>96</v>
      </c>
      <c r="I346" s="3" t="s">
        <v>96</v>
      </c>
      <c r="J346" s="5"/>
      <c r="K346" s="3" t="s">
        <v>96</v>
      </c>
      <c r="L346" s="16" t="s">
        <v>96</v>
      </c>
      <c r="N346" s="37">
        <f t="shared" si="44"/>
        <v>0.6</v>
      </c>
      <c r="O346" s="37">
        <f t="shared" si="45"/>
        <v>0.7</v>
      </c>
      <c r="P346" s="37" t="e">
        <f t="shared" si="46"/>
        <v>#VALUE!</v>
      </c>
      <c r="Q346" s="37" t="e">
        <f t="shared" si="47"/>
        <v>#VALUE!</v>
      </c>
      <c r="R346" s="37"/>
      <c r="S346" s="37"/>
      <c r="T346" s="37"/>
      <c r="U346" s="37"/>
    </row>
    <row r="347" spans="1:21" ht="14.1" customHeight="1" x14ac:dyDescent="0.25">
      <c r="A347" s="61" t="s">
        <v>30</v>
      </c>
      <c r="B347" s="6">
        <v>32</v>
      </c>
      <c r="C347" s="5">
        <v>4.8265460030165919</v>
      </c>
      <c r="D347" s="5"/>
      <c r="E347" s="6">
        <v>25</v>
      </c>
      <c r="F347" s="5">
        <v>4.230118443316413</v>
      </c>
      <c r="G347" s="6"/>
      <c r="H347" s="6">
        <v>4</v>
      </c>
      <c r="I347" s="5">
        <v>6.7796610169491522</v>
      </c>
      <c r="J347" s="5"/>
      <c r="K347" s="3">
        <v>3</v>
      </c>
      <c r="L347" s="16">
        <v>23.076923076923077</v>
      </c>
      <c r="N347" s="37">
        <f t="shared" si="44"/>
        <v>4.8</v>
      </c>
      <c r="O347" s="37">
        <f t="shared" si="45"/>
        <v>4.2</v>
      </c>
      <c r="P347" s="37">
        <f t="shared" si="46"/>
        <v>6.8</v>
      </c>
      <c r="Q347" s="37">
        <f t="shared" si="47"/>
        <v>23.1</v>
      </c>
      <c r="R347" s="37"/>
      <c r="S347" s="37"/>
      <c r="T347" s="37"/>
      <c r="U347" s="37"/>
    </row>
    <row r="348" spans="1:21" ht="14.1" customHeight="1" x14ac:dyDescent="0.25">
      <c r="A348" s="61" t="s">
        <v>31</v>
      </c>
      <c r="B348" s="6">
        <v>4</v>
      </c>
      <c r="C348" s="5">
        <v>0.60331825037707398</v>
      </c>
      <c r="D348" s="5"/>
      <c r="E348" s="6">
        <v>2</v>
      </c>
      <c r="F348" s="5">
        <v>0.33840947546531303</v>
      </c>
      <c r="G348" s="6"/>
      <c r="H348" s="6">
        <v>1</v>
      </c>
      <c r="I348" s="5">
        <v>1.6949152542372881</v>
      </c>
      <c r="J348" s="5"/>
      <c r="K348" s="3">
        <v>1</v>
      </c>
      <c r="L348" s="16">
        <v>7.6923076923076925</v>
      </c>
      <c r="N348" s="37">
        <f t="shared" si="44"/>
        <v>0.6</v>
      </c>
      <c r="O348" s="37">
        <f t="shared" si="45"/>
        <v>0.3</v>
      </c>
      <c r="P348" s="37">
        <f t="shared" si="46"/>
        <v>1.7</v>
      </c>
      <c r="Q348" s="37">
        <f t="shared" si="47"/>
        <v>7.7</v>
      </c>
      <c r="R348" s="37"/>
      <c r="S348" s="37"/>
      <c r="T348" s="37"/>
      <c r="U348" s="37"/>
    </row>
    <row r="349" spans="1:21" ht="14.1" customHeight="1" x14ac:dyDescent="0.25">
      <c r="A349" s="61" t="s">
        <v>32</v>
      </c>
      <c r="B349" s="6">
        <v>117</v>
      </c>
      <c r="C349" s="5">
        <v>17.647058823529413</v>
      </c>
      <c r="D349" s="5"/>
      <c r="E349" s="6">
        <v>113</v>
      </c>
      <c r="F349" s="5">
        <v>19.120135363790187</v>
      </c>
      <c r="G349" s="6"/>
      <c r="H349" s="6">
        <v>4</v>
      </c>
      <c r="I349" s="5">
        <v>6.7796610169491522</v>
      </c>
      <c r="J349" s="5"/>
      <c r="K349" s="3" t="s">
        <v>96</v>
      </c>
      <c r="L349" s="16" t="s">
        <v>96</v>
      </c>
      <c r="N349" s="37">
        <f t="shared" si="44"/>
        <v>17.600000000000001</v>
      </c>
      <c r="O349" s="37">
        <f t="shared" si="45"/>
        <v>19.100000000000001</v>
      </c>
      <c r="P349" s="37">
        <f t="shared" si="46"/>
        <v>6.8</v>
      </c>
      <c r="Q349" s="37" t="e">
        <f t="shared" si="47"/>
        <v>#VALUE!</v>
      </c>
      <c r="R349" s="37"/>
      <c r="S349" s="37"/>
      <c r="T349" s="37"/>
      <c r="U349" s="37"/>
    </row>
    <row r="350" spans="1:21" ht="14.1" customHeight="1" x14ac:dyDescent="0.25">
      <c r="A350" s="61" t="s">
        <v>33</v>
      </c>
      <c r="B350" s="6">
        <v>161</v>
      </c>
      <c r="C350" s="5">
        <v>24.283559577677224</v>
      </c>
      <c r="D350" s="5"/>
      <c r="E350" s="6">
        <v>146</v>
      </c>
      <c r="F350" s="5">
        <v>24.803891708967853</v>
      </c>
      <c r="G350" s="6"/>
      <c r="H350" s="6">
        <v>13</v>
      </c>
      <c r="I350" s="5">
        <v>21.933898305084742</v>
      </c>
      <c r="J350" s="5"/>
      <c r="K350" s="3">
        <v>2</v>
      </c>
      <c r="L350" s="16">
        <v>15.384615384615385</v>
      </c>
      <c r="N350" s="37">
        <f t="shared" si="44"/>
        <v>24.3</v>
      </c>
      <c r="O350" s="37">
        <f t="shared" si="45"/>
        <v>24.8</v>
      </c>
      <c r="P350" s="37">
        <f t="shared" si="46"/>
        <v>21.9</v>
      </c>
      <c r="Q350" s="37">
        <f t="shared" si="47"/>
        <v>15.4</v>
      </c>
      <c r="R350" s="37"/>
      <c r="S350" s="37"/>
      <c r="T350" s="37"/>
      <c r="U350" s="37"/>
    </row>
    <row r="351" spans="1:21" ht="14.1" customHeight="1" x14ac:dyDescent="0.25">
      <c r="A351" s="61" t="s">
        <v>34</v>
      </c>
      <c r="B351" s="6">
        <v>88</v>
      </c>
      <c r="C351" s="5">
        <v>13.273001508295627</v>
      </c>
      <c r="D351" s="5"/>
      <c r="E351" s="6">
        <v>83</v>
      </c>
      <c r="F351" s="5">
        <v>14.043993231810489</v>
      </c>
      <c r="G351" s="6"/>
      <c r="H351" s="6">
        <v>4</v>
      </c>
      <c r="I351" s="5">
        <v>6.7796610169491522</v>
      </c>
      <c r="J351" s="5"/>
      <c r="K351" s="3">
        <v>1</v>
      </c>
      <c r="L351" s="16">
        <v>7.6923076923076925</v>
      </c>
      <c r="N351" s="37">
        <f t="shared" si="44"/>
        <v>13.3</v>
      </c>
      <c r="O351" s="37">
        <f t="shared" si="45"/>
        <v>14</v>
      </c>
      <c r="P351" s="37">
        <f t="shared" si="46"/>
        <v>6.8</v>
      </c>
      <c r="Q351" s="37">
        <f t="shared" si="47"/>
        <v>7.7</v>
      </c>
      <c r="R351" s="37"/>
      <c r="S351" s="37"/>
      <c r="T351" s="37"/>
      <c r="U351" s="37"/>
    </row>
    <row r="352" spans="1:21" ht="14.1" customHeight="1" x14ac:dyDescent="0.25">
      <c r="A352" s="61" t="s">
        <v>67</v>
      </c>
      <c r="B352" s="6">
        <v>29</v>
      </c>
      <c r="C352" s="5">
        <v>4.3740573152337854</v>
      </c>
      <c r="D352" s="5"/>
      <c r="E352" s="6">
        <v>28</v>
      </c>
      <c r="F352" s="5">
        <v>4.7377326565143827</v>
      </c>
      <c r="G352" s="6"/>
      <c r="H352" s="6">
        <v>1</v>
      </c>
      <c r="I352" s="5">
        <v>1.6949152542372881</v>
      </c>
      <c r="J352" s="5"/>
      <c r="K352" s="3" t="s">
        <v>96</v>
      </c>
      <c r="L352" s="16" t="s">
        <v>96</v>
      </c>
      <c r="N352" s="37">
        <f t="shared" si="44"/>
        <v>4.4000000000000004</v>
      </c>
      <c r="O352" s="37">
        <f t="shared" si="45"/>
        <v>4.7</v>
      </c>
      <c r="P352" s="37">
        <f t="shared" si="46"/>
        <v>1.7</v>
      </c>
      <c r="Q352" s="37" t="e">
        <f t="shared" si="47"/>
        <v>#VALUE!</v>
      </c>
      <c r="R352" s="37"/>
      <c r="S352" s="37"/>
      <c r="T352" s="37"/>
      <c r="U352" s="37"/>
    </row>
    <row r="353" spans="1:21" ht="14.1" customHeight="1" x14ac:dyDescent="0.25">
      <c r="A353" s="61" t="s">
        <v>69</v>
      </c>
      <c r="B353" s="6">
        <v>16</v>
      </c>
      <c r="C353" s="5">
        <v>2.4132730015082959</v>
      </c>
      <c r="D353" s="5"/>
      <c r="E353" s="6">
        <v>15</v>
      </c>
      <c r="F353" s="5">
        <v>2.5380710659898478</v>
      </c>
      <c r="G353" s="6"/>
      <c r="H353" s="6">
        <v>1</v>
      </c>
      <c r="I353" s="5">
        <v>1.6949152542372881</v>
      </c>
      <c r="J353" s="5"/>
      <c r="K353" s="3" t="s">
        <v>96</v>
      </c>
      <c r="L353" s="16" t="s">
        <v>96</v>
      </c>
      <c r="N353" s="37">
        <f t="shared" si="44"/>
        <v>2.4</v>
      </c>
      <c r="O353" s="37">
        <f t="shared" si="45"/>
        <v>2.5</v>
      </c>
      <c r="P353" s="37">
        <f t="shared" si="46"/>
        <v>1.7</v>
      </c>
      <c r="Q353" s="37" t="e">
        <f t="shared" si="47"/>
        <v>#VALUE!</v>
      </c>
      <c r="R353" s="37"/>
      <c r="S353" s="37"/>
      <c r="T353" s="37"/>
      <c r="U353" s="37"/>
    </row>
    <row r="354" spans="1:21" ht="14.1" customHeight="1" x14ac:dyDescent="0.25">
      <c r="A354" s="61" t="s">
        <v>35</v>
      </c>
      <c r="B354" s="6">
        <v>8</v>
      </c>
      <c r="C354" s="5">
        <v>1.206636500754148</v>
      </c>
      <c r="D354" s="5"/>
      <c r="E354" s="6">
        <v>7</v>
      </c>
      <c r="F354" s="5">
        <v>1.1844331641285957</v>
      </c>
      <c r="G354" s="6"/>
      <c r="H354" s="6">
        <v>1</v>
      </c>
      <c r="I354" s="5">
        <v>1.6949152542372881</v>
      </c>
      <c r="J354" s="5"/>
      <c r="K354" s="3" t="s">
        <v>96</v>
      </c>
      <c r="L354" s="16" t="s">
        <v>96</v>
      </c>
      <c r="N354" s="37">
        <f t="shared" si="44"/>
        <v>1.2</v>
      </c>
      <c r="O354" s="37">
        <f t="shared" si="45"/>
        <v>1.2</v>
      </c>
      <c r="P354" s="37">
        <f t="shared" si="46"/>
        <v>1.7</v>
      </c>
      <c r="Q354" s="37" t="e">
        <f t="shared" si="47"/>
        <v>#VALUE!</v>
      </c>
      <c r="R354" s="37"/>
      <c r="S354" s="37"/>
      <c r="T354" s="37"/>
      <c r="U354" s="37"/>
    </row>
    <row r="355" spans="1:21" ht="14.1" customHeight="1" x14ac:dyDescent="0.25">
      <c r="A355" s="61" t="s">
        <v>36</v>
      </c>
      <c r="B355" s="6">
        <v>73</v>
      </c>
      <c r="C355" s="5">
        <v>11.010558069381599</v>
      </c>
      <c r="D355" s="5"/>
      <c r="E355" s="6">
        <v>66</v>
      </c>
      <c r="F355" s="5">
        <v>11.167512690355331</v>
      </c>
      <c r="G355" s="6"/>
      <c r="H355" s="6">
        <v>7</v>
      </c>
      <c r="I355" s="5">
        <v>11.864406779661017</v>
      </c>
      <c r="J355" s="5"/>
      <c r="K355" s="3" t="s">
        <v>96</v>
      </c>
      <c r="L355" s="16" t="s">
        <v>96</v>
      </c>
      <c r="N355" s="37">
        <f t="shared" si="44"/>
        <v>11</v>
      </c>
      <c r="O355" s="37">
        <f t="shared" si="45"/>
        <v>11.2</v>
      </c>
      <c r="P355" s="37">
        <f t="shared" si="46"/>
        <v>11.9</v>
      </c>
      <c r="Q355" s="37" t="e">
        <f t="shared" si="47"/>
        <v>#VALUE!</v>
      </c>
      <c r="R355" s="37"/>
      <c r="S355" s="37"/>
      <c r="T355" s="37"/>
      <c r="U355" s="37"/>
    </row>
    <row r="356" spans="1:21" ht="14.1" customHeight="1" x14ac:dyDescent="0.25">
      <c r="A356" s="61" t="s">
        <v>37</v>
      </c>
      <c r="B356" s="6">
        <v>62</v>
      </c>
      <c r="C356" s="5">
        <v>9.3514328808446461</v>
      </c>
      <c r="D356" s="5"/>
      <c r="E356" s="6">
        <v>59</v>
      </c>
      <c r="F356" s="5">
        <v>9.9830795262267351</v>
      </c>
      <c r="G356" s="6"/>
      <c r="H356" s="6">
        <v>3</v>
      </c>
      <c r="I356" s="5">
        <v>5.0847457627118651</v>
      </c>
      <c r="J356" s="5"/>
      <c r="K356" s="3" t="s">
        <v>96</v>
      </c>
      <c r="L356" s="16" t="s">
        <v>96</v>
      </c>
      <c r="N356" s="37">
        <f t="shared" si="44"/>
        <v>9.4</v>
      </c>
      <c r="O356" s="37">
        <f t="shared" si="45"/>
        <v>10</v>
      </c>
      <c r="P356" s="37">
        <f t="shared" si="46"/>
        <v>5.0999999999999996</v>
      </c>
      <c r="Q356" s="37" t="e">
        <f t="shared" si="47"/>
        <v>#VALUE!</v>
      </c>
      <c r="R356" s="37"/>
      <c r="S356" s="37"/>
      <c r="T356" s="37"/>
      <c r="U356" s="37"/>
    </row>
    <row r="357" spans="1:21" ht="14.1" customHeight="1" x14ac:dyDescent="0.25">
      <c r="A357" s="61"/>
      <c r="B357" s="6"/>
      <c r="C357" s="5"/>
      <c r="D357" s="5"/>
      <c r="E357" s="6"/>
      <c r="F357" s="5"/>
      <c r="G357" s="5"/>
      <c r="H357" s="6"/>
      <c r="I357" s="5"/>
      <c r="J357" s="5"/>
      <c r="K357" s="6"/>
      <c r="L357" s="5"/>
      <c r="N357" s="37">
        <f t="shared" si="44"/>
        <v>0</v>
      </c>
      <c r="O357" s="37">
        <f t="shared" si="45"/>
        <v>0</v>
      </c>
      <c r="P357" s="37">
        <f t="shared" si="46"/>
        <v>0</v>
      </c>
      <c r="Q357" s="37">
        <f t="shared" si="47"/>
        <v>0</v>
      </c>
      <c r="R357" s="37"/>
      <c r="S357" s="37"/>
      <c r="T357" s="37"/>
      <c r="U357" s="37"/>
    </row>
    <row r="358" spans="1:21" ht="14.1" customHeight="1" x14ac:dyDescent="0.25">
      <c r="A358" s="91" t="s">
        <v>1</v>
      </c>
      <c r="B358" s="9">
        <v>2733</v>
      </c>
      <c r="C358" s="15">
        <v>100</v>
      </c>
      <c r="D358" s="15"/>
      <c r="E358" s="9">
        <v>2327</v>
      </c>
      <c r="F358" s="15">
        <v>100</v>
      </c>
      <c r="G358" s="15"/>
      <c r="H358" s="9">
        <v>313</v>
      </c>
      <c r="I358" s="15">
        <v>100</v>
      </c>
      <c r="J358" s="15"/>
      <c r="K358" s="9">
        <v>93</v>
      </c>
      <c r="L358" s="15">
        <v>100</v>
      </c>
      <c r="N358" s="37">
        <f>SUM(N359:N370)</f>
        <v>100</v>
      </c>
      <c r="O358" s="37">
        <f t="shared" ref="O358:Q358" si="48">SUM(O359:O370)</f>
        <v>100</v>
      </c>
      <c r="P358" s="37">
        <f t="shared" si="48"/>
        <v>100</v>
      </c>
      <c r="Q358" s="37" t="e">
        <f t="shared" si="48"/>
        <v>#VALUE!</v>
      </c>
      <c r="R358" s="37"/>
      <c r="S358" s="37"/>
      <c r="T358" s="37"/>
      <c r="U358" s="37"/>
    </row>
    <row r="359" spans="1:21" ht="14.1" customHeight="1" x14ac:dyDescent="0.25">
      <c r="A359" s="61" t="s">
        <v>57</v>
      </c>
      <c r="B359" s="6">
        <v>287</v>
      </c>
      <c r="C359" s="5">
        <v>10.501280643980973</v>
      </c>
      <c r="D359" s="5"/>
      <c r="E359" s="6">
        <v>251</v>
      </c>
      <c r="F359" s="5">
        <v>10.786420283626988</v>
      </c>
      <c r="G359" s="5"/>
      <c r="H359" s="6">
        <v>29</v>
      </c>
      <c r="I359" s="5">
        <v>9.2651757188498394</v>
      </c>
      <c r="J359" s="5"/>
      <c r="K359" s="6">
        <v>7</v>
      </c>
      <c r="L359" s="5">
        <v>7.5268817204301079</v>
      </c>
      <c r="N359" s="37">
        <f t="shared" si="44"/>
        <v>10.5</v>
      </c>
      <c r="O359" s="37">
        <f t="shared" si="45"/>
        <v>10.8</v>
      </c>
      <c r="P359" s="37">
        <f t="shared" si="46"/>
        <v>9.3000000000000007</v>
      </c>
      <c r="Q359" s="37">
        <f t="shared" si="47"/>
        <v>7.5</v>
      </c>
      <c r="R359" s="37"/>
      <c r="S359" s="37"/>
      <c r="T359" s="37"/>
      <c r="U359" s="37"/>
    </row>
    <row r="360" spans="1:21" ht="14.1" customHeight="1" x14ac:dyDescent="0.25">
      <c r="A360" s="61" t="s">
        <v>29</v>
      </c>
      <c r="B360" s="6">
        <v>11</v>
      </c>
      <c r="C360" s="5">
        <v>0.40248810830589099</v>
      </c>
      <c r="D360" s="5"/>
      <c r="E360" s="6">
        <v>10</v>
      </c>
      <c r="F360" s="5">
        <v>0.42973785990545771</v>
      </c>
      <c r="G360" s="5"/>
      <c r="H360" s="6">
        <v>1</v>
      </c>
      <c r="I360" s="5">
        <v>0.31948881789137379</v>
      </c>
      <c r="J360" s="5"/>
      <c r="K360" s="3" t="s">
        <v>96</v>
      </c>
      <c r="L360" s="16" t="s">
        <v>96</v>
      </c>
      <c r="N360" s="37">
        <f t="shared" si="44"/>
        <v>0.4</v>
      </c>
      <c r="O360" s="37">
        <f t="shared" si="45"/>
        <v>0.4</v>
      </c>
      <c r="P360" s="37">
        <f t="shared" si="46"/>
        <v>0.3</v>
      </c>
      <c r="Q360" s="37" t="e">
        <f t="shared" si="47"/>
        <v>#VALUE!</v>
      </c>
      <c r="R360" s="37"/>
      <c r="S360" s="37"/>
      <c r="T360" s="37"/>
      <c r="U360" s="37"/>
    </row>
    <row r="361" spans="1:21" ht="14.1" customHeight="1" x14ac:dyDescent="0.25">
      <c r="A361" s="61" t="s">
        <v>30</v>
      </c>
      <c r="B361" s="6">
        <v>250</v>
      </c>
      <c r="C361" s="5">
        <v>9.1474570069520666</v>
      </c>
      <c r="D361" s="5"/>
      <c r="E361" s="6">
        <v>187</v>
      </c>
      <c r="F361" s="5">
        <v>8.0360979802320589</v>
      </c>
      <c r="G361" s="5"/>
      <c r="H361" s="6">
        <v>48</v>
      </c>
      <c r="I361" s="5">
        <v>15.335463258785943</v>
      </c>
      <c r="J361" s="5"/>
      <c r="K361" s="3">
        <v>15</v>
      </c>
      <c r="L361" s="16">
        <v>16.129032258064516</v>
      </c>
      <c r="N361" s="37">
        <f t="shared" si="44"/>
        <v>9.1</v>
      </c>
      <c r="O361" s="37">
        <f t="shared" si="45"/>
        <v>8</v>
      </c>
      <c r="P361" s="37">
        <f t="shared" si="46"/>
        <v>15.3</v>
      </c>
      <c r="Q361" s="37">
        <f t="shared" si="47"/>
        <v>16.100000000000001</v>
      </c>
      <c r="R361" s="37"/>
      <c r="S361" s="37"/>
      <c r="T361" s="37"/>
      <c r="U361" s="37"/>
    </row>
    <row r="362" spans="1:21" ht="14.1" customHeight="1" x14ac:dyDescent="0.25">
      <c r="A362" s="61" t="s">
        <v>31</v>
      </c>
      <c r="B362" s="6">
        <v>17</v>
      </c>
      <c r="C362" s="5">
        <v>0.62202707647274058</v>
      </c>
      <c r="D362" s="5"/>
      <c r="E362" s="6">
        <v>13</v>
      </c>
      <c r="F362" s="5">
        <v>0.55865921787709494</v>
      </c>
      <c r="G362" s="5"/>
      <c r="H362" s="6">
        <v>1</v>
      </c>
      <c r="I362" s="5">
        <v>0.31948881789137379</v>
      </c>
      <c r="J362" s="5"/>
      <c r="K362" s="3">
        <v>3</v>
      </c>
      <c r="L362" s="16">
        <v>3.225806451612903</v>
      </c>
      <c r="N362" s="37">
        <f t="shared" si="44"/>
        <v>0.6</v>
      </c>
      <c r="O362" s="37">
        <f t="shared" si="45"/>
        <v>0.6</v>
      </c>
      <c r="P362" s="37">
        <f t="shared" si="46"/>
        <v>0.3</v>
      </c>
      <c r="Q362" s="37">
        <f t="shared" si="47"/>
        <v>3.2</v>
      </c>
      <c r="R362" s="37"/>
      <c r="S362" s="37"/>
      <c r="T362" s="37"/>
      <c r="U362" s="37"/>
    </row>
    <row r="363" spans="1:21" ht="14.1" customHeight="1" x14ac:dyDescent="0.25">
      <c r="A363" s="61" t="s">
        <v>32</v>
      </c>
      <c r="B363" s="6">
        <v>322</v>
      </c>
      <c r="C363" s="5">
        <v>11.781924624954263</v>
      </c>
      <c r="D363" s="5"/>
      <c r="E363" s="6">
        <v>302</v>
      </c>
      <c r="F363" s="5">
        <v>12.978083369144821</v>
      </c>
      <c r="G363" s="5"/>
      <c r="H363" s="6">
        <v>16</v>
      </c>
      <c r="I363" s="5">
        <v>5.1118210862619806</v>
      </c>
      <c r="J363" s="5"/>
      <c r="K363" s="3">
        <v>4</v>
      </c>
      <c r="L363" s="16">
        <v>4.3010752688172049</v>
      </c>
      <c r="N363" s="37">
        <f t="shared" si="44"/>
        <v>11.8</v>
      </c>
      <c r="O363" s="37">
        <f t="shared" si="45"/>
        <v>13</v>
      </c>
      <c r="P363" s="37">
        <f t="shared" si="46"/>
        <v>5.0999999999999996</v>
      </c>
      <c r="Q363" s="37">
        <f t="shared" si="47"/>
        <v>4.3</v>
      </c>
      <c r="R363" s="37"/>
      <c r="S363" s="37"/>
      <c r="T363" s="37"/>
      <c r="U363" s="37"/>
    </row>
    <row r="364" spans="1:21" ht="14.1" customHeight="1" x14ac:dyDescent="0.25">
      <c r="A364" s="61" t="s">
        <v>33</v>
      </c>
      <c r="B364" s="6">
        <v>860</v>
      </c>
      <c r="C364" s="5">
        <v>31.467252103915111</v>
      </c>
      <c r="D364" s="5"/>
      <c r="E364" s="6">
        <v>666</v>
      </c>
      <c r="F364" s="5">
        <v>28.720541469703484</v>
      </c>
      <c r="G364" s="5"/>
      <c r="H364" s="6">
        <v>145</v>
      </c>
      <c r="I364" s="5">
        <v>46.325878594249204</v>
      </c>
      <c r="J364" s="5"/>
      <c r="K364" s="3">
        <v>49</v>
      </c>
      <c r="L364" s="16">
        <v>52.688172043010752</v>
      </c>
      <c r="N364" s="37">
        <f t="shared" si="44"/>
        <v>31.5</v>
      </c>
      <c r="O364" s="37">
        <f t="shared" si="45"/>
        <v>28.7</v>
      </c>
      <c r="P364" s="37">
        <f t="shared" si="46"/>
        <v>46.3</v>
      </c>
      <c r="Q364" s="37">
        <f t="shared" si="47"/>
        <v>52.7</v>
      </c>
      <c r="R364" s="37"/>
      <c r="S364" s="37"/>
      <c r="T364" s="37"/>
      <c r="U364" s="37"/>
    </row>
    <row r="365" spans="1:21" ht="14.1" customHeight="1" x14ac:dyDescent="0.25">
      <c r="A365" s="61" t="s">
        <v>34</v>
      </c>
      <c r="B365" s="6">
        <v>214</v>
      </c>
      <c r="C365" s="5">
        <v>7.8302231979509695</v>
      </c>
      <c r="D365" s="5"/>
      <c r="E365" s="6">
        <v>181</v>
      </c>
      <c r="F365" s="5">
        <v>7.7782552642887843</v>
      </c>
      <c r="G365" s="5"/>
      <c r="H365" s="6">
        <v>24</v>
      </c>
      <c r="I365" s="5">
        <v>7.6677316293929714</v>
      </c>
      <c r="J365" s="5"/>
      <c r="K365" s="3">
        <v>9</v>
      </c>
      <c r="L365" s="16">
        <v>9.67741935483871</v>
      </c>
      <c r="N365" s="37">
        <f t="shared" si="44"/>
        <v>7.8</v>
      </c>
      <c r="O365" s="37">
        <f t="shared" si="45"/>
        <v>7.8</v>
      </c>
      <c r="P365" s="37">
        <f t="shared" si="46"/>
        <v>7.7</v>
      </c>
      <c r="Q365" s="37">
        <f t="shared" si="47"/>
        <v>9.6999999999999993</v>
      </c>
      <c r="R365" s="37"/>
      <c r="S365" s="37"/>
      <c r="T365" s="37"/>
      <c r="U365" s="37"/>
    </row>
    <row r="366" spans="1:21" ht="14.1" customHeight="1" x14ac:dyDescent="0.25">
      <c r="A366" s="61" t="s">
        <v>67</v>
      </c>
      <c r="B366" s="6">
        <v>38</v>
      </c>
      <c r="C366" s="5">
        <v>1.3904134650567141</v>
      </c>
      <c r="D366" s="5"/>
      <c r="E366" s="6">
        <v>33</v>
      </c>
      <c r="F366" s="5">
        <v>1.4181349376880104</v>
      </c>
      <c r="G366" s="5"/>
      <c r="H366" s="6">
        <v>5</v>
      </c>
      <c r="I366" s="5">
        <v>1.5974440894568689</v>
      </c>
      <c r="J366" s="5"/>
      <c r="K366" s="3" t="s">
        <v>96</v>
      </c>
      <c r="L366" s="16" t="s">
        <v>96</v>
      </c>
      <c r="N366" s="37">
        <f t="shared" si="44"/>
        <v>1.4</v>
      </c>
      <c r="O366" s="37">
        <f t="shared" si="45"/>
        <v>1.4</v>
      </c>
      <c r="P366" s="37">
        <f t="shared" si="46"/>
        <v>1.6</v>
      </c>
      <c r="Q366" s="37" t="e">
        <f t="shared" si="47"/>
        <v>#VALUE!</v>
      </c>
      <c r="R366" s="37"/>
      <c r="S366" s="37"/>
      <c r="T366" s="37"/>
      <c r="U366" s="37"/>
    </row>
    <row r="367" spans="1:21" ht="14.1" customHeight="1" x14ac:dyDescent="0.25">
      <c r="A367" s="61" t="s">
        <v>69</v>
      </c>
      <c r="B367" s="6">
        <v>57</v>
      </c>
      <c r="C367" s="5">
        <v>2.0856201975850714</v>
      </c>
      <c r="D367" s="5"/>
      <c r="E367" s="6">
        <v>54</v>
      </c>
      <c r="F367" s="5">
        <v>2.3205844434894716</v>
      </c>
      <c r="G367" s="5"/>
      <c r="H367" s="6">
        <v>3</v>
      </c>
      <c r="I367" s="5">
        <v>0.95846645367412142</v>
      </c>
      <c r="J367" s="5"/>
      <c r="K367" s="3" t="s">
        <v>96</v>
      </c>
      <c r="L367" s="16" t="s">
        <v>96</v>
      </c>
      <c r="N367" s="37">
        <f t="shared" si="44"/>
        <v>2.1</v>
      </c>
      <c r="O367" s="37">
        <f t="shared" si="45"/>
        <v>2.2999999999999998</v>
      </c>
      <c r="P367" s="37">
        <f t="shared" si="46"/>
        <v>1</v>
      </c>
      <c r="Q367" s="37" t="e">
        <f t="shared" si="47"/>
        <v>#VALUE!</v>
      </c>
      <c r="R367" s="37"/>
      <c r="S367" s="37"/>
      <c r="T367" s="37"/>
      <c r="U367" s="37"/>
    </row>
    <row r="368" spans="1:21" ht="14.1" customHeight="1" x14ac:dyDescent="0.25">
      <c r="A368" s="61" t="s">
        <v>35</v>
      </c>
      <c r="B368" s="6">
        <v>49</v>
      </c>
      <c r="C368" s="5">
        <v>1.7929015733626052</v>
      </c>
      <c r="D368" s="5"/>
      <c r="E368" s="6">
        <v>45</v>
      </c>
      <c r="F368" s="5">
        <v>1.9338203695745595</v>
      </c>
      <c r="G368" s="5"/>
      <c r="H368" s="6">
        <v>4</v>
      </c>
      <c r="I368" s="5">
        <v>1.2779552715654952</v>
      </c>
      <c r="J368" s="5"/>
      <c r="K368" s="3" t="s">
        <v>96</v>
      </c>
      <c r="L368" s="16" t="s">
        <v>96</v>
      </c>
      <c r="N368" s="37">
        <f t="shared" si="44"/>
        <v>1.8</v>
      </c>
      <c r="O368" s="37">
        <f t="shared" si="45"/>
        <v>1.9</v>
      </c>
      <c r="P368" s="37">
        <f t="shared" si="46"/>
        <v>1.3</v>
      </c>
      <c r="Q368" s="37" t="e">
        <f t="shared" si="47"/>
        <v>#VALUE!</v>
      </c>
      <c r="R368" s="37"/>
      <c r="S368" s="37"/>
      <c r="T368" s="37"/>
      <c r="U368" s="37"/>
    </row>
    <row r="369" spans="1:21" ht="14.1" customHeight="1" x14ac:dyDescent="0.25">
      <c r="A369" s="61" t="s">
        <v>36</v>
      </c>
      <c r="B369" s="6">
        <v>338</v>
      </c>
      <c r="C369" s="5">
        <v>12.367361873399195</v>
      </c>
      <c r="D369" s="5"/>
      <c r="E369" s="6">
        <v>306</v>
      </c>
      <c r="F369" s="5">
        <v>13.149978513107005</v>
      </c>
      <c r="G369" s="5"/>
      <c r="H369" s="6">
        <v>28</v>
      </c>
      <c r="I369" s="5">
        <v>8.9456869009584654</v>
      </c>
      <c r="J369" s="5"/>
      <c r="K369" s="6">
        <v>4</v>
      </c>
      <c r="L369" s="5">
        <v>4.3010752688172049</v>
      </c>
      <c r="N369" s="37">
        <f t="shared" si="44"/>
        <v>12.4</v>
      </c>
      <c r="O369" s="37">
        <f t="shared" si="45"/>
        <v>13.1</v>
      </c>
      <c r="P369" s="37">
        <f t="shared" si="46"/>
        <v>8.9</v>
      </c>
      <c r="Q369" s="37">
        <f t="shared" si="47"/>
        <v>4.3</v>
      </c>
      <c r="R369" s="37"/>
      <c r="S369" s="37"/>
      <c r="T369" s="37"/>
      <c r="U369" s="37"/>
    </row>
    <row r="370" spans="1:21" ht="14.1" customHeight="1" x14ac:dyDescent="0.25">
      <c r="A370" s="61" t="s">
        <v>37</v>
      </c>
      <c r="B370" s="6">
        <v>290</v>
      </c>
      <c r="C370" s="5">
        <v>10.611050128064397</v>
      </c>
      <c r="D370" s="5"/>
      <c r="E370" s="6">
        <v>279</v>
      </c>
      <c r="F370" s="5">
        <v>11.989686291362268</v>
      </c>
      <c r="G370" s="5"/>
      <c r="H370" s="6">
        <v>9</v>
      </c>
      <c r="I370" s="5">
        <v>2.8753993610223643</v>
      </c>
      <c r="J370" s="5"/>
      <c r="K370" s="6">
        <v>2</v>
      </c>
      <c r="L370" s="5">
        <v>2.1505376344086025</v>
      </c>
      <c r="N370" s="37">
        <f t="shared" si="44"/>
        <v>10.6</v>
      </c>
      <c r="O370" s="37">
        <f t="shared" si="45"/>
        <v>12</v>
      </c>
      <c r="P370" s="37">
        <f t="shared" si="46"/>
        <v>2.9</v>
      </c>
      <c r="Q370" s="37">
        <f t="shared" si="47"/>
        <v>2.2000000000000002</v>
      </c>
      <c r="R370" s="37"/>
      <c r="S370" s="37"/>
      <c r="T370" s="37"/>
      <c r="U370" s="37"/>
    </row>
    <row r="371" spans="1:21" ht="15" customHeight="1" x14ac:dyDescent="0.25">
      <c r="A371" s="61"/>
      <c r="B371" s="6"/>
      <c r="C371" s="5"/>
      <c r="D371" s="5"/>
      <c r="E371" s="6"/>
      <c r="F371" s="5"/>
      <c r="G371" s="5"/>
      <c r="H371" s="6"/>
      <c r="I371" s="5"/>
      <c r="J371" s="5"/>
      <c r="K371" s="6"/>
      <c r="L371" s="5"/>
      <c r="N371" s="37">
        <f t="shared" si="44"/>
        <v>0</v>
      </c>
      <c r="O371" s="37">
        <f t="shared" si="45"/>
        <v>0</v>
      </c>
      <c r="P371" s="37">
        <f t="shared" si="46"/>
        <v>0</v>
      </c>
      <c r="Q371" s="37">
        <f t="shared" si="47"/>
        <v>0</v>
      </c>
      <c r="R371" s="37"/>
      <c r="S371" s="37"/>
      <c r="T371" s="37"/>
      <c r="U371" s="37"/>
    </row>
    <row r="372" spans="1:21" ht="15" customHeight="1" x14ac:dyDescent="0.25">
      <c r="A372" s="91" t="s">
        <v>76</v>
      </c>
      <c r="B372" s="9">
        <v>238118</v>
      </c>
      <c r="C372" s="15">
        <v>100</v>
      </c>
      <c r="D372" s="15"/>
      <c r="E372" s="9">
        <v>205241</v>
      </c>
      <c r="F372" s="15">
        <v>100</v>
      </c>
      <c r="G372" s="15"/>
      <c r="H372" s="9">
        <v>25420</v>
      </c>
      <c r="I372" s="15">
        <v>100</v>
      </c>
      <c r="J372" s="15"/>
      <c r="K372" s="9">
        <v>7457</v>
      </c>
      <c r="L372" s="15">
        <v>100</v>
      </c>
      <c r="N372" s="37">
        <f>SUM(N373:N384)</f>
        <v>100</v>
      </c>
      <c r="O372" s="37">
        <f t="shared" ref="O372:Q372" si="49">SUM(O373:O384)</f>
        <v>99.999999999999986</v>
      </c>
      <c r="P372" s="37">
        <f t="shared" si="49"/>
        <v>100</v>
      </c>
      <c r="Q372" s="37">
        <f t="shared" si="49"/>
        <v>100</v>
      </c>
      <c r="R372" s="37"/>
      <c r="S372" s="37"/>
      <c r="T372" s="37"/>
      <c r="U372" s="37"/>
    </row>
    <row r="373" spans="1:21" ht="15" customHeight="1" x14ac:dyDescent="0.25">
      <c r="A373" s="61" t="s">
        <v>57</v>
      </c>
      <c r="B373" s="6">
        <v>2578</v>
      </c>
      <c r="C373" s="5">
        <v>1.0826564980387876</v>
      </c>
      <c r="D373" s="5"/>
      <c r="E373" s="6">
        <v>1897</v>
      </c>
      <c r="F373" s="5">
        <v>0.92427926194084031</v>
      </c>
      <c r="G373" s="5"/>
      <c r="H373" s="6">
        <v>433</v>
      </c>
      <c r="I373" s="5">
        <v>1.7033831628638867</v>
      </c>
      <c r="J373" s="5"/>
      <c r="K373" s="6">
        <v>248</v>
      </c>
      <c r="L373" s="5">
        <v>3.3257342094676146</v>
      </c>
      <c r="N373" s="37">
        <f t="shared" si="44"/>
        <v>1.1000000000000001</v>
      </c>
      <c r="O373" s="37">
        <f t="shared" si="45"/>
        <v>0.9</v>
      </c>
      <c r="P373" s="37">
        <f t="shared" si="46"/>
        <v>1.7</v>
      </c>
      <c r="Q373" s="37">
        <f t="shared" si="47"/>
        <v>3.3</v>
      </c>
      <c r="R373" s="37"/>
      <c r="S373" s="37"/>
      <c r="T373" s="37"/>
      <c r="U373" s="37"/>
    </row>
    <row r="374" spans="1:21" ht="15" customHeight="1" x14ac:dyDescent="0.25">
      <c r="A374" s="61" t="s">
        <v>29</v>
      </c>
      <c r="B374" s="6">
        <v>2729</v>
      </c>
      <c r="C374" s="5">
        <v>1.1460704356663503</v>
      </c>
      <c r="D374" s="5"/>
      <c r="E374" s="6">
        <v>2305</v>
      </c>
      <c r="F374" s="5">
        <v>1.1230699519101934</v>
      </c>
      <c r="G374" s="5"/>
      <c r="H374" s="6">
        <v>228</v>
      </c>
      <c r="I374" s="5">
        <v>0.89693154996066093</v>
      </c>
      <c r="J374" s="5"/>
      <c r="K374" s="6">
        <v>196</v>
      </c>
      <c r="L374" s="5">
        <v>2.6284028429663402</v>
      </c>
      <c r="N374" s="37">
        <f t="shared" si="44"/>
        <v>1.1000000000000001</v>
      </c>
      <c r="O374" s="37">
        <f t="shared" si="45"/>
        <v>1.1000000000000001</v>
      </c>
      <c r="P374" s="37">
        <f t="shared" si="46"/>
        <v>0.9</v>
      </c>
      <c r="Q374" s="37">
        <f t="shared" si="47"/>
        <v>2.6</v>
      </c>
      <c r="R374" s="37"/>
      <c r="S374" s="37"/>
      <c r="T374" s="37"/>
      <c r="U374" s="37"/>
    </row>
    <row r="375" spans="1:21" ht="15" customHeight="1" x14ac:dyDescent="0.25">
      <c r="A375" s="61" t="s">
        <v>30</v>
      </c>
      <c r="B375" s="6">
        <v>27122</v>
      </c>
      <c r="C375" s="5">
        <v>11.390151101554691</v>
      </c>
      <c r="D375" s="5"/>
      <c r="E375" s="6">
        <v>22581</v>
      </c>
      <c r="F375" s="5">
        <v>11.002187672053831</v>
      </c>
      <c r="G375" s="5"/>
      <c r="H375" s="6">
        <v>3400</v>
      </c>
      <c r="I375" s="5">
        <v>13.375295043273013</v>
      </c>
      <c r="J375" s="5"/>
      <c r="K375" s="6">
        <v>1141</v>
      </c>
      <c r="L375" s="5">
        <v>15.301059407268339</v>
      </c>
      <c r="N375" s="37">
        <f t="shared" si="44"/>
        <v>11.4</v>
      </c>
      <c r="O375" s="37">
        <f t="shared" si="45"/>
        <v>11</v>
      </c>
      <c r="P375" s="37">
        <f t="shared" si="46"/>
        <v>13.4</v>
      </c>
      <c r="Q375" s="37">
        <f t="shared" si="47"/>
        <v>15.3</v>
      </c>
      <c r="R375" s="37"/>
      <c r="S375" s="37"/>
      <c r="T375" s="37"/>
      <c r="U375" s="37"/>
    </row>
    <row r="376" spans="1:21" ht="15" customHeight="1" x14ac:dyDescent="0.25">
      <c r="A376" s="61" t="s">
        <v>31</v>
      </c>
      <c r="B376" s="6">
        <v>1298</v>
      </c>
      <c r="C376" s="5">
        <v>0.54510788768593721</v>
      </c>
      <c r="D376" s="5"/>
      <c r="E376" s="6">
        <v>1064</v>
      </c>
      <c r="F376" s="5">
        <v>0.51841493658674442</v>
      </c>
      <c r="G376" s="5"/>
      <c r="H376" s="6">
        <v>153</v>
      </c>
      <c r="I376" s="5">
        <v>0.60188827694728553</v>
      </c>
      <c r="J376" s="5"/>
      <c r="K376" s="6">
        <v>81</v>
      </c>
      <c r="L376" s="5">
        <v>1.0862277055115999</v>
      </c>
      <c r="N376" s="37">
        <f t="shared" si="44"/>
        <v>0.5</v>
      </c>
      <c r="O376" s="37">
        <f t="shared" si="45"/>
        <v>0.5</v>
      </c>
      <c r="P376" s="37">
        <f t="shared" si="46"/>
        <v>0.6</v>
      </c>
      <c r="Q376" s="37">
        <f t="shared" si="47"/>
        <v>1.1000000000000001</v>
      </c>
      <c r="R376" s="37"/>
      <c r="S376" s="37"/>
      <c r="T376" s="37"/>
      <c r="U376" s="37"/>
    </row>
    <row r="377" spans="1:21" ht="15" customHeight="1" x14ac:dyDescent="0.25">
      <c r="A377" s="61" t="s">
        <v>32</v>
      </c>
      <c r="B377" s="6">
        <v>17575</v>
      </c>
      <c r="C377" s="5">
        <v>7.3807943960557374</v>
      </c>
      <c r="D377" s="5"/>
      <c r="E377" s="6">
        <v>15319</v>
      </c>
      <c r="F377" s="5">
        <v>7.463908283432648</v>
      </c>
      <c r="G377" s="5"/>
      <c r="H377" s="6">
        <v>1750</v>
      </c>
      <c r="I377" s="5">
        <v>6.8843430369787573</v>
      </c>
      <c r="J377" s="5"/>
      <c r="K377" s="6">
        <v>506</v>
      </c>
      <c r="L377" s="5">
        <v>6.7855706048008582</v>
      </c>
      <c r="N377" s="37">
        <f t="shared" si="44"/>
        <v>7.4</v>
      </c>
      <c r="O377" s="37">
        <f t="shared" si="45"/>
        <v>7.5</v>
      </c>
      <c r="P377" s="37">
        <f t="shared" si="46"/>
        <v>6.9</v>
      </c>
      <c r="Q377" s="37">
        <f t="shared" si="47"/>
        <v>6.8</v>
      </c>
      <c r="R377" s="37"/>
      <c r="S377" s="37"/>
      <c r="T377" s="37"/>
      <c r="U377" s="37"/>
    </row>
    <row r="378" spans="1:21" ht="15" customHeight="1" x14ac:dyDescent="0.25">
      <c r="A378" s="61" t="s">
        <v>33</v>
      </c>
      <c r="B378" s="6">
        <v>70165</v>
      </c>
      <c r="C378" s="5">
        <v>29.466483004224798</v>
      </c>
      <c r="D378" s="5"/>
      <c r="E378" s="6">
        <v>58510</v>
      </c>
      <c r="F378" s="5">
        <v>28.407949191438359</v>
      </c>
      <c r="G378" s="5"/>
      <c r="H378" s="6">
        <v>8798</v>
      </c>
      <c r="I378" s="5">
        <v>34.610542879622344</v>
      </c>
      <c r="J378" s="5"/>
      <c r="K378" s="6">
        <v>2857</v>
      </c>
      <c r="L378" s="5">
        <v>38.31299450181038</v>
      </c>
      <c r="N378" s="37">
        <f t="shared" si="44"/>
        <v>29.5</v>
      </c>
      <c r="O378" s="37">
        <f t="shared" si="45"/>
        <v>28.4</v>
      </c>
      <c r="P378" s="37">
        <f t="shared" si="46"/>
        <v>34.6</v>
      </c>
      <c r="Q378" s="37">
        <f t="shared" si="47"/>
        <v>38.299999999999997</v>
      </c>
      <c r="R378" s="37"/>
      <c r="S378" s="37"/>
      <c r="T378" s="37"/>
      <c r="U378" s="37"/>
    </row>
    <row r="379" spans="1:21" ht="15" customHeight="1" x14ac:dyDescent="0.25">
      <c r="A379" s="61" t="s">
        <v>34</v>
      </c>
      <c r="B379" s="6">
        <v>15430</v>
      </c>
      <c r="C379" s="5">
        <v>6.4799805138628752</v>
      </c>
      <c r="D379" s="5"/>
      <c r="E379" s="6">
        <v>12926</v>
      </c>
      <c r="F379" s="5">
        <v>6.2979619081957301</v>
      </c>
      <c r="G379" s="5"/>
      <c r="H379" s="6">
        <v>2033</v>
      </c>
      <c r="I379" s="5">
        <v>7.9976396538158925</v>
      </c>
      <c r="J379" s="5"/>
      <c r="K379" s="6">
        <v>471</v>
      </c>
      <c r="L379" s="5">
        <v>6.3162129542711538</v>
      </c>
      <c r="N379" s="37">
        <f t="shared" si="44"/>
        <v>6.5</v>
      </c>
      <c r="O379" s="37">
        <f t="shared" si="45"/>
        <v>6.3</v>
      </c>
      <c r="P379" s="37">
        <f t="shared" si="46"/>
        <v>8</v>
      </c>
      <c r="Q379" s="37">
        <f t="shared" si="47"/>
        <v>6.3</v>
      </c>
      <c r="R379" s="37"/>
      <c r="S379" s="37"/>
      <c r="T379" s="37"/>
      <c r="U379" s="37"/>
    </row>
    <row r="380" spans="1:21" ht="15" customHeight="1" x14ac:dyDescent="0.25">
      <c r="A380" s="61" t="s">
        <v>67</v>
      </c>
      <c r="B380" s="6">
        <v>1133</v>
      </c>
      <c r="C380" s="5">
        <v>0.47581451213264014</v>
      </c>
      <c r="D380" s="5"/>
      <c r="E380" s="6">
        <v>940</v>
      </c>
      <c r="F380" s="5">
        <v>0.45799815826272533</v>
      </c>
      <c r="G380" s="5"/>
      <c r="H380" s="6">
        <v>156</v>
      </c>
      <c r="I380" s="5">
        <v>0.61369000786782057</v>
      </c>
      <c r="J380" s="5"/>
      <c r="K380" s="6">
        <v>37</v>
      </c>
      <c r="L380" s="5">
        <v>0.49617808770282951</v>
      </c>
      <c r="N380" s="37">
        <f t="shared" si="44"/>
        <v>0.5</v>
      </c>
      <c r="O380" s="37">
        <f t="shared" si="45"/>
        <v>0.5</v>
      </c>
      <c r="P380" s="37">
        <f t="shared" si="46"/>
        <v>0.6</v>
      </c>
      <c r="Q380" s="37">
        <f t="shared" si="47"/>
        <v>0.5</v>
      </c>
      <c r="R380" s="37"/>
      <c r="S380" s="37"/>
      <c r="T380" s="37"/>
      <c r="U380" s="37"/>
    </row>
    <row r="381" spans="1:21" ht="15" customHeight="1" x14ac:dyDescent="0.25">
      <c r="A381" s="61" t="s">
        <v>69</v>
      </c>
      <c r="B381" s="6">
        <v>6679</v>
      </c>
      <c r="C381" s="5">
        <v>2.8049118504270991</v>
      </c>
      <c r="D381" s="5"/>
      <c r="E381" s="6">
        <v>5870</v>
      </c>
      <c r="F381" s="5">
        <v>2.8600523287257418</v>
      </c>
      <c r="G381" s="5"/>
      <c r="H381" s="6">
        <v>730</v>
      </c>
      <c r="I381" s="5">
        <v>2.8717545239968527</v>
      </c>
      <c r="J381" s="5"/>
      <c r="K381" s="6">
        <v>79</v>
      </c>
      <c r="L381" s="5">
        <v>1.0594072683384739</v>
      </c>
      <c r="N381" s="37">
        <f t="shared" si="44"/>
        <v>2.8</v>
      </c>
      <c r="O381" s="37">
        <f t="shared" si="45"/>
        <v>2.9</v>
      </c>
      <c r="P381" s="37">
        <f t="shared" si="46"/>
        <v>2.9</v>
      </c>
      <c r="Q381" s="37">
        <f t="shared" si="47"/>
        <v>1.1000000000000001</v>
      </c>
      <c r="R381" s="37"/>
      <c r="S381" s="37"/>
      <c r="T381" s="37"/>
      <c r="U381" s="37"/>
    </row>
    <row r="382" spans="1:21" ht="15" customHeight="1" x14ac:dyDescent="0.25">
      <c r="A382" s="61" t="s">
        <v>35</v>
      </c>
      <c r="B382" s="6">
        <v>11201</v>
      </c>
      <c r="C382" s="5">
        <v>4.7039703004392779</v>
      </c>
      <c r="D382" s="5"/>
      <c r="E382" s="6">
        <v>9754</v>
      </c>
      <c r="F382" s="5">
        <v>4.7524617401006619</v>
      </c>
      <c r="G382" s="5"/>
      <c r="H382" s="6">
        <v>1151</v>
      </c>
      <c r="I382" s="5">
        <v>4.5279307631785999</v>
      </c>
      <c r="J382" s="5"/>
      <c r="K382" s="6">
        <v>296</v>
      </c>
      <c r="L382" s="5">
        <v>3.9694247016226361</v>
      </c>
      <c r="N382" s="37">
        <f t="shared" si="44"/>
        <v>4.7</v>
      </c>
      <c r="O382" s="37">
        <f t="shared" si="45"/>
        <v>4.8</v>
      </c>
      <c r="P382" s="37">
        <f t="shared" si="46"/>
        <v>4.5</v>
      </c>
      <c r="Q382" s="37">
        <f t="shared" si="47"/>
        <v>4</v>
      </c>
      <c r="R382" s="37"/>
      <c r="S382" s="37"/>
      <c r="T382" s="37"/>
      <c r="U382" s="37"/>
    </row>
    <row r="383" spans="1:21" ht="15" customHeight="1" x14ac:dyDescent="0.25">
      <c r="A383" s="61" t="s">
        <v>36</v>
      </c>
      <c r="B383" s="6">
        <v>48385</v>
      </c>
      <c r="C383" s="5">
        <v>20.319757431189579</v>
      </c>
      <c r="D383" s="5"/>
      <c r="E383" s="6">
        <v>43838</v>
      </c>
      <c r="F383" s="5">
        <v>21.359280065873779</v>
      </c>
      <c r="G383" s="5"/>
      <c r="H383" s="6">
        <v>3798</v>
      </c>
      <c r="I383" s="5">
        <v>14.940991345397325</v>
      </c>
      <c r="J383" s="5"/>
      <c r="K383" s="6">
        <v>749</v>
      </c>
      <c r="L383" s="5">
        <v>10.044253721335657</v>
      </c>
      <c r="N383" s="37">
        <f t="shared" si="44"/>
        <v>20.3</v>
      </c>
      <c r="O383" s="37">
        <f t="shared" si="45"/>
        <v>21.4</v>
      </c>
      <c r="P383" s="37">
        <f t="shared" si="46"/>
        <v>14.9</v>
      </c>
      <c r="Q383" s="37">
        <f t="shared" si="47"/>
        <v>10</v>
      </c>
      <c r="R383" s="37"/>
      <c r="S383" s="37"/>
      <c r="T383" s="37"/>
      <c r="U383" s="37"/>
    </row>
    <row r="384" spans="1:21" ht="15" customHeight="1" x14ac:dyDescent="0.25">
      <c r="A384" s="61" t="s">
        <v>37</v>
      </c>
      <c r="B384" s="6">
        <v>33823</v>
      </c>
      <c r="C384" s="5">
        <v>14.20430206872223</v>
      </c>
      <c r="D384" s="5"/>
      <c r="E384" s="6">
        <v>30237</v>
      </c>
      <c r="F384" s="5">
        <v>14.732436501478748</v>
      </c>
      <c r="G384" s="5"/>
      <c r="H384" s="6">
        <v>2790</v>
      </c>
      <c r="I384" s="5">
        <v>10.975609756097562</v>
      </c>
      <c r="J384" s="5"/>
      <c r="K384" s="6">
        <v>796</v>
      </c>
      <c r="L384" s="5">
        <v>10.674533994904117</v>
      </c>
      <c r="N384" s="37">
        <f t="shared" si="44"/>
        <v>14.2</v>
      </c>
      <c r="O384" s="37">
        <f t="shared" si="45"/>
        <v>14.7</v>
      </c>
      <c r="P384" s="37">
        <f t="shared" si="46"/>
        <v>11</v>
      </c>
      <c r="Q384" s="37">
        <f t="shared" si="47"/>
        <v>10.7</v>
      </c>
      <c r="R384" s="37"/>
      <c r="S384" s="37"/>
      <c r="T384" s="37"/>
      <c r="U384" s="37"/>
    </row>
    <row r="385" spans="1:21" ht="7.5" customHeight="1" x14ac:dyDescent="0.25">
      <c r="A385" s="61"/>
      <c r="B385" s="93"/>
      <c r="C385" s="5"/>
      <c r="D385" s="5"/>
      <c r="E385" s="6"/>
      <c r="F385" s="5"/>
      <c r="G385" s="5"/>
      <c r="H385" s="6"/>
      <c r="I385" s="5"/>
      <c r="J385" s="5"/>
      <c r="K385" s="6"/>
      <c r="L385" s="5"/>
      <c r="N385" s="37">
        <f t="shared" si="44"/>
        <v>0</v>
      </c>
      <c r="O385" s="37">
        <f t="shared" si="45"/>
        <v>0</v>
      </c>
      <c r="P385" s="37">
        <f t="shared" si="46"/>
        <v>0</v>
      </c>
      <c r="Q385" s="37">
        <f t="shared" si="47"/>
        <v>0</v>
      </c>
      <c r="R385" s="37"/>
      <c r="S385" s="37"/>
      <c r="T385" s="37"/>
      <c r="U385" s="37"/>
    </row>
    <row r="386" spans="1:21" ht="14.1" customHeight="1" x14ac:dyDescent="0.25">
      <c r="A386" s="127" t="s">
        <v>77</v>
      </c>
      <c r="B386" s="9">
        <v>6031</v>
      </c>
      <c r="C386" s="15">
        <v>100</v>
      </c>
      <c r="D386" s="15"/>
      <c r="E386" s="9">
        <v>5495</v>
      </c>
      <c r="F386" s="15">
        <v>100</v>
      </c>
      <c r="G386" s="15"/>
      <c r="H386" s="9">
        <v>445</v>
      </c>
      <c r="I386" s="15">
        <v>100</v>
      </c>
      <c r="J386" s="15"/>
      <c r="K386" s="9">
        <v>91</v>
      </c>
      <c r="L386" s="15">
        <v>100</v>
      </c>
      <c r="N386" s="37">
        <f>SUM(N387:N398)</f>
        <v>100</v>
      </c>
      <c r="O386" s="37">
        <f t="shared" ref="O386:Q386" si="50">SUM(O387:O398)</f>
        <v>100</v>
      </c>
      <c r="P386" s="37" t="e">
        <f t="shared" si="50"/>
        <v>#VALUE!</v>
      </c>
      <c r="Q386" s="37" t="e">
        <f t="shared" si="50"/>
        <v>#VALUE!</v>
      </c>
      <c r="R386" s="37"/>
      <c r="S386" s="37"/>
      <c r="T386" s="37"/>
      <c r="U386" s="37"/>
    </row>
    <row r="387" spans="1:21" ht="14.1" customHeight="1" x14ac:dyDescent="0.25">
      <c r="A387" s="61" t="s">
        <v>57</v>
      </c>
      <c r="B387" s="6">
        <v>440</v>
      </c>
      <c r="C387" s="5">
        <v>7.2956391974796881</v>
      </c>
      <c r="D387" s="5"/>
      <c r="E387" s="6">
        <v>358</v>
      </c>
      <c r="F387" s="5">
        <v>6.5150136487716104</v>
      </c>
      <c r="G387" s="5"/>
      <c r="H387" s="6">
        <v>61</v>
      </c>
      <c r="I387" s="5">
        <v>13.707865168539326</v>
      </c>
      <c r="J387" s="5"/>
      <c r="K387" s="6">
        <v>21</v>
      </c>
      <c r="L387" s="5">
        <v>23.076923076923077</v>
      </c>
      <c r="N387" s="37">
        <f t="shared" si="44"/>
        <v>7.3</v>
      </c>
      <c r="O387" s="37">
        <f t="shared" si="45"/>
        <v>6.5</v>
      </c>
      <c r="P387" s="37">
        <f t="shared" si="46"/>
        <v>13.7</v>
      </c>
      <c r="Q387" s="37">
        <f t="shared" si="47"/>
        <v>23.1</v>
      </c>
      <c r="R387" s="37"/>
      <c r="S387" s="37"/>
      <c r="T387" s="37"/>
      <c r="U387" s="37"/>
    </row>
    <row r="388" spans="1:21" ht="14.1" customHeight="1" x14ac:dyDescent="0.25">
      <c r="A388" s="61" t="s">
        <v>29</v>
      </c>
      <c r="B388" s="6">
        <v>33</v>
      </c>
      <c r="C388" s="5">
        <v>0.54717293981097659</v>
      </c>
      <c r="D388" s="5"/>
      <c r="E388" s="6">
        <v>33</v>
      </c>
      <c r="F388" s="5">
        <v>0.6005459508644222</v>
      </c>
      <c r="G388" s="5"/>
      <c r="H388" s="3" t="s">
        <v>96</v>
      </c>
      <c r="I388" s="3" t="s">
        <v>96</v>
      </c>
      <c r="J388" s="5"/>
      <c r="K388" s="3" t="s">
        <v>96</v>
      </c>
      <c r="L388" s="16" t="s">
        <v>96</v>
      </c>
      <c r="N388" s="37">
        <f t="shared" si="44"/>
        <v>0.5</v>
      </c>
      <c r="O388" s="37">
        <f t="shared" si="45"/>
        <v>0.6</v>
      </c>
      <c r="P388" s="37" t="e">
        <f t="shared" si="46"/>
        <v>#VALUE!</v>
      </c>
      <c r="Q388" s="37" t="e">
        <f t="shared" si="47"/>
        <v>#VALUE!</v>
      </c>
      <c r="R388" s="37"/>
      <c r="S388" s="37"/>
      <c r="T388" s="37"/>
      <c r="U388" s="37"/>
    </row>
    <row r="389" spans="1:21" ht="14.1" customHeight="1" x14ac:dyDescent="0.25">
      <c r="A389" s="61" t="s">
        <v>30</v>
      </c>
      <c r="B389" s="6">
        <v>492</v>
      </c>
      <c r="C389" s="5">
        <v>8.1578511026363785</v>
      </c>
      <c r="D389" s="5"/>
      <c r="E389" s="6">
        <v>412</v>
      </c>
      <c r="F389" s="5">
        <v>7.4977252047315739</v>
      </c>
      <c r="G389" s="5"/>
      <c r="H389" s="6">
        <v>54</v>
      </c>
      <c r="I389" s="5">
        <v>12.134831460674157</v>
      </c>
      <c r="J389" s="5"/>
      <c r="K389" s="3">
        <v>26</v>
      </c>
      <c r="L389" s="16">
        <v>28.471428571428568</v>
      </c>
      <c r="N389" s="37">
        <f t="shared" si="44"/>
        <v>8.1999999999999993</v>
      </c>
      <c r="O389" s="37">
        <f t="shared" si="45"/>
        <v>7.5</v>
      </c>
      <c r="P389" s="37">
        <f t="shared" si="46"/>
        <v>12.1</v>
      </c>
      <c r="Q389" s="37">
        <f t="shared" si="47"/>
        <v>28.5</v>
      </c>
      <c r="R389" s="37"/>
      <c r="S389" s="37"/>
      <c r="T389" s="37"/>
      <c r="U389" s="37"/>
    </row>
    <row r="390" spans="1:21" ht="14.1" customHeight="1" x14ac:dyDescent="0.25">
      <c r="A390" s="61" t="s">
        <v>31</v>
      </c>
      <c r="B390" s="6">
        <v>52</v>
      </c>
      <c r="C390" s="5">
        <v>0.86221190515669044</v>
      </c>
      <c r="D390" s="5"/>
      <c r="E390" s="6">
        <v>45</v>
      </c>
      <c r="F390" s="5">
        <v>0.81892629663330307</v>
      </c>
      <c r="G390" s="5"/>
      <c r="H390" s="6">
        <v>4</v>
      </c>
      <c r="I390" s="5">
        <v>0.89887640449438211</v>
      </c>
      <c r="J390" s="5"/>
      <c r="K390" s="3">
        <v>3</v>
      </c>
      <c r="L390" s="16">
        <v>3.296703296703297</v>
      </c>
      <c r="N390" s="37">
        <f t="shared" si="44"/>
        <v>0.9</v>
      </c>
      <c r="O390" s="37">
        <f t="shared" si="45"/>
        <v>0.8</v>
      </c>
      <c r="P390" s="37">
        <f t="shared" si="46"/>
        <v>0.9</v>
      </c>
      <c r="Q390" s="37">
        <f t="shared" si="47"/>
        <v>3.3</v>
      </c>
      <c r="R390" s="37"/>
      <c r="S390" s="37"/>
      <c r="T390" s="37"/>
      <c r="U390" s="37"/>
    </row>
    <row r="391" spans="1:21" ht="14.1" customHeight="1" x14ac:dyDescent="0.25">
      <c r="A391" s="61" t="s">
        <v>32</v>
      </c>
      <c r="B391" s="6">
        <v>683</v>
      </c>
      <c r="C391" s="5">
        <v>11.324821754269607</v>
      </c>
      <c r="D391" s="5"/>
      <c r="E391" s="6">
        <v>647</v>
      </c>
      <c r="F391" s="5">
        <v>11.774340309372157</v>
      </c>
      <c r="G391" s="5"/>
      <c r="H391" s="6">
        <v>34</v>
      </c>
      <c r="I391" s="5">
        <v>7.6404494382022472</v>
      </c>
      <c r="J391" s="5"/>
      <c r="K391" s="3">
        <v>2</v>
      </c>
      <c r="L391" s="16">
        <v>2.197802197802198</v>
      </c>
      <c r="N391" s="37">
        <f t="shared" si="44"/>
        <v>11.3</v>
      </c>
      <c r="O391" s="37">
        <f t="shared" si="45"/>
        <v>11.8</v>
      </c>
      <c r="P391" s="37">
        <f t="shared" si="46"/>
        <v>7.6</v>
      </c>
      <c r="Q391" s="37">
        <f t="shared" si="47"/>
        <v>2.2000000000000002</v>
      </c>
      <c r="R391" s="37"/>
      <c r="S391" s="37"/>
      <c r="T391" s="37"/>
      <c r="U391" s="37"/>
    </row>
    <row r="392" spans="1:21" ht="14.1" customHeight="1" x14ac:dyDescent="0.25">
      <c r="A392" s="61" t="s">
        <v>33</v>
      </c>
      <c r="B392" s="6">
        <v>1493</v>
      </c>
      <c r="C392" s="5">
        <v>24.555430276902673</v>
      </c>
      <c r="D392" s="5"/>
      <c r="E392" s="6">
        <v>1303</v>
      </c>
      <c r="F392" s="5">
        <v>23.712465878070972</v>
      </c>
      <c r="G392" s="5"/>
      <c r="H392" s="6">
        <v>165</v>
      </c>
      <c r="I392" s="5">
        <v>37.178651685393262</v>
      </c>
      <c r="J392" s="5"/>
      <c r="K392" s="3">
        <v>25</v>
      </c>
      <c r="L392" s="16">
        <v>27.472527472527474</v>
      </c>
      <c r="N392" s="37">
        <f t="shared" si="44"/>
        <v>24.6</v>
      </c>
      <c r="O392" s="37">
        <f t="shared" si="45"/>
        <v>23.7</v>
      </c>
      <c r="P392" s="37">
        <f t="shared" si="46"/>
        <v>37.200000000000003</v>
      </c>
      <c r="Q392" s="37">
        <f t="shared" si="47"/>
        <v>27.5</v>
      </c>
      <c r="R392" s="37"/>
      <c r="S392" s="37"/>
      <c r="T392" s="37"/>
      <c r="U392" s="37"/>
    </row>
    <row r="393" spans="1:21" ht="14.1" customHeight="1" x14ac:dyDescent="0.25">
      <c r="A393" s="61" t="s">
        <v>34</v>
      </c>
      <c r="B393" s="6">
        <v>1102</v>
      </c>
      <c r="C393" s="5">
        <v>18.272259990051403</v>
      </c>
      <c r="D393" s="5"/>
      <c r="E393" s="6">
        <v>1034</v>
      </c>
      <c r="F393" s="5">
        <v>18.817106460418561</v>
      </c>
      <c r="G393" s="5"/>
      <c r="H393" s="6">
        <v>63</v>
      </c>
      <c r="I393" s="5">
        <v>14.157303370786517</v>
      </c>
      <c r="J393" s="5"/>
      <c r="K393" s="3">
        <v>5</v>
      </c>
      <c r="L393" s="16">
        <v>5.4945054945054945</v>
      </c>
      <c r="N393" s="37">
        <f t="shared" si="44"/>
        <v>18.3</v>
      </c>
      <c r="O393" s="37">
        <f t="shared" si="45"/>
        <v>18.8</v>
      </c>
      <c r="P393" s="37">
        <f t="shared" si="46"/>
        <v>14.2</v>
      </c>
      <c r="Q393" s="37">
        <f t="shared" si="47"/>
        <v>5.5</v>
      </c>
      <c r="R393" s="37"/>
      <c r="S393" s="37"/>
      <c r="T393" s="37"/>
      <c r="U393" s="37"/>
    </row>
    <row r="394" spans="1:21" ht="14.1" customHeight="1" x14ac:dyDescent="0.25">
      <c r="A394" s="61" t="s">
        <v>67</v>
      </c>
      <c r="B394" s="6">
        <v>89</v>
      </c>
      <c r="C394" s="5">
        <v>1.4757088376720278</v>
      </c>
      <c r="D394" s="5"/>
      <c r="E394" s="6">
        <v>86</v>
      </c>
      <c r="F394" s="5">
        <v>1.565059144676979</v>
      </c>
      <c r="G394" s="5"/>
      <c r="H394" s="6">
        <v>3</v>
      </c>
      <c r="I394" s="5">
        <v>0.6741573033707865</v>
      </c>
      <c r="J394" s="5"/>
      <c r="K394" s="3" t="s">
        <v>96</v>
      </c>
      <c r="L394" s="16" t="s">
        <v>96</v>
      </c>
      <c r="N394" s="37">
        <f t="shared" si="44"/>
        <v>1.5</v>
      </c>
      <c r="O394" s="37">
        <f t="shared" si="45"/>
        <v>1.6</v>
      </c>
      <c r="P394" s="37">
        <f t="shared" si="46"/>
        <v>0.7</v>
      </c>
      <c r="Q394" s="37" t="e">
        <f t="shared" si="47"/>
        <v>#VALUE!</v>
      </c>
      <c r="R394" s="37"/>
      <c r="S394" s="37"/>
      <c r="T394" s="37"/>
      <c r="U394" s="37"/>
    </row>
    <row r="395" spans="1:21" ht="14.1" customHeight="1" x14ac:dyDescent="0.25">
      <c r="A395" s="61" t="s">
        <v>69</v>
      </c>
      <c r="B395" s="6">
        <v>192</v>
      </c>
      <c r="C395" s="5">
        <v>3.1835516498093188</v>
      </c>
      <c r="D395" s="5"/>
      <c r="E395" s="6">
        <v>182</v>
      </c>
      <c r="F395" s="5">
        <v>3.3121019108280256</v>
      </c>
      <c r="G395" s="5"/>
      <c r="H395" s="6">
        <v>10</v>
      </c>
      <c r="I395" s="5">
        <v>2.2471910112359552</v>
      </c>
      <c r="J395" s="5"/>
      <c r="K395" s="3" t="s">
        <v>96</v>
      </c>
      <c r="L395" s="16" t="s">
        <v>96</v>
      </c>
      <c r="N395" s="37">
        <f t="shared" si="44"/>
        <v>3.2</v>
      </c>
      <c r="O395" s="37">
        <f t="shared" si="45"/>
        <v>3.3</v>
      </c>
      <c r="P395" s="37">
        <f t="shared" si="46"/>
        <v>2.2000000000000002</v>
      </c>
      <c r="Q395" s="37" t="e">
        <f t="shared" si="47"/>
        <v>#VALUE!</v>
      </c>
      <c r="R395" s="37"/>
      <c r="S395" s="37"/>
      <c r="T395" s="37"/>
      <c r="U395" s="37"/>
    </row>
    <row r="396" spans="1:21" ht="14.1" customHeight="1" x14ac:dyDescent="0.25">
      <c r="A396" s="61" t="s">
        <v>35</v>
      </c>
      <c r="B396" s="6">
        <v>149</v>
      </c>
      <c r="C396" s="5">
        <v>2.4705687282374398</v>
      </c>
      <c r="D396" s="5"/>
      <c r="E396" s="6">
        <v>146</v>
      </c>
      <c r="F396" s="5">
        <v>2.6569608735213834</v>
      </c>
      <c r="G396" s="5"/>
      <c r="H396" s="6">
        <v>3</v>
      </c>
      <c r="I396" s="5">
        <v>0.6741573033707865</v>
      </c>
      <c r="J396" s="5"/>
      <c r="K396" s="3" t="s">
        <v>96</v>
      </c>
      <c r="L396" s="16" t="s">
        <v>96</v>
      </c>
      <c r="N396" s="37">
        <f t="shared" si="44"/>
        <v>2.5</v>
      </c>
      <c r="O396" s="37">
        <f t="shared" si="45"/>
        <v>2.7</v>
      </c>
      <c r="P396" s="37">
        <f t="shared" si="46"/>
        <v>0.7</v>
      </c>
      <c r="Q396" s="37" t="e">
        <f t="shared" si="47"/>
        <v>#VALUE!</v>
      </c>
      <c r="R396" s="37"/>
      <c r="S396" s="37"/>
      <c r="T396" s="37"/>
      <c r="U396" s="37"/>
    </row>
    <row r="397" spans="1:21" ht="14.1" customHeight="1" x14ac:dyDescent="0.25">
      <c r="A397" s="61" t="s">
        <v>36</v>
      </c>
      <c r="B397" s="6">
        <v>704</v>
      </c>
      <c r="C397" s="5">
        <v>11.673022715967502</v>
      </c>
      <c r="D397" s="5"/>
      <c r="E397" s="6">
        <v>672</v>
      </c>
      <c r="F397" s="5">
        <v>12.229299363057326</v>
      </c>
      <c r="G397" s="5"/>
      <c r="H397" s="6">
        <v>26</v>
      </c>
      <c r="I397" s="5">
        <v>5.8426966292134832</v>
      </c>
      <c r="J397" s="5"/>
      <c r="K397" s="6">
        <v>6</v>
      </c>
      <c r="L397" s="5">
        <v>6.593406593406594</v>
      </c>
      <c r="N397" s="37">
        <f t="shared" si="44"/>
        <v>11.7</v>
      </c>
      <c r="O397" s="37">
        <f t="shared" si="45"/>
        <v>12.2</v>
      </c>
      <c r="P397" s="37">
        <f t="shared" si="46"/>
        <v>5.8</v>
      </c>
      <c r="Q397" s="37">
        <f t="shared" si="47"/>
        <v>6.6</v>
      </c>
      <c r="R397" s="37"/>
      <c r="S397" s="37"/>
      <c r="T397" s="37"/>
      <c r="U397" s="37"/>
    </row>
    <row r="398" spans="1:21" ht="14.1" customHeight="1" thickBot="1" x14ac:dyDescent="0.3">
      <c r="A398" s="70" t="s">
        <v>37</v>
      </c>
      <c r="B398" s="6">
        <v>602</v>
      </c>
      <c r="C398" s="5">
        <v>9.9817609020063003</v>
      </c>
      <c r="D398" s="77"/>
      <c r="E398" s="6">
        <v>577</v>
      </c>
      <c r="F398" s="5">
        <v>10.500454959053686</v>
      </c>
      <c r="G398" s="77"/>
      <c r="H398" s="6">
        <v>22</v>
      </c>
      <c r="I398" s="5">
        <v>4.9438202247191008</v>
      </c>
      <c r="J398" s="77"/>
      <c r="K398" s="6">
        <v>3</v>
      </c>
      <c r="L398" s="5">
        <v>3.296703296703297</v>
      </c>
      <c r="N398" s="37">
        <f t="shared" si="44"/>
        <v>10</v>
      </c>
      <c r="O398" s="37">
        <f t="shared" si="45"/>
        <v>10.5</v>
      </c>
      <c r="P398" s="37">
        <f t="shared" si="46"/>
        <v>4.9000000000000004</v>
      </c>
      <c r="Q398" s="37">
        <f t="shared" si="47"/>
        <v>3.3</v>
      </c>
      <c r="R398" s="37"/>
      <c r="S398" s="37"/>
      <c r="T398" s="37"/>
      <c r="U398" s="37"/>
    </row>
    <row r="399" spans="1:21" ht="38.25" customHeight="1" x14ac:dyDescent="0.25">
      <c r="A399" s="175" t="s">
        <v>84</v>
      </c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</row>
  </sheetData>
  <mergeCells count="9">
    <mergeCell ref="A399:L399"/>
    <mergeCell ref="A1:L1"/>
    <mergeCell ref="A2:L2"/>
    <mergeCell ref="A4:A6"/>
    <mergeCell ref="B4:C5"/>
    <mergeCell ref="E4:L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76" orientation="portrait" r:id="rId1"/>
  <rowBreaks count="8" manualBreakCount="8">
    <brk id="49" max="16383" man="1"/>
    <brk id="91" max="16383" man="1"/>
    <brk id="133" max="16383" man="1"/>
    <brk id="175" max="16383" man="1"/>
    <brk id="217" max="16383" man="1"/>
    <brk id="259" max="16383" man="1"/>
    <brk id="301" max="16383" man="1"/>
    <brk id="343" max="16383" man="1"/>
  </rowBreaks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43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1.28515625" style="23" customWidth="1"/>
    <col min="2" max="2" width="8.42578125" style="23" customWidth="1"/>
    <col min="3" max="3" width="5.140625" style="23" customWidth="1"/>
    <col min="4" max="4" width="1.5703125" style="23" customWidth="1"/>
    <col min="5" max="5" width="8.42578125" style="23" customWidth="1"/>
    <col min="6" max="6" width="5.140625" style="23" customWidth="1"/>
    <col min="7" max="7" width="1.5703125" style="23" customWidth="1"/>
    <col min="8" max="8" width="8.42578125" style="23" customWidth="1"/>
    <col min="9" max="9" width="5.140625" style="23" customWidth="1"/>
    <col min="10" max="10" width="1.5703125" style="23" customWidth="1"/>
    <col min="11" max="11" width="8.42578125" style="23" customWidth="1"/>
    <col min="12" max="12" width="5.140625" style="23" customWidth="1"/>
    <col min="13" max="13" width="1.7109375" style="23" customWidth="1"/>
    <col min="14" max="16384" width="11.42578125" style="23"/>
  </cols>
  <sheetData>
    <row r="1" spans="1:19" ht="12.75" customHeight="1" x14ac:dyDescent="0.25">
      <c r="A1" s="187" t="s">
        <v>53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24"/>
      <c r="O1" s="24"/>
    </row>
    <row r="2" spans="1:19" ht="13.5" x14ac:dyDescent="0.25">
      <c r="A2" s="187" t="s">
        <v>94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24"/>
      <c r="O2" s="24"/>
    </row>
    <row r="3" spans="1:19" ht="3" customHeight="1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9" ht="15.95" customHeight="1" thickBot="1" x14ac:dyDescent="0.3">
      <c r="A4" s="164" t="s">
        <v>72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19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9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9" ht="10.5" customHeight="1" x14ac:dyDescent="0.25">
      <c r="A7" s="80"/>
      <c r="B7" s="27"/>
      <c r="C7" s="26"/>
      <c r="D7" s="26"/>
      <c r="E7" s="27"/>
      <c r="F7" s="26"/>
      <c r="G7" s="26"/>
      <c r="H7" s="27"/>
      <c r="I7" s="26"/>
      <c r="J7" s="26"/>
      <c r="K7" s="27"/>
      <c r="L7" s="26"/>
      <c r="M7" s="26"/>
    </row>
    <row r="8" spans="1:19" ht="15.95" customHeight="1" x14ac:dyDescent="0.25">
      <c r="A8" s="81" t="s">
        <v>22</v>
      </c>
      <c r="B8" s="28">
        <v>226737</v>
      </c>
      <c r="C8" s="36">
        <v>100</v>
      </c>
      <c r="D8" s="36"/>
      <c r="E8" s="28">
        <v>218137</v>
      </c>
      <c r="F8" s="36">
        <v>100</v>
      </c>
      <c r="G8" s="36"/>
      <c r="H8" s="28">
        <v>6804</v>
      </c>
      <c r="I8" s="36">
        <v>100</v>
      </c>
      <c r="J8" s="36"/>
      <c r="K8" s="28">
        <v>1796</v>
      </c>
      <c r="L8" s="36">
        <v>100</v>
      </c>
      <c r="M8" s="36"/>
      <c r="O8" s="103"/>
      <c r="P8" s="103"/>
      <c r="Q8" s="103"/>
      <c r="R8" s="103"/>
      <c r="S8" s="103"/>
    </row>
    <row r="9" spans="1:19" ht="15.95" customHeight="1" x14ac:dyDescent="0.25">
      <c r="A9" s="82" t="s">
        <v>21</v>
      </c>
      <c r="B9" s="29">
        <v>1171</v>
      </c>
      <c r="C9" s="30">
        <v>0.51645739336764618</v>
      </c>
      <c r="D9" s="30"/>
      <c r="E9" s="29">
        <v>1157</v>
      </c>
      <c r="F9" s="30">
        <v>0.53040061979398267</v>
      </c>
      <c r="G9" s="30"/>
      <c r="H9" s="29">
        <v>13</v>
      </c>
      <c r="I9" s="30">
        <v>0.19106407995296884</v>
      </c>
      <c r="J9" s="30"/>
      <c r="K9" s="29">
        <v>1</v>
      </c>
      <c r="L9" s="30">
        <v>5.5679287305122491E-2</v>
      </c>
      <c r="M9" s="30"/>
      <c r="O9" s="103"/>
      <c r="P9" s="103"/>
      <c r="Q9" s="103"/>
      <c r="R9" s="103"/>
      <c r="S9" s="103"/>
    </row>
    <row r="10" spans="1:19" ht="15.95" customHeight="1" x14ac:dyDescent="0.25">
      <c r="A10" s="82" t="s">
        <v>56</v>
      </c>
      <c r="B10" s="29">
        <v>5198</v>
      </c>
      <c r="C10" s="30">
        <v>2.2925239374252988</v>
      </c>
      <c r="D10" s="30"/>
      <c r="E10" s="29">
        <v>5096</v>
      </c>
      <c r="F10" s="30">
        <v>2.3361465501038339</v>
      </c>
      <c r="G10" s="30"/>
      <c r="H10" s="29">
        <v>89</v>
      </c>
      <c r="I10" s="30">
        <v>1.3080540858318637</v>
      </c>
      <c r="J10" s="30"/>
      <c r="K10" s="29">
        <v>13</v>
      </c>
      <c r="L10" s="30">
        <v>0.72383073496659245</v>
      </c>
      <c r="M10" s="30"/>
      <c r="O10" s="103"/>
      <c r="P10" s="103"/>
      <c r="Q10" s="103"/>
      <c r="R10" s="103"/>
      <c r="S10" s="103"/>
    </row>
    <row r="11" spans="1:19" ht="15.95" customHeight="1" x14ac:dyDescent="0.25">
      <c r="A11" s="82" t="s">
        <v>49</v>
      </c>
      <c r="B11" s="29">
        <v>1950</v>
      </c>
      <c r="C11" s="30">
        <v>0.8600272562484288</v>
      </c>
      <c r="D11" s="30"/>
      <c r="E11" s="29">
        <v>1936</v>
      </c>
      <c r="F11" s="30">
        <v>0.88751564383850512</v>
      </c>
      <c r="G11" s="30"/>
      <c r="H11" s="29">
        <v>12</v>
      </c>
      <c r="I11" s="30">
        <v>0.17636684303350969</v>
      </c>
      <c r="J11" s="30"/>
      <c r="K11" s="29">
        <v>2</v>
      </c>
      <c r="L11" s="30">
        <v>0.11135857461024498</v>
      </c>
      <c r="M11" s="30"/>
      <c r="O11" s="103"/>
      <c r="P11" s="103"/>
      <c r="Q11" s="103"/>
      <c r="R11" s="103"/>
      <c r="S11" s="103"/>
    </row>
    <row r="12" spans="1:19" ht="15.95" customHeight="1" x14ac:dyDescent="0.25">
      <c r="A12" s="82" t="s">
        <v>20</v>
      </c>
      <c r="B12" s="29">
        <v>12695</v>
      </c>
      <c r="C12" s="30">
        <v>5.3989979579865652</v>
      </c>
      <c r="D12" s="30"/>
      <c r="E12" s="29">
        <v>12350</v>
      </c>
      <c r="F12" s="30">
        <v>5.661579649486332</v>
      </c>
      <c r="G12" s="30"/>
      <c r="H12" s="29">
        <v>284</v>
      </c>
      <c r="I12" s="30">
        <v>4.1740152851263961</v>
      </c>
      <c r="J12" s="30"/>
      <c r="K12" s="29">
        <v>61</v>
      </c>
      <c r="L12" s="30">
        <v>3.3964365256124722</v>
      </c>
      <c r="M12" s="30"/>
      <c r="O12" s="103"/>
      <c r="P12" s="103"/>
      <c r="Q12" s="103"/>
      <c r="R12" s="103"/>
      <c r="S12" s="103"/>
    </row>
    <row r="13" spans="1:19" ht="15.95" customHeight="1" x14ac:dyDescent="0.25">
      <c r="A13" s="82" t="s">
        <v>19</v>
      </c>
      <c r="B13" s="29">
        <v>2490</v>
      </c>
      <c r="C13" s="30">
        <v>1.0981886502864553</v>
      </c>
      <c r="D13" s="30"/>
      <c r="E13" s="29">
        <v>2466</v>
      </c>
      <c r="F13" s="30">
        <v>1.1304822198893356</v>
      </c>
      <c r="G13" s="30"/>
      <c r="H13" s="29">
        <v>23</v>
      </c>
      <c r="I13" s="30">
        <v>0.33803644914756026</v>
      </c>
      <c r="J13" s="30"/>
      <c r="K13" s="29">
        <v>1</v>
      </c>
      <c r="L13" s="30">
        <v>5.5679287305122491E-2</v>
      </c>
      <c r="M13" s="30"/>
      <c r="O13" s="103"/>
      <c r="P13" s="103"/>
      <c r="Q13" s="103"/>
      <c r="R13" s="103"/>
      <c r="S13" s="103"/>
    </row>
    <row r="14" spans="1:19" ht="15.95" customHeight="1" x14ac:dyDescent="0.25">
      <c r="A14" s="82" t="s">
        <v>18</v>
      </c>
      <c r="B14" s="29">
        <v>4989</v>
      </c>
      <c r="C14" s="30">
        <v>2.2003466571402108</v>
      </c>
      <c r="D14" s="30"/>
      <c r="E14" s="29">
        <v>4936</v>
      </c>
      <c r="F14" s="30">
        <v>2.2627981497866023</v>
      </c>
      <c r="G14" s="30"/>
      <c r="H14" s="29">
        <v>47</v>
      </c>
      <c r="I14" s="30">
        <v>0.69077013521457964</v>
      </c>
      <c r="J14" s="30"/>
      <c r="K14" s="29">
        <v>6</v>
      </c>
      <c r="L14" s="30">
        <v>0.33407572383073497</v>
      </c>
      <c r="M14" s="30"/>
      <c r="O14" s="103"/>
      <c r="P14" s="103"/>
      <c r="Q14" s="103"/>
      <c r="R14" s="103"/>
      <c r="S14" s="103"/>
    </row>
    <row r="15" spans="1:19" ht="15.95" customHeight="1" x14ac:dyDescent="0.25">
      <c r="A15" s="82" t="s">
        <v>55</v>
      </c>
      <c r="B15" s="29">
        <v>7260</v>
      </c>
      <c r="C15" s="30">
        <v>3.2019476309556887</v>
      </c>
      <c r="D15" s="30"/>
      <c r="E15" s="29">
        <v>6874</v>
      </c>
      <c r="F15" s="30">
        <v>3.1512306486290727</v>
      </c>
      <c r="G15" s="30"/>
      <c r="H15" s="29">
        <v>274</v>
      </c>
      <c r="I15" s="30">
        <v>4.0270429159318049</v>
      </c>
      <c r="J15" s="30"/>
      <c r="K15" s="29">
        <v>112</v>
      </c>
      <c r="L15" s="30">
        <v>6.2360801781737196</v>
      </c>
      <c r="M15" s="30"/>
      <c r="O15" s="103"/>
      <c r="P15" s="103"/>
      <c r="Q15" s="103"/>
      <c r="R15" s="103"/>
      <c r="S15" s="103"/>
    </row>
    <row r="16" spans="1:19" ht="15.95" customHeight="1" x14ac:dyDescent="0.25">
      <c r="A16" s="82" t="s">
        <v>17</v>
      </c>
      <c r="B16" s="29">
        <v>8331</v>
      </c>
      <c r="C16" s="30">
        <v>3.6743010624644414</v>
      </c>
      <c r="D16" s="30"/>
      <c r="E16" s="29">
        <v>8247</v>
      </c>
      <c r="F16" s="30">
        <v>3.780651608851318</v>
      </c>
      <c r="G16" s="30"/>
      <c r="H16" s="29">
        <v>76</v>
      </c>
      <c r="I16" s="30">
        <v>1.1169900058788949</v>
      </c>
      <c r="J16" s="30"/>
      <c r="K16" s="29">
        <v>8</v>
      </c>
      <c r="L16" s="30">
        <v>0.44543429844097993</v>
      </c>
      <c r="M16" s="30"/>
      <c r="O16" s="103"/>
      <c r="P16" s="103"/>
      <c r="Q16" s="103"/>
      <c r="R16" s="103"/>
      <c r="S16" s="103"/>
    </row>
    <row r="17" spans="1:19" ht="15.95" customHeight="1" x14ac:dyDescent="0.25">
      <c r="A17" s="82" t="s">
        <v>16</v>
      </c>
      <c r="B17" s="29">
        <v>976</v>
      </c>
      <c r="C17" s="30">
        <v>0.43045466774280333</v>
      </c>
      <c r="D17" s="30"/>
      <c r="E17" s="29">
        <v>973</v>
      </c>
      <c r="F17" s="30">
        <v>0.44604995942916609</v>
      </c>
      <c r="G17" s="30"/>
      <c r="H17" s="29">
        <v>3</v>
      </c>
      <c r="I17" s="30">
        <v>0.14409171075837743</v>
      </c>
      <c r="J17" s="30"/>
      <c r="K17" s="33" t="s">
        <v>96</v>
      </c>
      <c r="L17" s="33" t="s">
        <v>96</v>
      </c>
      <c r="M17" s="30"/>
      <c r="O17" s="103"/>
      <c r="P17" s="103"/>
      <c r="Q17" s="103"/>
      <c r="R17" s="103"/>
      <c r="S17" s="103"/>
    </row>
    <row r="18" spans="1:19" ht="15.95" customHeight="1" x14ac:dyDescent="0.25">
      <c r="A18" s="82" t="s">
        <v>15</v>
      </c>
      <c r="B18" s="29">
        <v>3409</v>
      </c>
      <c r="C18" s="30">
        <v>1.5035040597696891</v>
      </c>
      <c r="D18" s="30"/>
      <c r="E18" s="29">
        <v>3378</v>
      </c>
      <c r="F18" s="30">
        <v>1.548568101697557</v>
      </c>
      <c r="G18" s="30"/>
      <c r="H18" s="29">
        <v>29</v>
      </c>
      <c r="I18" s="30">
        <v>0.4262198706643151</v>
      </c>
      <c r="J18" s="30"/>
      <c r="K18" s="29">
        <v>2</v>
      </c>
      <c r="L18" s="30">
        <v>0.11135857461024498</v>
      </c>
      <c r="M18" s="30"/>
      <c r="O18" s="103"/>
      <c r="P18" s="103"/>
      <c r="Q18" s="103"/>
      <c r="R18" s="103"/>
      <c r="S18" s="103"/>
    </row>
    <row r="19" spans="1:19" ht="15.95" customHeight="1" x14ac:dyDescent="0.25">
      <c r="A19" s="82" t="s">
        <v>14</v>
      </c>
      <c r="B19" s="29">
        <v>3841</v>
      </c>
      <c r="C19" s="30">
        <v>1.6940331750001103</v>
      </c>
      <c r="D19" s="30"/>
      <c r="E19" s="29">
        <v>3714</v>
      </c>
      <c r="F19" s="30">
        <v>1.7025997423637438</v>
      </c>
      <c r="G19" s="30"/>
      <c r="H19" s="29">
        <v>83</v>
      </c>
      <c r="I19" s="30">
        <v>1.2198706643151087</v>
      </c>
      <c r="J19" s="30"/>
      <c r="K19" s="29">
        <v>44</v>
      </c>
      <c r="L19" s="30">
        <v>2.5498886414253898</v>
      </c>
      <c r="M19" s="30"/>
      <c r="O19" s="103"/>
      <c r="P19" s="103"/>
      <c r="Q19" s="103"/>
      <c r="R19" s="103"/>
      <c r="S19" s="103"/>
    </row>
    <row r="20" spans="1:19" ht="15.95" customHeight="1" x14ac:dyDescent="0.25">
      <c r="A20" s="82" t="s">
        <v>13</v>
      </c>
      <c r="B20" s="29">
        <v>7836</v>
      </c>
      <c r="C20" s="30">
        <v>3.455986451262917</v>
      </c>
      <c r="D20" s="30"/>
      <c r="E20" s="29">
        <v>7759</v>
      </c>
      <c r="F20" s="30">
        <v>3.5569389878837612</v>
      </c>
      <c r="G20" s="30"/>
      <c r="H20" s="29">
        <v>66</v>
      </c>
      <c r="I20" s="30">
        <v>0.9700176366843033</v>
      </c>
      <c r="J20" s="30"/>
      <c r="K20" s="29">
        <v>11</v>
      </c>
      <c r="L20" s="30">
        <v>0.61247216035634744</v>
      </c>
      <c r="M20" s="30"/>
      <c r="O20" s="103"/>
      <c r="P20" s="103"/>
      <c r="Q20" s="103"/>
      <c r="R20" s="103"/>
      <c r="S20" s="103"/>
    </row>
    <row r="21" spans="1:19" ht="15.95" customHeight="1" x14ac:dyDescent="0.25">
      <c r="A21" s="82" t="s">
        <v>12</v>
      </c>
      <c r="B21" s="29">
        <v>11744</v>
      </c>
      <c r="C21" s="30">
        <v>5.0795692807084869</v>
      </c>
      <c r="D21" s="30"/>
      <c r="E21" s="29">
        <v>11479</v>
      </c>
      <c r="F21" s="30">
        <v>5.1622892952594022</v>
      </c>
      <c r="G21" s="30"/>
      <c r="H21" s="29">
        <v>224</v>
      </c>
      <c r="I21" s="30">
        <v>3.2921810699588478</v>
      </c>
      <c r="J21" s="30"/>
      <c r="K21" s="29">
        <v>41</v>
      </c>
      <c r="L21" s="30">
        <v>2.2828507795100221</v>
      </c>
      <c r="M21" s="30"/>
      <c r="O21" s="103"/>
      <c r="P21" s="103"/>
      <c r="Q21" s="103"/>
      <c r="R21" s="103"/>
      <c r="S21" s="103"/>
    </row>
    <row r="22" spans="1:19" ht="15.95" customHeight="1" x14ac:dyDescent="0.25">
      <c r="A22" s="82" t="s">
        <v>11</v>
      </c>
      <c r="B22" s="29">
        <v>6495</v>
      </c>
      <c r="C22" s="30">
        <v>2.8645523227351513</v>
      </c>
      <c r="D22" s="30"/>
      <c r="E22" s="29">
        <v>6342</v>
      </c>
      <c r="F22" s="30">
        <v>2.9073472175742765</v>
      </c>
      <c r="G22" s="30"/>
      <c r="H22" s="29">
        <v>111</v>
      </c>
      <c r="I22" s="30">
        <v>1.6313932980599646</v>
      </c>
      <c r="J22" s="30"/>
      <c r="K22" s="29">
        <v>42</v>
      </c>
      <c r="L22" s="30">
        <v>2.338530066815145</v>
      </c>
      <c r="M22" s="30"/>
      <c r="O22" s="103"/>
      <c r="P22" s="103"/>
      <c r="Q22" s="103"/>
      <c r="R22" s="103"/>
      <c r="S22" s="103"/>
    </row>
    <row r="23" spans="1:19" ht="15.95" customHeight="1" x14ac:dyDescent="0.25">
      <c r="A23" s="82" t="s">
        <v>71</v>
      </c>
      <c r="B23" s="29">
        <v>116895</v>
      </c>
      <c r="C23" s="158">
        <v>51.555326214953887</v>
      </c>
      <c r="D23" s="30"/>
      <c r="E23" s="29">
        <v>110701</v>
      </c>
      <c r="F23" s="158">
        <v>50.748382896986755</v>
      </c>
      <c r="G23" s="30"/>
      <c r="H23" s="29">
        <v>4881</v>
      </c>
      <c r="I23" s="158">
        <v>71.737213403880077</v>
      </c>
      <c r="J23" s="30"/>
      <c r="K23" s="29">
        <v>1313</v>
      </c>
      <c r="L23" s="158">
        <v>73.106904231625833</v>
      </c>
      <c r="M23" s="30"/>
      <c r="O23" s="103"/>
      <c r="P23" s="103"/>
      <c r="Q23" s="103"/>
      <c r="R23" s="103"/>
      <c r="S23" s="103"/>
    </row>
    <row r="24" spans="1:19" ht="15.95" customHeight="1" x14ac:dyDescent="0.25">
      <c r="A24" s="82" t="s">
        <v>10</v>
      </c>
      <c r="B24" s="29">
        <v>3155</v>
      </c>
      <c r="C24" s="30">
        <v>1.3914799966480988</v>
      </c>
      <c r="D24" s="30"/>
      <c r="E24" s="29">
        <v>3082</v>
      </c>
      <c r="F24" s="30">
        <v>1.4128735611106782</v>
      </c>
      <c r="G24" s="29"/>
      <c r="H24" s="29">
        <v>64</v>
      </c>
      <c r="I24" s="30">
        <v>0.94062316284538505</v>
      </c>
      <c r="J24" s="30"/>
      <c r="K24" s="29">
        <v>9</v>
      </c>
      <c r="L24" s="30">
        <v>0.50111358574610243</v>
      </c>
      <c r="M24" s="30"/>
      <c r="O24" s="103"/>
      <c r="P24" s="103"/>
      <c r="Q24" s="103"/>
      <c r="R24" s="103"/>
      <c r="S24" s="103"/>
    </row>
    <row r="25" spans="1:19" ht="15.95" customHeight="1" x14ac:dyDescent="0.25">
      <c r="A25" s="82" t="s">
        <v>9</v>
      </c>
      <c r="B25" s="29">
        <v>1309</v>
      </c>
      <c r="C25" s="30">
        <v>0.57732086073291966</v>
      </c>
      <c r="D25" s="30"/>
      <c r="E25" s="29">
        <v>1282</v>
      </c>
      <c r="F25" s="30">
        <v>0.58770405754181998</v>
      </c>
      <c r="G25" s="30"/>
      <c r="H25" s="29">
        <v>21</v>
      </c>
      <c r="I25" s="30">
        <v>0.30864197530864196</v>
      </c>
      <c r="J25" s="30"/>
      <c r="K25" s="29">
        <v>6</v>
      </c>
      <c r="L25" s="30">
        <v>0.33407572383073497</v>
      </c>
      <c r="M25" s="30"/>
      <c r="O25" s="103"/>
      <c r="P25" s="103"/>
      <c r="Q25" s="103"/>
      <c r="R25" s="103"/>
      <c r="S25" s="103"/>
    </row>
    <row r="26" spans="1:19" ht="15.95" customHeight="1" x14ac:dyDescent="0.25">
      <c r="A26" s="82" t="s">
        <v>8</v>
      </c>
      <c r="B26" s="29">
        <v>1072</v>
      </c>
      <c r="C26" s="30">
        <v>0.47279447112734141</v>
      </c>
      <c r="D26" s="30"/>
      <c r="E26" s="29">
        <v>1044</v>
      </c>
      <c r="F26" s="30">
        <v>0.47859831206993775</v>
      </c>
      <c r="G26" s="30"/>
      <c r="H26" s="29">
        <v>27</v>
      </c>
      <c r="I26" s="30">
        <v>0.3968253968253968</v>
      </c>
      <c r="J26" s="30"/>
      <c r="K26" s="29">
        <v>1</v>
      </c>
      <c r="L26" s="30">
        <v>5.5679287305122491E-2</v>
      </c>
      <c r="M26" s="30"/>
      <c r="O26" s="103"/>
      <c r="P26" s="103"/>
      <c r="Q26" s="103"/>
      <c r="R26" s="103"/>
      <c r="S26" s="103"/>
    </row>
    <row r="27" spans="1:19" ht="15.95" customHeight="1" x14ac:dyDescent="0.25">
      <c r="A27" s="82" t="s">
        <v>7</v>
      </c>
      <c r="B27" s="29">
        <v>1006</v>
      </c>
      <c r="C27" s="30">
        <v>0.44368585630047153</v>
      </c>
      <c r="D27" s="30"/>
      <c r="E27" s="29">
        <v>985</v>
      </c>
      <c r="F27" s="30">
        <v>0.45155108945295847</v>
      </c>
      <c r="G27" s="30"/>
      <c r="H27" s="29">
        <v>19</v>
      </c>
      <c r="I27" s="30">
        <v>0.27924750146972371</v>
      </c>
      <c r="J27" s="30"/>
      <c r="K27" s="29">
        <v>2</v>
      </c>
      <c r="L27" s="30">
        <v>0.11135857461024498</v>
      </c>
      <c r="M27" s="30"/>
      <c r="O27" s="103"/>
      <c r="P27" s="103"/>
      <c r="Q27" s="103"/>
      <c r="R27" s="103"/>
      <c r="S27" s="103"/>
    </row>
    <row r="28" spans="1:19" ht="15.95" customHeight="1" x14ac:dyDescent="0.25">
      <c r="A28" s="82" t="s">
        <v>6</v>
      </c>
      <c r="B28" s="29">
        <v>7426</v>
      </c>
      <c r="C28" s="30">
        <v>3.2751602076414525</v>
      </c>
      <c r="D28" s="30"/>
      <c r="E28" s="29">
        <v>7171</v>
      </c>
      <c r="F28" s="30">
        <v>3.2873836167179342</v>
      </c>
      <c r="G28" s="30"/>
      <c r="H28" s="29">
        <v>178</v>
      </c>
      <c r="I28" s="30">
        <v>2.6161081716637273</v>
      </c>
      <c r="J28" s="30"/>
      <c r="K28" s="29">
        <v>77</v>
      </c>
      <c r="L28" s="30">
        <v>4.2873051224944323</v>
      </c>
      <c r="M28" s="30"/>
      <c r="O28" s="103"/>
      <c r="P28" s="103"/>
      <c r="Q28" s="103"/>
      <c r="R28" s="103"/>
      <c r="S28" s="103"/>
    </row>
    <row r="29" spans="1:19" ht="15.95" customHeight="1" x14ac:dyDescent="0.25">
      <c r="A29" s="82" t="s">
        <v>5</v>
      </c>
      <c r="B29" s="29">
        <v>7163</v>
      </c>
      <c r="C29" s="30">
        <v>3.1591667879525618</v>
      </c>
      <c r="D29" s="30"/>
      <c r="E29" s="29">
        <v>7121</v>
      </c>
      <c r="F29" s="30">
        <v>3.2644622416187992</v>
      </c>
      <c r="G29" s="30"/>
      <c r="H29" s="29">
        <v>37</v>
      </c>
      <c r="I29" s="30">
        <v>0.5437977660199883</v>
      </c>
      <c r="J29" s="30"/>
      <c r="K29" s="29">
        <v>5</v>
      </c>
      <c r="L29" s="30">
        <v>0.27839643652561247</v>
      </c>
      <c r="M29" s="30"/>
      <c r="O29" s="103"/>
      <c r="P29" s="103"/>
      <c r="Q29" s="103"/>
      <c r="R29" s="103"/>
      <c r="S29" s="103"/>
    </row>
    <row r="30" spans="1:19" ht="15.95" customHeight="1" x14ac:dyDescent="0.25">
      <c r="A30" s="82" t="s">
        <v>4</v>
      </c>
      <c r="B30" s="29">
        <v>4222</v>
      </c>
      <c r="C30" s="30">
        <v>1.8620692696824956</v>
      </c>
      <c r="D30" s="30"/>
      <c r="E30" s="29">
        <v>4140</v>
      </c>
      <c r="F30" s="30">
        <v>1.8978898582083736</v>
      </c>
      <c r="G30" s="30"/>
      <c r="H30" s="29">
        <v>72</v>
      </c>
      <c r="I30" s="30">
        <v>1.0582010582010581</v>
      </c>
      <c r="J30" s="30"/>
      <c r="K30" s="29">
        <v>10</v>
      </c>
      <c r="L30" s="30">
        <v>0.55679287305122493</v>
      </c>
      <c r="M30" s="30"/>
      <c r="O30" s="103"/>
      <c r="P30" s="103"/>
      <c r="Q30" s="103"/>
      <c r="R30" s="103"/>
      <c r="S30" s="103"/>
    </row>
    <row r="31" spans="1:19" ht="15.95" customHeight="1" x14ac:dyDescent="0.25">
      <c r="A31" s="82" t="s">
        <v>3</v>
      </c>
      <c r="B31" s="29">
        <v>2912</v>
      </c>
      <c r="C31" s="30">
        <v>1.284307369330987</v>
      </c>
      <c r="D31" s="30"/>
      <c r="E31" s="29">
        <v>2839</v>
      </c>
      <c r="F31" s="30">
        <v>1.3014756781288823</v>
      </c>
      <c r="G31" s="30"/>
      <c r="H31" s="29">
        <v>65</v>
      </c>
      <c r="I31" s="30">
        <v>0.95532039976484429</v>
      </c>
      <c r="J31" s="30"/>
      <c r="K31" s="29">
        <v>8</v>
      </c>
      <c r="L31" s="30">
        <v>0.44543429844097993</v>
      </c>
      <c r="M31" s="30"/>
      <c r="O31" s="103"/>
      <c r="P31" s="103"/>
      <c r="Q31" s="103"/>
      <c r="R31" s="103"/>
      <c r="S31" s="103"/>
    </row>
    <row r="32" spans="1:19" ht="15.95" customHeight="1" x14ac:dyDescent="0.25">
      <c r="A32" s="82" t="s">
        <v>2</v>
      </c>
      <c r="B32" s="29">
        <v>753</v>
      </c>
      <c r="C32" s="30">
        <v>0.33210283279747016</v>
      </c>
      <c r="D32" s="30"/>
      <c r="E32" s="29">
        <v>740</v>
      </c>
      <c r="F32" s="30">
        <v>0.33923635146719722</v>
      </c>
      <c r="G32" s="30"/>
      <c r="H32" s="29">
        <v>9</v>
      </c>
      <c r="I32" s="30">
        <v>0.23227513227513227</v>
      </c>
      <c r="J32" s="30"/>
      <c r="K32" s="29">
        <v>4</v>
      </c>
      <c r="L32" s="30">
        <v>0.22271714922048996</v>
      </c>
      <c r="M32" s="30"/>
      <c r="O32" s="103"/>
      <c r="P32" s="103"/>
      <c r="Q32" s="103"/>
      <c r="R32" s="103"/>
      <c r="S32" s="103"/>
    </row>
    <row r="33" spans="1:19" ht="15.95" customHeight="1" x14ac:dyDescent="0.25">
      <c r="A33" s="82" t="s">
        <v>1</v>
      </c>
      <c r="B33" s="29">
        <v>2439</v>
      </c>
      <c r="C33" s="30">
        <v>1.0756956297384193</v>
      </c>
      <c r="D33" s="30"/>
      <c r="E33" s="29">
        <v>2325</v>
      </c>
      <c r="F33" s="30">
        <v>1.0658439421097752</v>
      </c>
      <c r="G33" s="30"/>
      <c r="H33" s="29">
        <v>97</v>
      </c>
      <c r="I33" s="30">
        <v>1.4256319811875366</v>
      </c>
      <c r="J33" s="30"/>
      <c r="K33" s="29">
        <v>17</v>
      </c>
      <c r="L33" s="30">
        <v>1.0465478841870826</v>
      </c>
      <c r="M33" s="30"/>
      <c r="O33" s="103"/>
      <c r="P33" s="103"/>
      <c r="Q33" s="103"/>
      <c r="R33" s="103"/>
      <c r="S33" s="103"/>
    </row>
    <row r="34" spans="1:19" ht="10.5" customHeight="1" x14ac:dyDescent="0.25">
      <c r="A34" s="82"/>
      <c r="B34" s="29"/>
      <c r="C34" s="30"/>
      <c r="D34" s="30"/>
      <c r="E34" s="29"/>
      <c r="F34" s="30"/>
      <c r="G34" s="30"/>
      <c r="H34" s="29"/>
      <c r="I34" s="30"/>
      <c r="J34" s="30"/>
      <c r="K34" s="29"/>
      <c r="L34" s="30"/>
      <c r="M34" s="30"/>
      <c r="O34" s="103"/>
      <c r="P34" s="103"/>
      <c r="Q34" s="103"/>
      <c r="R34" s="103"/>
      <c r="S34" s="103"/>
    </row>
    <row r="35" spans="1:19" ht="15.95" customHeight="1" x14ac:dyDescent="0.25">
      <c r="A35" s="82" t="s">
        <v>76</v>
      </c>
      <c r="B35" s="29">
        <v>113361</v>
      </c>
      <c r="C35" s="158">
        <v>49.996692202860579</v>
      </c>
      <c r="D35" s="30"/>
      <c r="E35" s="29">
        <v>107279</v>
      </c>
      <c r="F35" s="158">
        <v>49.079643985201962</v>
      </c>
      <c r="G35" s="30"/>
      <c r="H35" s="29">
        <v>4798</v>
      </c>
      <c r="I35" s="158">
        <v>70.517342739564953</v>
      </c>
      <c r="J35" s="30"/>
      <c r="K35" s="29">
        <v>1284</v>
      </c>
      <c r="L35" s="158">
        <v>71.492204899777278</v>
      </c>
      <c r="M35" s="30"/>
      <c r="O35" s="103"/>
      <c r="P35" s="103"/>
      <c r="Q35" s="103"/>
      <c r="R35" s="103"/>
      <c r="S35" s="103"/>
    </row>
    <row r="36" spans="1:19" ht="15.95" customHeight="1" x14ac:dyDescent="0.25">
      <c r="A36" s="82" t="s">
        <v>77</v>
      </c>
      <c r="B36" s="29">
        <v>3534</v>
      </c>
      <c r="C36" s="158">
        <v>1.5586340120933062</v>
      </c>
      <c r="D36" s="30"/>
      <c r="E36" s="29">
        <v>3422</v>
      </c>
      <c r="F36" s="158">
        <v>1.5687389117847956</v>
      </c>
      <c r="G36" s="30"/>
      <c r="H36" s="29">
        <v>83</v>
      </c>
      <c r="I36" s="158">
        <v>1.2198706643151087</v>
      </c>
      <c r="J36" s="30"/>
      <c r="K36" s="29">
        <v>29</v>
      </c>
      <c r="L36" s="158">
        <v>1.6146993318485525</v>
      </c>
      <c r="M36" s="30"/>
      <c r="O36" s="103"/>
      <c r="P36" s="103"/>
      <c r="Q36" s="103"/>
      <c r="R36" s="103"/>
      <c r="S36" s="103"/>
    </row>
    <row r="37" spans="1:19" ht="15.95" customHeight="1" thickBot="1" x14ac:dyDescent="0.3">
      <c r="A37" s="83"/>
      <c r="B37" s="84"/>
      <c r="C37" s="85"/>
      <c r="D37" s="85"/>
      <c r="E37" s="84"/>
      <c r="F37" s="85"/>
      <c r="G37" s="85"/>
      <c r="H37" s="84"/>
      <c r="I37" s="128"/>
      <c r="J37" s="128"/>
      <c r="K37" s="87"/>
      <c r="L37" s="86"/>
      <c r="M37" s="86"/>
      <c r="O37" s="103"/>
      <c r="P37" s="103"/>
      <c r="Q37" s="103"/>
      <c r="R37" s="103"/>
      <c r="S37" s="103"/>
    </row>
    <row r="38" spans="1:19" ht="5.25" customHeight="1" x14ac:dyDescent="0.25">
      <c r="A38" s="32"/>
      <c r="B38" s="33"/>
      <c r="C38" s="31"/>
      <c r="D38" s="31"/>
      <c r="E38" s="33"/>
      <c r="F38" s="31"/>
      <c r="G38" s="31"/>
      <c r="H38" s="33"/>
      <c r="I38" s="31"/>
      <c r="J38" s="31"/>
      <c r="K38" s="33"/>
      <c r="L38" s="31"/>
      <c r="M38" s="31"/>
    </row>
    <row r="39" spans="1:19" ht="56.25" customHeight="1" x14ac:dyDescent="0.25">
      <c r="A39" s="186" t="s">
        <v>79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9" ht="11.1" customHeight="1" x14ac:dyDescent="0.25">
      <c r="N40" s="34"/>
      <c r="O40" s="34"/>
    </row>
    <row r="42" spans="1:19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9" ht="12.75" customHeight="1" x14ac:dyDescent="0.25"/>
  </sheetData>
  <mergeCells count="9">
    <mergeCell ref="A39:M39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85" orientation="portrait" r:id="rId1"/>
  <colBreaks count="1" manualBreakCount="1">
    <brk id="13" max="3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93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4.5703125" style="1" customWidth="1"/>
    <col min="2" max="2" width="7.140625" style="1" customWidth="1"/>
    <col min="3" max="3" width="5.140625" style="1" customWidth="1"/>
    <col min="4" max="4" width="1.7109375" style="1" customWidth="1"/>
    <col min="5" max="5" width="7.140625" style="1" customWidth="1"/>
    <col min="6" max="6" width="5.140625" style="1" customWidth="1"/>
    <col min="7" max="7" width="1.85546875" style="1" customWidth="1"/>
    <col min="8" max="8" width="7.140625" style="1" customWidth="1"/>
    <col min="9" max="9" width="5.140625" style="1" customWidth="1"/>
    <col min="10" max="10" width="2" style="1" customWidth="1"/>
    <col min="11" max="11" width="7.140625" style="1" customWidth="1"/>
    <col min="12" max="12" width="7" style="1" customWidth="1"/>
    <col min="13" max="13" width="1.42578125" style="1" customWidth="1"/>
    <col min="14" max="16384" width="11.42578125" style="1"/>
  </cols>
  <sheetData>
    <row r="1" spans="1:13" ht="14.1" customHeight="1" x14ac:dyDescent="0.25">
      <c r="A1" s="163" t="s">
        <v>62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5.5" customHeight="1" x14ac:dyDescent="0.25">
      <c r="A2" s="163" t="s">
        <v>95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3.7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95" customHeight="1" thickBot="1" x14ac:dyDescent="0.3">
      <c r="A4" s="164" t="s">
        <v>73</v>
      </c>
      <c r="B4" s="177" t="s">
        <v>26</v>
      </c>
      <c r="C4" s="177"/>
      <c r="D4" s="58"/>
      <c r="E4" s="177" t="s">
        <v>66</v>
      </c>
      <c r="F4" s="177"/>
      <c r="G4" s="177"/>
      <c r="H4" s="177"/>
      <c r="I4" s="177"/>
      <c r="J4" s="177"/>
      <c r="K4" s="177"/>
      <c r="L4" s="177"/>
      <c r="M4" s="177"/>
    </row>
    <row r="5" spans="1:13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3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3" ht="9.9499999999999993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  <c r="M7" s="11"/>
    </row>
    <row r="8" spans="1:13" ht="14.1" customHeight="1" x14ac:dyDescent="0.25">
      <c r="A8" s="67" t="s">
        <v>26</v>
      </c>
      <c r="B8" s="9">
        <v>226737</v>
      </c>
      <c r="C8" s="15">
        <v>100</v>
      </c>
      <c r="D8" s="15"/>
      <c r="E8" s="9">
        <v>218137</v>
      </c>
      <c r="F8" s="15">
        <v>100</v>
      </c>
      <c r="G8" s="15"/>
      <c r="H8" s="9">
        <v>6804</v>
      </c>
      <c r="I8" s="15">
        <v>100</v>
      </c>
      <c r="J8" s="15"/>
      <c r="K8" s="9">
        <v>1796</v>
      </c>
      <c r="L8" s="15">
        <v>100</v>
      </c>
      <c r="M8" s="15"/>
    </row>
    <row r="9" spans="1:13" ht="14.1" customHeight="1" x14ac:dyDescent="0.25">
      <c r="A9" s="61" t="s">
        <v>40</v>
      </c>
      <c r="B9" s="6">
        <v>156756</v>
      </c>
      <c r="C9" s="5">
        <v>69.035606451527542</v>
      </c>
      <c r="D9" s="5"/>
      <c r="E9" s="6">
        <v>156410</v>
      </c>
      <c r="F9" s="5">
        <v>71.702645585113942</v>
      </c>
      <c r="G9" s="5"/>
      <c r="H9" s="6">
        <v>337</v>
      </c>
      <c r="I9" s="5">
        <v>4.9529688418577305</v>
      </c>
      <c r="J9" s="5"/>
      <c r="K9" s="6">
        <v>9</v>
      </c>
      <c r="L9" s="5">
        <v>0.50111358574610243</v>
      </c>
      <c r="M9" s="5"/>
    </row>
    <row r="10" spans="1:13" ht="14.1" customHeight="1" x14ac:dyDescent="0.25">
      <c r="A10" s="61" t="s">
        <v>41</v>
      </c>
      <c r="B10" s="6">
        <v>37526</v>
      </c>
      <c r="C10" s="5">
        <v>16.550452727168484</v>
      </c>
      <c r="D10" s="5"/>
      <c r="E10" s="6">
        <v>31502</v>
      </c>
      <c r="F10" s="5">
        <v>14.441383167458982</v>
      </c>
      <c r="G10" s="5"/>
      <c r="H10" s="6">
        <v>4442</v>
      </c>
      <c r="I10" s="5">
        <v>65.185126396237507</v>
      </c>
      <c r="J10" s="5"/>
      <c r="K10" s="6">
        <v>1582</v>
      </c>
      <c r="L10" s="5">
        <v>88.084632516703792</v>
      </c>
      <c r="M10" s="5"/>
    </row>
    <row r="11" spans="1:13" ht="14.1" customHeight="1" x14ac:dyDescent="0.25">
      <c r="A11" s="61" t="s">
        <v>42</v>
      </c>
      <c r="B11" s="6">
        <v>472</v>
      </c>
      <c r="C11" s="5">
        <v>0.20817069997397866</v>
      </c>
      <c r="D11" s="5"/>
      <c r="E11" s="6">
        <v>458</v>
      </c>
      <c r="F11" s="5">
        <v>0.20995979590807615</v>
      </c>
      <c r="G11" s="5"/>
      <c r="H11" s="6">
        <v>11</v>
      </c>
      <c r="I11" s="5">
        <v>0.16166960611405057</v>
      </c>
      <c r="J11" s="5"/>
      <c r="K11" s="6">
        <v>3</v>
      </c>
      <c r="L11" s="5">
        <v>0.16703786191536749</v>
      </c>
      <c r="M11" s="5"/>
    </row>
    <row r="12" spans="1:13" ht="14.1" customHeight="1" x14ac:dyDescent="0.25">
      <c r="A12" s="61" t="s">
        <v>43</v>
      </c>
      <c r="B12" s="6">
        <v>6263</v>
      </c>
      <c r="C12" s="5">
        <v>2.7622311312225176</v>
      </c>
      <c r="D12" s="5"/>
      <c r="E12" s="6">
        <v>5458</v>
      </c>
      <c r="F12" s="5">
        <v>2.5020973058215707</v>
      </c>
      <c r="G12" s="5"/>
      <c r="H12" s="6">
        <v>701</v>
      </c>
      <c r="I12" s="5">
        <v>10.302763080540858</v>
      </c>
      <c r="J12" s="5"/>
      <c r="K12" s="6">
        <v>104</v>
      </c>
      <c r="L12" s="5">
        <v>5.7906458797327396</v>
      </c>
      <c r="M12" s="5"/>
    </row>
    <row r="13" spans="1:13" ht="14.1" customHeight="1" x14ac:dyDescent="0.25">
      <c r="A13" s="61" t="s">
        <v>44</v>
      </c>
      <c r="B13" s="6">
        <v>24612</v>
      </c>
      <c r="C13" s="5">
        <v>10.854867092710938</v>
      </c>
      <c r="D13" s="5"/>
      <c r="E13" s="6">
        <v>23278</v>
      </c>
      <c r="F13" s="5">
        <v>10.671275391153266</v>
      </c>
      <c r="G13" s="5"/>
      <c r="H13" s="6">
        <v>1258</v>
      </c>
      <c r="I13" s="5">
        <v>18.489124044679599</v>
      </c>
      <c r="J13" s="5"/>
      <c r="K13" s="6">
        <v>76</v>
      </c>
      <c r="L13" s="5">
        <v>4.231625835189309</v>
      </c>
      <c r="M13" s="5"/>
    </row>
    <row r="14" spans="1:13" ht="14.1" customHeight="1" x14ac:dyDescent="0.25">
      <c r="A14" s="61" t="s">
        <v>45</v>
      </c>
      <c r="B14" s="6">
        <v>716</v>
      </c>
      <c r="C14" s="5">
        <v>0.31578436690967948</v>
      </c>
      <c r="D14" s="5"/>
      <c r="E14" s="6">
        <v>695</v>
      </c>
      <c r="F14" s="5">
        <v>0.31860711387797575</v>
      </c>
      <c r="G14" s="5"/>
      <c r="H14" s="6">
        <v>15</v>
      </c>
      <c r="I14" s="5">
        <v>0.22045855379188711</v>
      </c>
      <c r="J14" s="5"/>
      <c r="K14" s="6">
        <v>6</v>
      </c>
      <c r="L14" s="5">
        <v>0.33407572383073497</v>
      </c>
      <c r="M14" s="5"/>
    </row>
    <row r="15" spans="1:13" ht="12.75" hidden="1" customHeight="1" x14ac:dyDescent="0.25">
      <c r="A15" s="61" t="s">
        <v>46</v>
      </c>
      <c r="B15" s="6">
        <v>127</v>
      </c>
      <c r="C15" s="5">
        <v>5.6012031560795102E-2</v>
      </c>
      <c r="D15" s="5"/>
      <c r="E15" s="6">
        <v>104</v>
      </c>
      <c r="F15" s="5">
        <v>4.7676460206200692E-2</v>
      </c>
      <c r="G15" s="5"/>
      <c r="H15" s="6">
        <v>18</v>
      </c>
      <c r="I15" s="5">
        <v>0.26455026455026454</v>
      </c>
      <c r="J15" s="5"/>
      <c r="K15" s="6">
        <v>5</v>
      </c>
      <c r="L15" s="5">
        <v>0.27839643652561247</v>
      </c>
      <c r="M15" s="5"/>
    </row>
    <row r="16" spans="1:13" ht="14.1" customHeight="1" x14ac:dyDescent="0.25">
      <c r="A16" s="61" t="s">
        <v>47</v>
      </c>
      <c r="B16" s="6">
        <v>392</v>
      </c>
      <c r="C16" s="5">
        <v>0.17288753048686362</v>
      </c>
      <c r="D16" s="5"/>
      <c r="E16" s="6">
        <v>336</v>
      </c>
      <c r="F16" s="5">
        <v>0.15403164066618685</v>
      </c>
      <c r="G16" s="5"/>
      <c r="H16" s="6">
        <v>40</v>
      </c>
      <c r="I16" s="5">
        <v>0.58788947677836567</v>
      </c>
      <c r="J16" s="5"/>
      <c r="K16" s="6">
        <v>16</v>
      </c>
      <c r="L16" s="5">
        <v>0.89086859688195985</v>
      </c>
      <c r="M16" s="5"/>
    </row>
    <row r="17" spans="1:14" ht="14.1" customHeight="1" x14ac:dyDescent="0.25">
      <c r="A17" s="68"/>
      <c r="B17" s="9"/>
      <c r="C17" s="15"/>
      <c r="D17" s="15"/>
      <c r="E17" s="9"/>
      <c r="F17" s="15"/>
      <c r="G17" s="15"/>
      <c r="H17" s="9"/>
      <c r="I17" s="15"/>
      <c r="J17" s="15"/>
      <c r="K17" s="9"/>
      <c r="L17" s="15"/>
      <c r="M17" s="15"/>
      <c r="N17" s="37"/>
    </row>
    <row r="18" spans="1:14" ht="14.1" customHeight="1" x14ac:dyDescent="0.25">
      <c r="A18" s="63" t="s">
        <v>21</v>
      </c>
      <c r="B18" s="9">
        <v>1171</v>
      </c>
      <c r="C18" s="15">
        <v>100</v>
      </c>
      <c r="D18" s="9"/>
      <c r="E18" s="9">
        <v>1157</v>
      </c>
      <c r="F18" s="15">
        <v>100</v>
      </c>
      <c r="G18" s="9"/>
      <c r="H18" s="9">
        <v>13</v>
      </c>
      <c r="I18" s="15">
        <v>100</v>
      </c>
      <c r="J18" s="15"/>
      <c r="K18" s="9">
        <v>1</v>
      </c>
      <c r="L18" s="15">
        <v>100</v>
      </c>
      <c r="M18" s="15"/>
    </row>
    <row r="19" spans="1:14" ht="14.1" customHeight="1" x14ac:dyDescent="0.25">
      <c r="A19" s="61" t="s">
        <v>40</v>
      </c>
      <c r="B19" s="6">
        <v>991</v>
      </c>
      <c r="C19" s="5">
        <v>84.728522630230572</v>
      </c>
      <c r="D19" s="6"/>
      <c r="E19" s="6">
        <v>989</v>
      </c>
      <c r="F19" s="5">
        <v>85.379688850475375</v>
      </c>
      <c r="G19" s="5"/>
      <c r="H19" s="6">
        <v>2</v>
      </c>
      <c r="I19" s="5">
        <v>15.384615384615385</v>
      </c>
      <c r="J19" s="5"/>
      <c r="K19" s="3" t="s">
        <v>96</v>
      </c>
      <c r="L19" s="16" t="s">
        <v>96</v>
      </c>
      <c r="M19" s="102"/>
    </row>
    <row r="20" spans="1:14" ht="14.1" customHeight="1" x14ac:dyDescent="0.25">
      <c r="A20" s="61" t="s">
        <v>41</v>
      </c>
      <c r="B20" s="6">
        <v>53</v>
      </c>
      <c r="C20" s="5">
        <v>4.5260461144321091</v>
      </c>
      <c r="D20" s="6"/>
      <c r="E20" s="6">
        <v>47</v>
      </c>
      <c r="F20" s="5">
        <v>4.062229904926534</v>
      </c>
      <c r="G20" s="5"/>
      <c r="H20" s="6">
        <v>6</v>
      </c>
      <c r="I20" s="5">
        <v>46.053846153846152</v>
      </c>
      <c r="J20" s="5"/>
      <c r="K20" s="3" t="s">
        <v>96</v>
      </c>
      <c r="L20" s="16" t="s">
        <v>96</v>
      </c>
      <c r="M20" s="102"/>
    </row>
    <row r="21" spans="1:14" ht="14.1" customHeight="1" x14ac:dyDescent="0.25">
      <c r="A21" s="61" t="s">
        <v>42</v>
      </c>
      <c r="B21" s="6">
        <v>0</v>
      </c>
      <c r="C21" s="5">
        <v>0</v>
      </c>
      <c r="D21" s="6"/>
      <c r="E21" s="6">
        <v>0</v>
      </c>
      <c r="F21" s="5">
        <v>0</v>
      </c>
      <c r="G21" s="5"/>
      <c r="H21" s="3" t="s">
        <v>96</v>
      </c>
      <c r="I21" s="16" t="s">
        <v>96</v>
      </c>
      <c r="J21" s="5"/>
      <c r="K21" s="3" t="s">
        <v>96</v>
      </c>
      <c r="L21" s="16" t="s">
        <v>96</v>
      </c>
      <c r="M21" s="102"/>
    </row>
    <row r="22" spans="1:14" ht="14.1" customHeight="1" x14ac:dyDescent="0.25">
      <c r="A22" s="61" t="s">
        <v>43</v>
      </c>
      <c r="B22" s="6">
        <v>24</v>
      </c>
      <c r="C22" s="5">
        <v>2.0495303159692573</v>
      </c>
      <c r="D22" s="6"/>
      <c r="E22" s="6">
        <v>24</v>
      </c>
      <c r="F22" s="5">
        <v>2.0743301642178045</v>
      </c>
      <c r="G22" s="5"/>
      <c r="H22" s="3" t="s">
        <v>96</v>
      </c>
      <c r="I22" s="16" t="s">
        <v>96</v>
      </c>
      <c r="J22" s="5"/>
      <c r="K22" s="3" t="s">
        <v>96</v>
      </c>
      <c r="L22" s="16" t="s">
        <v>96</v>
      </c>
      <c r="M22" s="102"/>
    </row>
    <row r="23" spans="1:14" ht="14.1" customHeight="1" x14ac:dyDescent="0.25">
      <c r="A23" s="61" t="s">
        <v>44</v>
      </c>
      <c r="B23" s="6">
        <v>86</v>
      </c>
      <c r="C23" s="5">
        <v>7.3441502988898373</v>
      </c>
      <c r="D23" s="6"/>
      <c r="E23" s="6">
        <v>81</v>
      </c>
      <c r="F23" s="5">
        <v>7.0008643042350913</v>
      </c>
      <c r="G23" s="5"/>
      <c r="H23" s="3">
        <v>5</v>
      </c>
      <c r="I23" s="16">
        <v>38.461538461538467</v>
      </c>
      <c r="J23" s="5"/>
      <c r="K23" s="3" t="s">
        <v>96</v>
      </c>
      <c r="L23" s="16" t="s">
        <v>96</v>
      </c>
      <c r="M23" s="102"/>
    </row>
    <row r="24" spans="1:14" ht="13.5" customHeight="1" x14ac:dyDescent="0.25">
      <c r="A24" s="61" t="s">
        <v>45</v>
      </c>
      <c r="B24" s="6">
        <v>15</v>
      </c>
      <c r="C24" s="5">
        <v>1.2809564474807857</v>
      </c>
      <c r="D24" s="6"/>
      <c r="E24" s="6">
        <v>14</v>
      </c>
      <c r="F24" s="5">
        <v>1.2100259291270528</v>
      </c>
      <c r="G24" s="5"/>
      <c r="H24" s="3" t="s">
        <v>96</v>
      </c>
      <c r="I24" s="16" t="s">
        <v>96</v>
      </c>
      <c r="J24" s="5"/>
      <c r="K24" s="3">
        <v>1</v>
      </c>
      <c r="L24" s="16">
        <v>100</v>
      </c>
      <c r="M24" s="5"/>
    </row>
    <row r="25" spans="1:14" ht="15" hidden="1" customHeight="1" x14ac:dyDescent="0.25">
      <c r="A25" s="61" t="s">
        <v>46</v>
      </c>
      <c r="B25" s="6">
        <v>1</v>
      </c>
      <c r="C25" s="5">
        <v>8.5397096498719044E-2</v>
      </c>
      <c r="D25" s="6"/>
      <c r="E25" s="6">
        <v>1</v>
      </c>
      <c r="F25" s="5">
        <v>8.6430423509075191E-2</v>
      </c>
      <c r="G25" s="5"/>
      <c r="H25" s="3" t="s">
        <v>96</v>
      </c>
      <c r="I25" s="16" t="s">
        <v>96</v>
      </c>
      <c r="J25" s="5"/>
      <c r="K25" s="3" t="s">
        <v>96</v>
      </c>
      <c r="L25" s="16" t="s">
        <v>96</v>
      </c>
      <c r="M25" s="5"/>
    </row>
    <row r="26" spans="1:14" ht="14.1" customHeight="1" x14ac:dyDescent="0.25">
      <c r="A26" s="61" t="s">
        <v>47</v>
      </c>
      <c r="B26" s="5">
        <v>2</v>
      </c>
      <c r="C26" s="5">
        <v>0.17079419299743809</v>
      </c>
      <c r="D26" s="6"/>
      <c r="E26" s="5">
        <v>2</v>
      </c>
      <c r="F26" s="5">
        <v>0.17286084701815038</v>
      </c>
      <c r="G26" s="5"/>
      <c r="H26" s="3" t="s">
        <v>96</v>
      </c>
      <c r="I26" s="16" t="s">
        <v>96</v>
      </c>
      <c r="J26" s="5"/>
      <c r="K26" s="3" t="s">
        <v>96</v>
      </c>
      <c r="L26" s="16" t="s">
        <v>96</v>
      </c>
    </row>
    <row r="27" spans="1:14" ht="14.1" customHeight="1" x14ac:dyDescent="0.25">
      <c r="A27" s="68"/>
      <c r="B27" s="9"/>
      <c r="C27" s="15"/>
      <c r="D27" s="15"/>
      <c r="E27" s="9"/>
      <c r="F27" s="15"/>
      <c r="G27" s="15"/>
      <c r="H27" s="9"/>
      <c r="I27" s="15"/>
      <c r="J27" s="15"/>
      <c r="K27" s="9"/>
      <c r="L27" s="15"/>
      <c r="M27" s="15"/>
    </row>
    <row r="28" spans="1:14" ht="14.1" customHeight="1" x14ac:dyDescent="0.25">
      <c r="A28" s="63" t="s">
        <v>56</v>
      </c>
      <c r="B28" s="9">
        <v>5198</v>
      </c>
      <c r="C28" s="15">
        <v>100</v>
      </c>
      <c r="D28" s="15"/>
      <c r="E28" s="9">
        <v>5096</v>
      </c>
      <c r="F28" s="15">
        <v>100</v>
      </c>
      <c r="G28" s="15"/>
      <c r="H28" s="9">
        <v>89</v>
      </c>
      <c r="I28" s="15">
        <v>100</v>
      </c>
      <c r="J28" s="15"/>
      <c r="K28" s="9">
        <v>13</v>
      </c>
      <c r="L28" s="15">
        <v>100</v>
      </c>
      <c r="M28" s="15"/>
    </row>
    <row r="29" spans="1:14" ht="14.1" customHeight="1" x14ac:dyDescent="0.25">
      <c r="A29" s="61" t="s">
        <v>40</v>
      </c>
      <c r="B29" s="6">
        <v>3444</v>
      </c>
      <c r="C29" s="5">
        <v>66.056252404771058</v>
      </c>
      <c r="D29" s="5"/>
      <c r="E29" s="6">
        <v>3433</v>
      </c>
      <c r="F29" s="5">
        <v>67.266562009419161</v>
      </c>
      <c r="G29" s="5"/>
      <c r="H29" s="6">
        <v>11</v>
      </c>
      <c r="I29" s="5">
        <v>12.359550561797752</v>
      </c>
      <c r="J29" s="5"/>
      <c r="K29" s="3" t="s">
        <v>96</v>
      </c>
      <c r="L29" s="16" t="s">
        <v>96</v>
      </c>
      <c r="M29" s="5"/>
    </row>
    <row r="30" spans="1:14" ht="14.1" customHeight="1" x14ac:dyDescent="0.25">
      <c r="A30" s="61" t="s">
        <v>41</v>
      </c>
      <c r="B30" s="6">
        <v>643</v>
      </c>
      <c r="C30" s="5">
        <v>12.370142362447096</v>
      </c>
      <c r="D30" s="5"/>
      <c r="E30" s="6">
        <v>584</v>
      </c>
      <c r="F30" s="5">
        <v>11.459968602825747</v>
      </c>
      <c r="G30" s="5"/>
      <c r="H30" s="6">
        <v>50</v>
      </c>
      <c r="I30" s="5">
        <v>56.079775280898879</v>
      </c>
      <c r="J30" s="5"/>
      <c r="K30" s="3">
        <v>9</v>
      </c>
      <c r="L30" s="16">
        <v>69.230769230769226</v>
      </c>
      <c r="M30" s="5"/>
    </row>
    <row r="31" spans="1:14" ht="14.1" customHeight="1" x14ac:dyDescent="0.25">
      <c r="A31" s="61" t="s">
        <v>42</v>
      </c>
      <c r="B31" s="6">
        <v>8</v>
      </c>
      <c r="C31" s="5">
        <v>0.15390534821085033</v>
      </c>
      <c r="D31" s="5"/>
      <c r="E31" s="6">
        <v>8</v>
      </c>
      <c r="F31" s="5">
        <v>0.15698587127158556</v>
      </c>
      <c r="G31" s="5"/>
      <c r="H31" s="3" t="s">
        <v>96</v>
      </c>
      <c r="I31" s="16" t="s">
        <v>96</v>
      </c>
      <c r="J31" s="5"/>
      <c r="K31" s="3" t="s">
        <v>96</v>
      </c>
      <c r="L31" s="16" t="s">
        <v>96</v>
      </c>
      <c r="M31" s="5"/>
    </row>
    <row r="32" spans="1:14" ht="14.1" customHeight="1" x14ac:dyDescent="0.25">
      <c r="A32" s="61" t="s">
        <v>43</v>
      </c>
      <c r="B32" s="6">
        <v>170</v>
      </c>
      <c r="C32" s="5">
        <v>3.2704886494805692</v>
      </c>
      <c r="D32" s="5"/>
      <c r="E32" s="6">
        <v>160</v>
      </c>
      <c r="F32" s="5">
        <v>3.1397174254317108</v>
      </c>
      <c r="G32" s="5"/>
      <c r="H32" s="3">
        <v>7</v>
      </c>
      <c r="I32" s="16">
        <v>7.8651685393258424</v>
      </c>
      <c r="J32" s="5"/>
      <c r="K32" s="3">
        <v>3</v>
      </c>
      <c r="L32" s="16">
        <v>23.076923076923077</v>
      </c>
      <c r="M32" s="5"/>
    </row>
    <row r="33" spans="1:13" ht="14.1" customHeight="1" x14ac:dyDescent="0.25">
      <c r="A33" s="61" t="s">
        <v>44</v>
      </c>
      <c r="B33" s="6">
        <v>877</v>
      </c>
      <c r="C33" s="5">
        <v>16.871873797614466</v>
      </c>
      <c r="D33" s="5"/>
      <c r="E33" s="6">
        <v>855</v>
      </c>
      <c r="F33" s="5">
        <v>16.777864992150707</v>
      </c>
      <c r="G33" s="5"/>
      <c r="H33" s="3">
        <v>21</v>
      </c>
      <c r="I33" s="16">
        <v>23.595505617977526</v>
      </c>
      <c r="J33" s="5"/>
      <c r="K33" s="3">
        <v>1</v>
      </c>
      <c r="L33" s="16">
        <v>7.6923076923076925</v>
      </c>
      <c r="M33" s="5"/>
    </row>
    <row r="34" spans="1:13" ht="14.1" customHeight="1" x14ac:dyDescent="0.25">
      <c r="A34" s="61" t="s">
        <v>45</v>
      </c>
      <c r="B34" s="6">
        <v>48</v>
      </c>
      <c r="C34" s="5">
        <v>0.92343208926510201</v>
      </c>
      <c r="D34" s="5"/>
      <c r="E34" s="6">
        <v>48</v>
      </c>
      <c r="F34" s="5">
        <v>0.9419152276295133</v>
      </c>
      <c r="G34" s="5"/>
      <c r="H34" s="3" t="s">
        <v>96</v>
      </c>
      <c r="I34" s="16" t="s">
        <v>96</v>
      </c>
      <c r="J34" s="5"/>
      <c r="K34" s="3" t="s">
        <v>96</v>
      </c>
      <c r="L34" s="16" t="s">
        <v>96</v>
      </c>
      <c r="M34" s="5"/>
    </row>
    <row r="35" spans="1:13" ht="14.25" hidden="1" customHeight="1" x14ac:dyDescent="0.25">
      <c r="A35" s="61" t="s">
        <v>46</v>
      </c>
      <c r="B35" s="6">
        <v>3</v>
      </c>
      <c r="C35" s="5">
        <v>5.7714505579068875E-2</v>
      </c>
      <c r="D35" s="5"/>
      <c r="E35" s="6">
        <v>3</v>
      </c>
      <c r="F35" s="5">
        <v>5.8869701726844581E-2</v>
      </c>
      <c r="G35" s="5"/>
      <c r="H35" s="3" t="s">
        <v>96</v>
      </c>
      <c r="I35" s="16" t="s">
        <v>96</v>
      </c>
      <c r="J35" s="5"/>
      <c r="K35" s="3" t="s">
        <v>96</v>
      </c>
      <c r="L35" s="16" t="s">
        <v>96</v>
      </c>
      <c r="M35" s="5"/>
    </row>
    <row r="36" spans="1:13" ht="14.1" customHeight="1" x14ac:dyDescent="0.25">
      <c r="A36" s="61" t="s">
        <v>47</v>
      </c>
      <c r="B36" s="6">
        <v>8</v>
      </c>
      <c r="C36" s="5">
        <v>0.15390534821085033</v>
      </c>
      <c r="D36" s="5"/>
      <c r="E36" s="6">
        <v>8</v>
      </c>
      <c r="F36" s="5">
        <v>0.15698587127158553</v>
      </c>
      <c r="G36" s="5"/>
      <c r="H36" s="3" t="s">
        <v>96</v>
      </c>
      <c r="I36" s="16" t="s">
        <v>96</v>
      </c>
      <c r="J36" s="5"/>
      <c r="K36" s="3" t="s">
        <v>96</v>
      </c>
      <c r="L36" s="16" t="s">
        <v>96</v>
      </c>
      <c r="M36" s="5"/>
    </row>
    <row r="37" spans="1:13" ht="14.1" customHeight="1" x14ac:dyDescent="0.25">
      <c r="A37" s="68"/>
      <c r="B37" s="6"/>
      <c r="C37" s="5"/>
      <c r="D37" s="5"/>
      <c r="E37" s="6"/>
      <c r="F37" s="5"/>
      <c r="G37" s="5"/>
      <c r="H37" s="6"/>
      <c r="I37" s="16"/>
      <c r="J37" s="16"/>
      <c r="K37" s="6"/>
      <c r="L37" s="16"/>
      <c r="M37" s="16"/>
    </row>
    <row r="38" spans="1:13" ht="14.1" customHeight="1" x14ac:dyDescent="0.25">
      <c r="A38" s="63" t="s">
        <v>49</v>
      </c>
      <c r="B38" s="9">
        <v>1950</v>
      </c>
      <c r="C38" s="15">
        <v>100</v>
      </c>
      <c r="D38" s="15"/>
      <c r="E38" s="9">
        <v>1936</v>
      </c>
      <c r="F38" s="15">
        <v>100</v>
      </c>
      <c r="G38" s="15"/>
      <c r="H38" s="9">
        <v>12</v>
      </c>
      <c r="I38" s="15">
        <v>100</v>
      </c>
      <c r="J38" s="15"/>
      <c r="K38" s="9">
        <v>2</v>
      </c>
      <c r="L38" s="15">
        <v>100</v>
      </c>
      <c r="M38" s="15"/>
    </row>
    <row r="39" spans="1:13" ht="14.1" customHeight="1" x14ac:dyDescent="0.25">
      <c r="A39" s="61" t="s">
        <v>40</v>
      </c>
      <c r="B39" s="6">
        <v>1623</v>
      </c>
      <c r="C39" s="5">
        <v>83.230769230769226</v>
      </c>
      <c r="D39" s="5"/>
      <c r="E39" s="6">
        <v>1621</v>
      </c>
      <c r="F39" s="5">
        <v>83.72933884297521</v>
      </c>
      <c r="G39" s="5"/>
      <c r="H39" s="6">
        <v>2</v>
      </c>
      <c r="I39" s="5">
        <v>16.666666666666664</v>
      </c>
      <c r="J39" s="5"/>
      <c r="K39" s="3" t="s">
        <v>96</v>
      </c>
      <c r="L39" s="3" t="s">
        <v>96</v>
      </c>
      <c r="M39" s="5"/>
    </row>
    <row r="40" spans="1:13" ht="14.1" customHeight="1" x14ac:dyDescent="0.25">
      <c r="A40" s="61" t="s">
        <v>41</v>
      </c>
      <c r="B40" s="6">
        <v>96</v>
      </c>
      <c r="C40" s="5">
        <v>4.9230769230769234</v>
      </c>
      <c r="D40" s="5"/>
      <c r="E40" s="6">
        <v>91</v>
      </c>
      <c r="F40" s="5">
        <v>4.7004132231404965</v>
      </c>
      <c r="G40" s="5"/>
      <c r="H40" s="6">
        <v>3</v>
      </c>
      <c r="I40" s="5">
        <v>24.9</v>
      </c>
      <c r="J40" s="5"/>
      <c r="K40" s="3">
        <v>2</v>
      </c>
      <c r="L40" s="16">
        <v>100</v>
      </c>
      <c r="M40" s="5"/>
    </row>
    <row r="41" spans="1:13" ht="14.1" customHeight="1" x14ac:dyDescent="0.25">
      <c r="A41" s="61" t="s">
        <v>42</v>
      </c>
      <c r="B41" s="6">
        <v>1</v>
      </c>
      <c r="C41" s="5">
        <v>5.128205128205128E-2</v>
      </c>
      <c r="D41" s="3"/>
      <c r="E41" s="6">
        <v>1</v>
      </c>
      <c r="F41" s="5">
        <v>5.1652892561983473E-2</v>
      </c>
      <c r="G41" s="5"/>
      <c r="H41" s="3" t="s">
        <v>96</v>
      </c>
      <c r="I41" s="16" t="s">
        <v>96</v>
      </c>
      <c r="J41" s="3"/>
      <c r="K41" s="3" t="s">
        <v>96</v>
      </c>
      <c r="L41" s="3" t="s">
        <v>96</v>
      </c>
      <c r="M41" s="5"/>
    </row>
    <row r="42" spans="1:13" ht="14.1" customHeight="1" x14ac:dyDescent="0.25">
      <c r="A42" s="61" t="s">
        <v>43</v>
      </c>
      <c r="B42" s="6">
        <v>51</v>
      </c>
      <c r="C42" s="5">
        <v>2.6153846153846154</v>
      </c>
      <c r="D42" s="5"/>
      <c r="E42" s="6">
        <v>49</v>
      </c>
      <c r="F42" s="5">
        <v>2.53099173553719</v>
      </c>
      <c r="G42" s="5"/>
      <c r="H42" s="3">
        <v>2</v>
      </c>
      <c r="I42" s="16">
        <v>16.666666666666664</v>
      </c>
      <c r="J42" s="5"/>
      <c r="K42" s="3" t="s">
        <v>96</v>
      </c>
      <c r="L42" s="3" t="s">
        <v>96</v>
      </c>
      <c r="M42" s="5"/>
    </row>
    <row r="43" spans="1:13" ht="14.1" customHeight="1" x14ac:dyDescent="0.25">
      <c r="A43" s="61" t="s">
        <v>44</v>
      </c>
      <c r="B43" s="6">
        <v>132</v>
      </c>
      <c r="C43" s="5">
        <v>6.7692307692307692</v>
      </c>
      <c r="D43" s="5"/>
      <c r="E43" s="6">
        <v>127</v>
      </c>
      <c r="F43" s="5">
        <v>6.5599173553719012</v>
      </c>
      <c r="G43" s="5"/>
      <c r="H43" s="3">
        <v>5</v>
      </c>
      <c r="I43" s="16">
        <v>41.666666666666671</v>
      </c>
      <c r="J43" s="5"/>
      <c r="K43" s="3" t="s">
        <v>96</v>
      </c>
      <c r="L43" s="3" t="s">
        <v>96</v>
      </c>
      <c r="M43" s="5"/>
    </row>
    <row r="44" spans="1:13" ht="14.1" customHeight="1" x14ac:dyDescent="0.25">
      <c r="A44" s="61" t="s">
        <v>45</v>
      </c>
      <c r="B44" s="6">
        <v>41</v>
      </c>
      <c r="C44" s="5">
        <v>2.1025641025641026</v>
      </c>
      <c r="D44" s="5"/>
      <c r="E44" s="6">
        <v>41</v>
      </c>
      <c r="F44" s="5">
        <v>2.1177685950413223</v>
      </c>
      <c r="G44" s="5"/>
      <c r="H44" s="3" t="s">
        <v>96</v>
      </c>
      <c r="I44" s="16" t="s">
        <v>96</v>
      </c>
      <c r="J44" s="5"/>
      <c r="K44" s="3" t="s">
        <v>96</v>
      </c>
      <c r="L44" s="3" t="s">
        <v>96</v>
      </c>
      <c r="M44" s="5"/>
    </row>
    <row r="45" spans="1:13" ht="17.25" hidden="1" customHeight="1" x14ac:dyDescent="0.25">
      <c r="A45" s="61" t="s">
        <v>46</v>
      </c>
      <c r="B45" s="6">
        <v>3</v>
      </c>
      <c r="C45" s="5">
        <v>0.15384615384615385</v>
      </c>
      <c r="D45" s="5"/>
      <c r="E45" s="6">
        <v>3</v>
      </c>
      <c r="F45" s="5">
        <v>0.15495867768595042</v>
      </c>
      <c r="G45" s="5"/>
      <c r="H45" s="3" t="s">
        <v>96</v>
      </c>
      <c r="I45" s="16" t="s">
        <v>96</v>
      </c>
      <c r="J45" s="5"/>
      <c r="K45" s="3" t="s">
        <v>96</v>
      </c>
      <c r="L45" s="3" t="s">
        <v>96</v>
      </c>
      <c r="M45" s="5"/>
    </row>
    <row r="46" spans="1:13" ht="14.1" customHeight="1" x14ac:dyDescent="0.25">
      <c r="A46" s="61" t="s">
        <v>47</v>
      </c>
      <c r="B46" s="5">
        <v>6</v>
      </c>
      <c r="C46" s="5">
        <v>0.30769230769230771</v>
      </c>
      <c r="D46" s="5"/>
      <c r="E46" s="5">
        <v>6</v>
      </c>
      <c r="F46" s="5">
        <v>0.30991735537190085</v>
      </c>
      <c r="G46" s="5"/>
      <c r="H46" s="3" t="s">
        <v>96</v>
      </c>
      <c r="I46" s="16" t="s">
        <v>96</v>
      </c>
      <c r="J46" s="5"/>
      <c r="K46" s="3" t="s">
        <v>96</v>
      </c>
      <c r="L46" s="3" t="s">
        <v>96</v>
      </c>
      <c r="M46" s="5"/>
    </row>
    <row r="47" spans="1:13" ht="14.1" customHeight="1" x14ac:dyDescent="0.25">
      <c r="A47" s="69"/>
      <c r="B47" s="9"/>
      <c r="C47" s="5"/>
      <c r="D47" s="5"/>
      <c r="E47" s="6"/>
      <c r="F47" s="5"/>
      <c r="G47" s="5"/>
      <c r="H47" s="6"/>
      <c r="I47" s="16"/>
      <c r="J47" s="16"/>
      <c r="K47" s="6"/>
      <c r="L47" s="16"/>
      <c r="M47" s="16"/>
    </row>
    <row r="48" spans="1:13" ht="14.1" customHeight="1" x14ac:dyDescent="0.25">
      <c r="A48" s="63" t="s">
        <v>20</v>
      </c>
      <c r="B48" s="9">
        <v>12695</v>
      </c>
      <c r="C48" s="15">
        <v>100</v>
      </c>
      <c r="D48" s="15"/>
      <c r="E48" s="9">
        <v>12350</v>
      </c>
      <c r="F48" s="15">
        <v>100</v>
      </c>
      <c r="G48" s="15"/>
      <c r="H48" s="9">
        <v>284</v>
      </c>
      <c r="I48" s="15">
        <v>100</v>
      </c>
      <c r="J48" s="15"/>
      <c r="K48" s="9">
        <v>61</v>
      </c>
      <c r="L48" s="15">
        <v>100</v>
      </c>
      <c r="M48" s="15"/>
    </row>
    <row r="49" spans="1:13" ht="14.1" customHeight="1" x14ac:dyDescent="0.25">
      <c r="A49" s="61" t="s">
        <v>40</v>
      </c>
      <c r="B49" s="6">
        <v>8754</v>
      </c>
      <c r="C49" s="5">
        <v>68.956282000787724</v>
      </c>
      <c r="D49" s="6"/>
      <c r="E49" s="6">
        <v>8740</v>
      </c>
      <c r="F49" s="5">
        <v>70.769230769230774</v>
      </c>
      <c r="G49" s="5"/>
      <c r="H49" s="6">
        <v>13</v>
      </c>
      <c r="I49" s="5">
        <v>4.5774647887323949</v>
      </c>
      <c r="J49" s="5"/>
      <c r="K49" s="6">
        <v>1</v>
      </c>
      <c r="L49" s="5">
        <v>1.639344262295082</v>
      </c>
      <c r="M49" s="5"/>
    </row>
    <row r="50" spans="1:13" ht="14.1" customHeight="1" x14ac:dyDescent="0.25">
      <c r="A50" s="61" t="s">
        <v>41</v>
      </c>
      <c r="B50" s="6">
        <v>1280</v>
      </c>
      <c r="C50" s="5">
        <v>10.082709728239465</v>
      </c>
      <c r="D50" s="6"/>
      <c r="E50" s="6">
        <v>1108</v>
      </c>
      <c r="F50" s="5">
        <v>8.9716599190283386</v>
      </c>
      <c r="G50" s="5"/>
      <c r="H50" s="6">
        <v>123</v>
      </c>
      <c r="I50" s="5">
        <v>43.209859154929575</v>
      </c>
      <c r="J50" s="5"/>
      <c r="K50" s="6">
        <v>49</v>
      </c>
      <c r="L50" s="5">
        <v>80.327868852459019</v>
      </c>
      <c r="M50" s="5"/>
    </row>
    <row r="51" spans="1:13" ht="14.1" customHeight="1" x14ac:dyDescent="0.25">
      <c r="A51" s="61" t="s">
        <v>42</v>
      </c>
      <c r="B51" s="6">
        <v>22</v>
      </c>
      <c r="C51" s="5">
        <v>0.17329657345411578</v>
      </c>
      <c r="D51" s="6"/>
      <c r="E51" s="6">
        <v>21</v>
      </c>
      <c r="F51" s="5">
        <v>0.17004048582995951</v>
      </c>
      <c r="G51" s="5"/>
      <c r="H51" s="6">
        <v>1</v>
      </c>
      <c r="I51" s="5">
        <v>0.35211267605633806</v>
      </c>
      <c r="J51" s="5"/>
      <c r="K51" s="3" t="s">
        <v>96</v>
      </c>
      <c r="L51" s="16" t="s">
        <v>96</v>
      </c>
      <c r="M51" s="5"/>
    </row>
    <row r="52" spans="1:13" ht="14.1" customHeight="1" x14ac:dyDescent="0.25">
      <c r="A52" s="61" t="s">
        <v>43</v>
      </c>
      <c r="B52" s="6">
        <v>698</v>
      </c>
      <c r="C52" s="5">
        <v>5.498227648680583</v>
      </c>
      <c r="D52" s="6"/>
      <c r="E52" s="6">
        <v>623</v>
      </c>
      <c r="F52" s="5">
        <v>5.0445344129554659</v>
      </c>
      <c r="G52" s="5"/>
      <c r="H52" s="6">
        <v>68</v>
      </c>
      <c r="I52" s="5">
        <v>23.943661971830984</v>
      </c>
      <c r="J52" s="5"/>
      <c r="K52" s="3">
        <v>7</v>
      </c>
      <c r="L52" s="16">
        <v>11.475409836065573</v>
      </c>
      <c r="M52" s="5"/>
    </row>
    <row r="53" spans="1:13" ht="14.1" customHeight="1" x14ac:dyDescent="0.25">
      <c r="A53" s="61" t="s">
        <v>44</v>
      </c>
      <c r="B53" s="6">
        <v>1910</v>
      </c>
      <c r="C53" s="5">
        <v>15.045293422607326</v>
      </c>
      <c r="D53" s="6"/>
      <c r="E53" s="6">
        <v>1830</v>
      </c>
      <c r="F53" s="5">
        <v>14.817813765182187</v>
      </c>
      <c r="G53" s="5"/>
      <c r="H53" s="6">
        <v>76</v>
      </c>
      <c r="I53" s="5">
        <v>26.760563380281688</v>
      </c>
      <c r="J53" s="5"/>
      <c r="K53" s="3">
        <v>4</v>
      </c>
      <c r="L53" s="16">
        <v>6.557377049180328</v>
      </c>
      <c r="M53" s="5"/>
    </row>
    <row r="54" spans="1:13" ht="14.1" customHeight="1" x14ac:dyDescent="0.25">
      <c r="A54" s="61" t="s">
        <v>45</v>
      </c>
      <c r="B54" s="6">
        <v>16</v>
      </c>
      <c r="C54" s="5">
        <v>0.12603387160299329</v>
      </c>
      <c r="D54" s="6"/>
      <c r="E54" s="6">
        <v>16</v>
      </c>
      <c r="F54" s="5">
        <v>0.12955465587044535</v>
      </c>
      <c r="G54" s="5"/>
      <c r="H54" s="3" t="s">
        <v>96</v>
      </c>
      <c r="I54" s="3" t="s">
        <v>96</v>
      </c>
      <c r="J54" s="5"/>
      <c r="K54" s="3" t="s">
        <v>96</v>
      </c>
      <c r="L54" s="16" t="s">
        <v>96</v>
      </c>
      <c r="M54" s="5"/>
    </row>
    <row r="55" spans="1:13" ht="14.25" hidden="1" customHeight="1" x14ac:dyDescent="0.25">
      <c r="A55" s="61" t="s">
        <v>46</v>
      </c>
      <c r="B55" s="6">
        <v>4</v>
      </c>
      <c r="C55" s="5">
        <v>3.1508467900748321E-2</v>
      </c>
      <c r="D55" s="6"/>
      <c r="E55" s="6">
        <v>3</v>
      </c>
      <c r="F55" s="5">
        <v>2.4291497975708502E-2</v>
      </c>
      <c r="G55" s="5"/>
      <c r="H55" s="6">
        <v>1</v>
      </c>
      <c r="I55" s="5">
        <v>0.35211267605633806</v>
      </c>
      <c r="J55" s="5"/>
      <c r="K55" s="3" t="s">
        <v>96</v>
      </c>
      <c r="L55" s="16" t="s">
        <v>96</v>
      </c>
      <c r="M55" s="5"/>
    </row>
    <row r="56" spans="1:13" ht="14.1" customHeight="1" x14ac:dyDescent="0.25">
      <c r="A56" s="61" t="s">
        <v>47</v>
      </c>
      <c r="B56" s="6">
        <v>15</v>
      </c>
      <c r="C56" s="5">
        <v>0.11815675462780621</v>
      </c>
      <c r="D56" s="6"/>
      <c r="E56" s="6">
        <v>12</v>
      </c>
      <c r="F56" s="5">
        <v>9.7165991902834009E-2</v>
      </c>
      <c r="G56" s="5"/>
      <c r="H56" s="6">
        <v>3</v>
      </c>
      <c r="I56" s="5">
        <v>1.0563380281690142</v>
      </c>
      <c r="J56" s="5"/>
      <c r="K56" s="3" t="s">
        <v>96</v>
      </c>
      <c r="L56" s="16" t="s">
        <v>96</v>
      </c>
      <c r="M56" s="5"/>
    </row>
    <row r="57" spans="1:13" ht="14.1" customHeight="1" x14ac:dyDescent="0.25">
      <c r="A57" s="61"/>
      <c r="B57" s="6"/>
      <c r="C57" s="5"/>
      <c r="D57" s="5"/>
      <c r="E57" s="6"/>
      <c r="F57" s="5"/>
      <c r="G57" s="5"/>
      <c r="H57" s="6"/>
      <c r="I57" s="16"/>
      <c r="J57" s="16"/>
      <c r="K57" s="6"/>
      <c r="L57" s="16"/>
      <c r="M57" s="16"/>
    </row>
    <row r="58" spans="1:13" ht="14.1" customHeight="1" x14ac:dyDescent="0.25">
      <c r="A58" s="63" t="s">
        <v>19</v>
      </c>
      <c r="B58" s="9">
        <v>2490</v>
      </c>
      <c r="C58" s="15">
        <v>100</v>
      </c>
      <c r="D58" s="15"/>
      <c r="E58" s="9">
        <v>2466</v>
      </c>
      <c r="F58" s="15">
        <v>100</v>
      </c>
      <c r="G58" s="15"/>
      <c r="H58" s="9">
        <v>23</v>
      </c>
      <c r="I58" s="15">
        <v>100</v>
      </c>
      <c r="J58" s="15"/>
      <c r="K58" s="9">
        <v>1</v>
      </c>
      <c r="L58" s="15">
        <v>100</v>
      </c>
      <c r="M58" s="15"/>
    </row>
    <row r="59" spans="1:13" ht="14.1" customHeight="1" x14ac:dyDescent="0.25">
      <c r="A59" s="61" t="s">
        <v>40</v>
      </c>
      <c r="B59" s="6">
        <v>2052</v>
      </c>
      <c r="C59" s="5">
        <v>82.509638554216863</v>
      </c>
      <c r="D59" s="5"/>
      <c r="E59" s="6">
        <v>2049</v>
      </c>
      <c r="F59" s="5">
        <v>83.190024330900243</v>
      </c>
      <c r="G59" s="5"/>
      <c r="H59" s="6">
        <v>3</v>
      </c>
      <c r="I59" s="5">
        <v>13.043478260869565</v>
      </c>
      <c r="J59" s="5"/>
      <c r="K59" s="3" t="s">
        <v>96</v>
      </c>
      <c r="L59" s="16" t="s">
        <v>96</v>
      </c>
      <c r="M59" s="5"/>
    </row>
    <row r="60" spans="1:13" ht="14.1" customHeight="1" x14ac:dyDescent="0.25">
      <c r="A60" s="61" t="s">
        <v>41</v>
      </c>
      <c r="B60" s="6">
        <v>152</v>
      </c>
      <c r="C60" s="5">
        <v>6.1044176706827313</v>
      </c>
      <c r="D60" s="5"/>
      <c r="E60" s="6">
        <v>144</v>
      </c>
      <c r="F60" s="5">
        <v>5.8394160583941606</v>
      </c>
      <c r="G60" s="5"/>
      <c r="H60" s="6">
        <v>7</v>
      </c>
      <c r="I60" s="5">
        <v>30.634782608695655</v>
      </c>
      <c r="J60" s="5"/>
      <c r="K60" s="3">
        <v>1</v>
      </c>
      <c r="L60" s="16">
        <v>100</v>
      </c>
      <c r="M60" s="5"/>
    </row>
    <row r="61" spans="1:13" ht="14.1" customHeight="1" x14ac:dyDescent="0.25">
      <c r="A61" s="61" t="s">
        <v>42</v>
      </c>
      <c r="B61" s="6">
        <v>1</v>
      </c>
      <c r="C61" s="5">
        <v>4.0160642570281124E-2</v>
      </c>
      <c r="D61" s="5"/>
      <c r="E61" s="3" t="s">
        <v>96</v>
      </c>
      <c r="F61" s="3" t="s">
        <v>96</v>
      </c>
      <c r="G61" s="5"/>
      <c r="H61" s="6">
        <v>1</v>
      </c>
      <c r="I61" s="5">
        <v>4.3478260869565215</v>
      </c>
      <c r="J61" s="5"/>
      <c r="K61" s="3" t="s">
        <v>96</v>
      </c>
      <c r="L61" s="16" t="s">
        <v>96</v>
      </c>
      <c r="M61" s="5"/>
    </row>
    <row r="62" spans="1:13" ht="14.1" customHeight="1" x14ac:dyDescent="0.25">
      <c r="A62" s="61" t="s">
        <v>43</v>
      </c>
      <c r="B62" s="6">
        <v>53</v>
      </c>
      <c r="C62" s="5">
        <v>2.1285140562248994</v>
      </c>
      <c r="D62" s="5"/>
      <c r="E62" s="6">
        <v>50</v>
      </c>
      <c r="F62" s="5">
        <v>2.0275750202757501</v>
      </c>
      <c r="G62" s="5"/>
      <c r="H62" s="6">
        <v>3</v>
      </c>
      <c r="I62" s="5">
        <v>13.043478260869565</v>
      </c>
      <c r="J62" s="5"/>
      <c r="K62" s="3" t="s">
        <v>96</v>
      </c>
      <c r="L62" s="16" t="s">
        <v>96</v>
      </c>
      <c r="M62" s="5"/>
    </row>
    <row r="63" spans="1:13" ht="14.1" customHeight="1" x14ac:dyDescent="0.25">
      <c r="A63" s="61" t="s">
        <v>44</v>
      </c>
      <c r="B63" s="6">
        <v>171</v>
      </c>
      <c r="C63" s="5">
        <v>6.8674698795180715</v>
      </c>
      <c r="D63" s="5"/>
      <c r="E63" s="6">
        <v>163</v>
      </c>
      <c r="F63" s="5">
        <v>6.6098945660989452</v>
      </c>
      <c r="G63" s="5"/>
      <c r="H63" s="6">
        <v>8</v>
      </c>
      <c r="I63" s="5">
        <v>34.782608695652172</v>
      </c>
      <c r="J63" s="5"/>
      <c r="K63" s="3" t="s">
        <v>96</v>
      </c>
      <c r="L63" s="16" t="s">
        <v>96</v>
      </c>
      <c r="M63" s="5"/>
    </row>
    <row r="64" spans="1:13" ht="14.1" customHeight="1" x14ac:dyDescent="0.25">
      <c r="A64" s="61" t="s">
        <v>45</v>
      </c>
      <c r="B64" s="6">
        <v>50</v>
      </c>
      <c r="C64" s="5">
        <v>2.0080321285140563</v>
      </c>
      <c r="D64" s="5"/>
      <c r="E64" s="6">
        <v>50</v>
      </c>
      <c r="F64" s="5">
        <v>2.0275750202757501</v>
      </c>
      <c r="G64" s="5"/>
      <c r="H64" s="3" t="s">
        <v>96</v>
      </c>
      <c r="I64" s="3" t="s">
        <v>96</v>
      </c>
      <c r="J64" s="5"/>
      <c r="K64" s="3" t="s">
        <v>96</v>
      </c>
      <c r="L64" s="16" t="s">
        <v>96</v>
      </c>
      <c r="M64" s="5"/>
    </row>
    <row r="65" spans="1:13" ht="11.25" hidden="1" customHeight="1" x14ac:dyDescent="0.25">
      <c r="A65" s="61" t="s">
        <v>46</v>
      </c>
      <c r="B65" s="6">
        <v>5</v>
      </c>
      <c r="C65" s="5">
        <v>0.20080321285140559</v>
      </c>
      <c r="D65" s="5"/>
      <c r="E65" s="6">
        <v>4</v>
      </c>
      <c r="F65" s="5">
        <v>0.16220600162206003</v>
      </c>
      <c r="G65" s="5"/>
      <c r="H65" s="6">
        <v>1</v>
      </c>
      <c r="I65" s="5">
        <v>4.3478260869565215</v>
      </c>
      <c r="J65" s="5"/>
      <c r="K65" s="3" t="s">
        <v>96</v>
      </c>
      <c r="L65" s="16" t="s">
        <v>96</v>
      </c>
      <c r="M65" s="5"/>
    </row>
    <row r="66" spans="1:13" ht="14.1" customHeight="1" x14ac:dyDescent="0.25">
      <c r="A66" s="61" t="s">
        <v>47</v>
      </c>
      <c r="B66" s="6">
        <v>11</v>
      </c>
      <c r="C66" s="5">
        <v>0.44176706827309237</v>
      </c>
      <c r="D66" s="5"/>
      <c r="E66" s="6">
        <v>10</v>
      </c>
      <c r="F66" s="5">
        <v>0.40551500405515006</v>
      </c>
      <c r="G66" s="5"/>
      <c r="H66" s="6">
        <v>1</v>
      </c>
      <c r="I66" s="5">
        <v>4.3478260869565215</v>
      </c>
      <c r="J66" s="5"/>
      <c r="K66" s="3" t="s">
        <v>96</v>
      </c>
      <c r="L66" s="16" t="s">
        <v>96</v>
      </c>
      <c r="M66" s="5"/>
    </row>
    <row r="67" spans="1:13" ht="14.1" customHeight="1" x14ac:dyDescent="0.25">
      <c r="A67" s="68"/>
      <c r="B67" s="6"/>
      <c r="C67" s="5"/>
      <c r="D67" s="5"/>
      <c r="E67" s="6"/>
      <c r="F67" s="5"/>
      <c r="G67" s="5"/>
      <c r="H67" s="6"/>
      <c r="I67" s="16"/>
      <c r="J67" s="16"/>
      <c r="K67" s="6"/>
      <c r="L67" s="16"/>
      <c r="M67" s="16"/>
    </row>
    <row r="68" spans="1:13" ht="14.1" customHeight="1" x14ac:dyDescent="0.25">
      <c r="A68" s="63" t="s">
        <v>18</v>
      </c>
      <c r="B68" s="9">
        <v>4989</v>
      </c>
      <c r="C68" s="15">
        <v>100</v>
      </c>
      <c r="D68" s="15"/>
      <c r="E68" s="9">
        <v>4936</v>
      </c>
      <c r="F68" s="15">
        <v>100</v>
      </c>
      <c r="G68" s="15"/>
      <c r="H68" s="9">
        <v>47</v>
      </c>
      <c r="I68" s="15">
        <v>100</v>
      </c>
      <c r="J68" s="15"/>
      <c r="K68" s="9">
        <v>6</v>
      </c>
      <c r="L68" s="15">
        <v>100</v>
      </c>
      <c r="M68" s="15"/>
    </row>
    <row r="69" spans="1:13" ht="14.1" customHeight="1" x14ac:dyDescent="0.25">
      <c r="A69" s="61" t="s">
        <v>40</v>
      </c>
      <c r="B69" s="6">
        <v>3974</v>
      </c>
      <c r="C69" s="5">
        <v>79.55524153136902</v>
      </c>
      <c r="D69" s="5"/>
      <c r="E69" s="6">
        <v>3971</v>
      </c>
      <c r="F69" s="5">
        <v>80.439756888168546</v>
      </c>
      <c r="G69" s="5"/>
      <c r="H69" s="6">
        <v>3</v>
      </c>
      <c r="I69" s="5">
        <v>6.3829787234042552</v>
      </c>
      <c r="J69" s="5"/>
      <c r="K69" s="3" t="s">
        <v>96</v>
      </c>
      <c r="L69" s="16" t="s">
        <v>96</v>
      </c>
      <c r="M69" s="5"/>
    </row>
    <row r="70" spans="1:13" ht="14.1" customHeight="1" x14ac:dyDescent="0.25">
      <c r="A70" s="61" t="s">
        <v>41</v>
      </c>
      <c r="B70" s="6">
        <v>235</v>
      </c>
      <c r="C70" s="5">
        <v>4.7103627981559431</v>
      </c>
      <c r="D70" s="5"/>
      <c r="E70" s="6">
        <v>217</v>
      </c>
      <c r="F70" s="5">
        <v>4.3962722852512153</v>
      </c>
      <c r="G70" s="5"/>
      <c r="H70" s="6">
        <v>14</v>
      </c>
      <c r="I70" s="5">
        <v>29.787234042553191</v>
      </c>
      <c r="J70" s="5"/>
      <c r="K70" s="3">
        <v>4</v>
      </c>
      <c r="L70" s="16">
        <v>66.566666666666663</v>
      </c>
      <c r="M70" s="5"/>
    </row>
    <row r="71" spans="1:13" ht="14.1" customHeight="1" x14ac:dyDescent="0.25">
      <c r="A71" s="61" t="s">
        <v>42</v>
      </c>
      <c r="B71" s="6">
        <v>1</v>
      </c>
      <c r="C71" s="5">
        <v>2.0044097013429546E-2</v>
      </c>
      <c r="D71" s="5"/>
      <c r="E71" s="6">
        <v>1</v>
      </c>
      <c r="F71" s="5">
        <v>2.0259319286871962E-2</v>
      </c>
      <c r="G71" s="5"/>
      <c r="H71" s="3" t="s">
        <v>96</v>
      </c>
      <c r="I71" s="16" t="s">
        <v>96</v>
      </c>
      <c r="J71" s="5"/>
      <c r="K71" s="3" t="s">
        <v>96</v>
      </c>
      <c r="L71" s="16" t="s">
        <v>96</v>
      </c>
      <c r="M71" s="5"/>
    </row>
    <row r="72" spans="1:13" ht="14.1" customHeight="1" x14ac:dyDescent="0.25">
      <c r="A72" s="61" t="s">
        <v>43</v>
      </c>
      <c r="B72" s="6">
        <v>298</v>
      </c>
      <c r="C72" s="5">
        <v>5.9731409100020043</v>
      </c>
      <c r="D72" s="5"/>
      <c r="E72" s="6">
        <v>280</v>
      </c>
      <c r="F72" s="5">
        <v>5.6726094003241485</v>
      </c>
      <c r="G72" s="5"/>
      <c r="H72" s="3">
        <v>18</v>
      </c>
      <c r="I72" s="16">
        <v>38.297872340425535</v>
      </c>
      <c r="J72" s="5"/>
      <c r="K72" s="3" t="s">
        <v>96</v>
      </c>
      <c r="L72" s="16" t="s">
        <v>96</v>
      </c>
      <c r="M72" s="5"/>
    </row>
    <row r="73" spans="1:13" ht="14.1" customHeight="1" x14ac:dyDescent="0.25">
      <c r="A73" s="61" t="s">
        <v>44</v>
      </c>
      <c r="B73" s="6">
        <v>437</v>
      </c>
      <c r="C73" s="5">
        <v>8.759270394868711</v>
      </c>
      <c r="D73" s="5"/>
      <c r="E73" s="6">
        <v>426</v>
      </c>
      <c r="F73" s="5">
        <v>8.7304700162074553</v>
      </c>
      <c r="G73" s="5"/>
      <c r="H73" s="3">
        <v>11</v>
      </c>
      <c r="I73" s="16">
        <v>23.404255319148938</v>
      </c>
      <c r="J73" s="5"/>
      <c r="K73" s="3" t="s">
        <v>96</v>
      </c>
      <c r="L73" s="16" t="s">
        <v>96</v>
      </c>
      <c r="M73" s="5"/>
    </row>
    <row r="74" spans="1:13" ht="14.1" customHeight="1" x14ac:dyDescent="0.25">
      <c r="A74" s="61" t="s">
        <v>45</v>
      </c>
      <c r="B74" s="6">
        <v>19</v>
      </c>
      <c r="C74" s="5">
        <v>0.38083784325516135</v>
      </c>
      <c r="D74" s="5"/>
      <c r="E74" s="6">
        <v>17</v>
      </c>
      <c r="F74" s="5">
        <v>0.34440842787682335</v>
      </c>
      <c r="G74" s="5"/>
      <c r="H74" s="3">
        <v>1</v>
      </c>
      <c r="I74" s="16">
        <v>2.1276595744680851</v>
      </c>
      <c r="J74" s="5"/>
      <c r="K74" s="6">
        <v>1</v>
      </c>
      <c r="L74" s="5">
        <v>16.666666666666664</v>
      </c>
      <c r="M74" s="5"/>
    </row>
    <row r="75" spans="1:13" ht="18" hidden="1" customHeight="1" x14ac:dyDescent="0.25">
      <c r="A75" s="61" t="s">
        <v>46</v>
      </c>
      <c r="B75" s="6">
        <v>10</v>
      </c>
      <c r="C75" s="5">
        <v>0.20044097013429546</v>
      </c>
      <c r="D75" s="5"/>
      <c r="E75" s="6">
        <v>9</v>
      </c>
      <c r="F75" s="5">
        <v>0.18233387358184766</v>
      </c>
      <c r="G75" s="5"/>
      <c r="H75" s="3" t="s">
        <v>96</v>
      </c>
      <c r="I75" s="16" t="s">
        <v>96</v>
      </c>
      <c r="J75" s="5"/>
      <c r="K75" s="6">
        <v>1</v>
      </c>
      <c r="L75" s="5">
        <v>16.666666666666664</v>
      </c>
      <c r="M75" s="5"/>
    </row>
    <row r="76" spans="1:13" ht="14.1" customHeight="1" x14ac:dyDescent="0.25">
      <c r="A76" s="61" t="s">
        <v>47</v>
      </c>
      <c r="B76" s="5">
        <v>25</v>
      </c>
      <c r="C76" s="5">
        <v>0.50110242533573857</v>
      </c>
      <c r="D76" s="5"/>
      <c r="E76" s="5">
        <v>24</v>
      </c>
      <c r="F76" s="5">
        <v>0.48622366288492708</v>
      </c>
      <c r="G76" s="5"/>
      <c r="H76" s="3" t="s">
        <v>96</v>
      </c>
      <c r="I76" s="16" t="s">
        <v>96</v>
      </c>
      <c r="J76" s="5"/>
      <c r="K76" s="6">
        <v>1</v>
      </c>
      <c r="L76" s="5">
        <v>16.666666666666664</v>
      </c>
      <c r="M76" s="5"/>
    </row>
    <row r="77" spans="1:13" ht="14.1" customHeight="1" x14ac:dyDescent="0.25">
      <c r="A77" s="68"/>
      <c r="B77" s="9"/>
      <c r="C77" s="15"/>
      <c r="D77" s="15"/>
      <c r="E77" s="9"/>
      <c r="F77" s="15"/>
      <c r="G77" s="15"/>
      <c r="H77" s="9"/>
      <c r="I77" s="15"/>
      <c r="J77" s="15"/>
      <c r="K77" s="9"/>
      <c r="L77" s="15"/>
      <c r="M77" s="15"/>
    </row>
    <row r="78" spans="1:13" ht="14.1" customHeight="1" x14ac:dyDescent="0.25">
      <c r="A78" s="63" t="s">
        <v>55</v>
      </c>
      <c r="B78" s="9">
        <v>7260</v>
      </c>
      <c r="C78" s="15">
        <v>100</v>
      </c>
      <c r="D78" s="15"/>
      <c r="E78" s="9">
        <v>6874</v>
      </c>
      <c r="F78" s="15">
        <v>100</v>
      </c>
      <c r="G78" s="15"/>
      <c r="H78" s="9">
        <v>274</v>
      </c>
      <c r="I78" s="15">
        <v>100</v>
      </c>
      <c r="J78" s="15"/>
      <c r="K78" s="9">
        <v>112</v>
      </c>
      <c r="L78" s="15">
        <v>100</v>
      </c>
      <c r="M78" s="9"/>
    </row>
    <row r="79" spans="1:13" ht="14.1" customHeight="1" x14ac:dyDescent="0.25">
      <c r="A79" s="61" t="s">
        <v>40</v>
      </c>
      <c r="B79" s="6">
        <v>4587</v>
      </c>
      <c r="C79" s="5">
        <v>63.081818181818186</v>
      </c>
      <c r="D79" s="5"/>
      <c r="E79" s="6">
        <v>4575</v>
      </c>
      <c r="F79" s="5">
        <v>66.455135292406169</v>
      </c>
      <c r="G79" s="5"/>
      <c r="H79" s="6">
        <v>11</v>
      </c>
      <c r="I79" s="5">
        <v>4.0145985401459852</v>
      </c>
      <c r="J79" s="5"/>
      <c r="K79" s="6">
        <v>1</v>
      </c>
      <c r="L79" s="5">
        <v>0.89285714285714279</v>
      </c>
      <c r="M79" s="9"/>
    </row>
    <row r="80" spans="1:13" ht="14.1" customHeight="1" x14ac:dyDescent="0.25">
      <c r="A80" s="61" t="s">
        <v>41</v>
      </c>
      <c r="B80" s="6">
        <v>1609</v>
      </c>
      <c r="C80" s="5">
        <v>22.162534435261708</v>
      </c>
      <c r="D80" s="5"/>
      <c r="E80" s="6">
        <v>1320</v>
      </c>
      <c r="F80" s="5">
        <v>19.202793133546699</v>
      </c>
      <c r="G80" s="5"/>
      <c r="H80" s="6">
        <v>181</v>
      </c>
      <c r="I80" s="5">
        <v>66.058394160583944</v>
      </c>
      <c r="J80" s="5"/>
      <c r="K80" s="6">
        <v>108</v>
      </c>
      <c r="L80" s="5">
        <v>96.428571428571431</v>
      </c>
      <c r="M80" s="9"/>
    </row>
    <row r="81" spans="1:13" ht="14.1" customHeight="1" x14ac:dyDescent="0.25">
      <c r="A81" s="61" t="s">
        <v>42</v>
      </c>
      <c r="B81" s="6">
        <v>20</v>
      </c>
      <c r="C81" s="5">
        <v>0.27548209366391185</v>
      </c>
      <c r="D81" s="5"/>
      <c r="E81" s="6">
        <v>19</v>
      </c>
      <c r="F81" s="5">
        <v>0.27640384055862671</v>
      </c>
      <c r="G81" s="5"/>
      <c r="H81" s="6">
        <v>1</v>
      </c>
      <c r="I81" s="5">
        <v>0.36496350364963503</v>
      </c>
      <c r="J81" s="5"/>
      <c r="K81" s="3" t="s">
        <v>96</v>
      </c>
      <c r="L81" s="16" t="s">
        <v>96</v>
      </c>
      <c r="M81" s="9"/>
    </row>
    <row r="82" spans="1:13" ht="14.1" customHeight="1" x14ac:dyDescent="0.25">
      <c r="A82" s="61" t="s">
        <v>43</v>
      </c>
      <c r="B82" s="6">
        <v>192</v>
      </c>
      <c r="C82" s="5">
        <v>2.6446280991735538</v>
      </c>
      <c r="D82" s="5"/>
      <c r="E82" s="6">
        <v>159</v>
      </c>
      <c r="F82" s="5">
        <v>2.3130637183590341</v>
      </c>
      <c r="G82" s="5"/>
      <c r="H82" s="6">
        <v>30</v>
      </c>
      <c r="I82" s="5">
        <v>10.948905109489052</v>
      </c>
      <c r="J82" s="5"/>
      <c r="K82" s="3">
        <v>3</v>
      </c>
      <c r="L82" s="16">
        <v>2.6785714285714284</v>
      </c>
      <c r="M82" s="9"/>
    </row>
    <row r="83" spans="1:13" ht="14.1" customHeight="1" x14ac:dyDescent="0.25">
      <c r="A83" s="61" t="s">
        <v>44</v>
      </c>
      <c r="B83" s="6">
        <v>846</v>
      </c>
      <c r="C83" s="5">
        <v>11.652892561983471</v>
      </c>
      <c r="D83" s="5"/>
      <c r="E83" s="6">
        <v>796</v>
      </c>
      <c r="F83" s="5">
        <v>11.579866162350887</v>
      </c>
      <c r="G83" s="5"/>
      <c r="H83" s="6">
        <v>50</v>
      </c>
      <c r="I83" s="5">
        <v>18.248175182481752</v>
      </c>
      <c r="J83" s="5"/>
      <c r="K83" s="3" t="s">
        <v>96</v>
      </c>
      <c r="L83" s="16" t="s">
        <v>96</v>
      </c>
      <c r="M83" s="9"/>
    </row>
    <row r="84" spans="1:13" ht="14.1" customHeight="1" x14ac:dyDescent="0.25">
      <c r="A84" s="61" t="s">
        <v>45</v>
      </c>
      <c r="B84" s="6">
        <v>1</v>
      </c>
      <c r="C84" s="5">
        <v>1.3774104683195591E-2</v>
      </c>
      <c r="D84" s="5"/>
      <c r="E84" s="6">
        <v>1</v>
      </c>
      <c r="F84" s="5">
        <v>1.4547570555717195E-2</v>
      </c>
      <c r="G84" s="5"/>
      <c r="H84" s="3" t="s">
        <v>96</v>
      </c>
      <c r="I84" s="3" t="s">
        <v>96</v>
      </c>
      <c r="J84" s="5"/>
      <c r="K84" s="3" t="s">
        <v>96</v>
      </c>
      <c r="L84" s="16" t="s">
        <v>96</v>
      </c>
      <c r="M84" s="9"/>
    </row>
    <row r="85" spans="1:13" ht="10.5" hidden="1" customHeight="1" x14ac:dyDescent="0.25">
      <c r="A85" s="61" t="s">
        <v>46</v>
      </c>
      <c r="B85" s="6">
        <v>1</v>
      </c>
      <c r="C85" s="5">
        <v>1.3774104683195591E-2</v>
      </c>
      <c r="D85" s="5"/>
      <c r="E85" s="6">
        <v>1</v>
      </c>
      <c r="F85" s="5">
        <v>1.4547570555717195E-2</v>
      </c>
      <c r="G85" s="5"/>
      <c r="H85" s="3" t="s">
        <v>96</v>
      </c>
      <c r="I85" s="3" t="s">
        <v>96</v>
      </c>
      <c r="J85" s="5"/>
      <c r="K85" s="3" t="s">
        <v>96</v>
      </c>
      <c r="L85" s="16" t="s">
        <v>96</v>
      </c>
      <c r="M85" s="9"/>
    </row>
    <row r="86" spans="1:13" ht="14.1" customHeight="1" x14ac:dyDescent="0.25">
      <c r="A86" s="61" t="s">
        <v>47</v>
      </c>
      <c r="B86" s="5">
        <v>5</v>
      </c>
      <c r="C86" s="5">
        <v>6.8870523415977949E-2</v>
      </c>
      <c r="D86" s="5"/>
      <c r="E86" s="5">
        <v>4</v>
      </c>
      <c r="F86" s="5">
        <v>5.8190282222868782E-2</v>
      </c>
      <c r="G86" s="5"/>
      <c r="H86" s="5">
        <v>1</v>
      </c>
      <c r="I86" s="5">
        <v>0.36496350364963503</v>
      </c>
      <c r="J86" s="5"/>
      <c r="K86" s="3" t="s">
        <v>96</v>
      </c>
      <c r="L86" s="16" t="s">
        <v>96</v>
      </c>
      <c r="M86" s="9"/>
    </row>
    <row r="87" spans="1:13" ht="14.1" customHeight="1" x14ac:dyDescent="0.25">
      <c r="A87" s="68"/>
      <c r="B87" s="6"/>
      <c r="C87" s="5"/>
      <c r="D87" s="5"/>
      <c r="E87" s="6"/>
      <c r="F87" s="5"/>
      <c r="G87" s="5"/>
      <c r="H87" s="6"/>
      <c r="I87" s="5"/>
      <c r="J87" s="5"/>
      <c r="K87" s="6"/>
      <c r="L87" s="5"/>
      <c r="M87" s="15"/>
    </row>
    <row r="88" spans="1:13" ht="14.1" customHeight="1" x14ac:dyDescent="0.25">
      <c r="A88" s="63" t="s">
        <v>17</v>
      </c>
      <c r="B88" s="9">
        <v>8331</v>
      </c>
      <c r="C88" s="15">
        <v>100</v>
      </c>
      <c r="D88" s="15"/>
      <c r="E88" s="9">
        <v>8247</v>
      </c>
      <c r="F88" s="15">
        <v>100</v>
      </c>
      <c r="G88" s="15"/>
      <c r="H88" s="9">
        <v>76</v>
      </c>
      <c r="I88" s="15">
        <v>100</v>
      </c>
      <c r="J88" s="15"/>
      <c r="K88" s="9">
        <v>8</v>
      </c>
      <c r="L88" s="15">
        <v>100</v>
      </c>
      <c r="M88" s="15"/>
    </row>
    <row r="89" spans="1:13" ht="14.1" customHeight="1" x14ac:dyDescent="0.25">
      <c r="A89" s="61" t="s">
        <v>40</v>
      </c>
      <c r="B89" s="6">
        <v>6904</v>
      </c>
      <c r="C89" s="5">
        <v>82.771203937102399</v>
      </c>
      <c r="D89" s="5"/>
      <c r="E89" s="6">
        <v>6899</v>
      </c>
      <c r="F89" s="5">
        <v>83.55466230144296</v>
      </c>
      <c r="G89" s="5"/>
      <c r="H89" s="6">
        <v>5</v>
      </c>
      <c r="I89" s="5">
        <v>6.5789473684210522</v>
      </c>
      <c r="J89" s="5"/>
      <c r="K89" s="3" t="s">
        <v>96</v>
      </c>
      <c r="L89" s="3" t="s">
        <v>96</v>
      </c>
      <c r="M89" s="5"/>
    </row>
    <row r="90" spans="1:13" ht="14.1" customHeight="1" x14ac:dyDescent="0.25">
      <c r="A90" s="61" t="s">
        <v>41</v>
      </c>
      <c r="B90" s="6">
        <v>376</v>
      </c>
      <c r="C90" s="5">
        <v>4.5132637138398755</v>
      </c>
      <c r="D90" s="5"/>
      <c r="E90" s="6">
        <v>341</v>
      </c>
      <c r="F90" s="5">
        <v>4.1348369103916571</v>
      </c>
      <c r="G90" s="5"/>
      <c r="H90" s="6">
        <v>28</v>
      </c>
      <c r="I90" s="5">
        <v>36.84210526315789</v>
      </c>
      <c r="J90" s="5"/>
      <c r="K90" s="3">
        <v>7</v>
      </c>
      <c r="L90" s="16">
        <v>87.5</v>
      </c>
      <c r="M90" s="5"/>
    </row>
    <row r="91" spans="1:13" ht="14.1" customHeight="1" x14ac:dyDescent="0.25">
      <c r="A91" s="61" t="s">
        <v>42</v>
      </c>
      <c r="B91" s="6">
        <v>2</v>
      </c>
      <c r="C91" s="5">
        <v>2.4006721882126995E-2</v>
      </c>
      <c r="D91" s="5"/>
      <c r="E91" s="6">
        <v>2</v>
      </c>
      <c r="F91" s="5">
        <v>2.4251242876197406E-2</v>
      </c>
      <c r="G91" s="5"/>
      <c r="H91" s="3" t="s">
        <v>96</v>
      </c>
      <c r="I91" s="16" t="s">
        <v>96</v>
      </c>
      <c r="J91" s="5"/>
      <c r="K91" s="3" t="s">
        <v>96</v>
      </c>
      <c r="L91" s="16" t="s">
        <v>96</v>
      </c>
      <c r="M91" s="5"/>
    </row>
    <row r="92" spans="1:13" ht="14.1" customHeight="1" x14ac:dyDescent="0.25">
      <c r="A92" s="61" t="s">
        <v>43</v>
      </c>
      <c r="B92" s="6">
        <v>241</v>
      </c>
      <c r="C92" s="5">
        <v>2.8928099867963031</v>
      </c>
      <c r="D92" s="5"/>
      <c r="E92" s="6">
        <v>227</v>
      </c>
      <c r="F92" s="5">
        <v>2.7525160664484054</v>
      </c>
      <c r="G92" s="5"/>
      <c r="H92" s="3">
        <v>13</v>
      </c>
      <c r="I92" s="16">
        <v>17.105263157894736</v>
      </c>
      <c r="J92" s="5"/>
      <c r="K92" s="3">
        <v>1</v>
      </c>
      <c r="L92" s="16">
        <v>12.5</v>
      </c>
      <c r="M92" s="5"/>
    </row>
    <row r="93" spans="1:13" ht="14.1" customHeight="1" x14ac:dyDescent="0.25">
      <c r="A93" s="61" t="s">
        <v>44</v>
      </c>
      <c r="B93" s="6">
        <v>689</v>
      </c>
      <c r="C93" s="5">
        <v>8.2703156883927509</v>
      </c>
      <c r="D93" s="5"/>
      <c r="E93" s="6">
        <v>659</v>
      </c>
      <c r="F93" s="5">
        <v>7.9907845277070457</v>
      </c>
      <c r="G93" s="5"/>
      <c r="H93" s="3">
        <v>30</v>
      </c>
      <c r="I93" s="16">
        <v>39.473684210526315</v>
      </c>
      <c r="J93" s="5"/>
      <c r="K93" s="3" t="s">
        <v>96</v>
      </c>
      <c r="L93" s="16" t="s">
        <v>96</v>
      </c>
      <c r="M93" s="5"/>
    </row>
    <row r="94" spans="1:13" ht="14.1" customHeight="1" x14ac:dyDescent="0.25">
      <c r="A94" s="61" t="s">
        <v>45</v>
      </c>
      <c r="B94" s="6">
        <v>88</v>
      </c>
      <c r="C94" s="5">
        <v>1.0562957628135878</v>
      </c>
      <c r="D94" s="5"/>
      <c r="E94" s="6">
        <v>88</v>
      </c>
      <c r="F94" s="5">
        <v>1.0670546865526858</v>
      </c>
      <c r="G94" s="5"/>
      <c r="H94" s="3" t="s">
        <v>96</v>
      </c>
      <c r="I94" s="16" t="s">
        <v>96</v>
      </c>
      <c r="J94" s="5"/>
      <c r="K94" s="3" t="s">
        <v>96</v>
      </c>
      <c r="L94" s="16" t="s">
        <v>96</v>
      </c>
      <c r="M94" s="5"/>
    </row>
    <row r="95" spans="1:13" ht="12.75" hidden="1" customHeight="1" x14ac:dyDescent="0.25">
      <c r="A95" s="61" t="s">
        <v>46</v>
      </c>
      <c r="B95" s="6">
        <v>11</v>
      </c>
      <c r="C95" s="5">
        <v>0.13203697035169848</v>
      </c>
      <c r="D95" s="5"/>
      <c r="E95" s="6">
        <v>11</v>
      </c>
      <c r="F95" s="5">
        <v>0.13338183581908572</v>
      </c>
      <c r="G95" s="5"/>
      <c r="H95" s="3" t="s">
        <v>96</v>
      </c>
      <c r="I95" s="16" t="s">
        <v>96</v>
      </c>
      <c r="J95" s="5"/>
      <c r="K95" s="3" t="s">
        <v>96</v>
      </c>
      <c r="L95" s="16" t="s">
        <v>96</v>
      </c>
      <c r="M95" s="5"/>
    </row>
    <row r="96" spans="1:13" ht="14.1" customHeight="1" x14ac:dyDescent="0.25">
      <c r="A96" s="61" t="s">
        <v>47</v>
      </c>
      <c r="B96" s="6">
        <v>31</v>
      </c>
      <c r="C96" s="5">
        <v>0.37210418917296845</v>
      </c>
      <c r="D96" s="5"/>
      <c r="E96" s="6">
        <v>31</v>
      </c>
      <c r="F96" s="5">
        <v>0.37589426458105979</v>
      </c>
      <c r="G96" s="5"/>
      <c r="H96" s="3" t="s">
        <v>96</v>
      </c>
      <c r="I96" s="3" t="s">
        <v>96</v>
      </c>
      <c r="J96" s="5"/>
      <c r="K96" s="3" t="s">
        <v>96</v>
      </c>
      <c r="L96" s="3" t="s">
        <v>96</v>
      </c>
      <c r="M96" s="5"/>
    </row>
    <row r="97" spans="1:13" ht="14.1" customHeight="1" x14ac:dyDescent="0.25">
      <c r="A97" s="68"/>
      <c r="B97" s="9"/>
      <c r="C97" s="15"/>
      <c r="D97" s="15"/>
      <c r="E97" s="9"/>
      <c r="F97" s="15"/>
      <c r="G97" s="15"/>
      <c r="H97" s="9"/>
      <c r="I97" s="15"/>
      <c r="J97" s="15"/>
      <c r="K97" s="9"/>
      <c r="L97" s="15"/>
      <c r="M97" s="15"/>
    </row>
    <row r="98" spans="1:13" ht="14.1" customHeight="1" x14ac:dyDescent="0.25">
      <c r="A98" s="63" t="s">
        <v>16</v>
      </c>
      <c r="B98" s="9">
        <v>976</v>
      </c>
      <c r="C98" s="15">
        <v>100</v>
      </c>
      <c r="D98" s="15"/>
      <c r="E98" s="9">
        <v>973</v>
      </c>
      <c r="F98" s="15">
        <v>100</v>
      </c>
      <c r="G98" s="15"/>
      <c r="H98" s="9">
        <v>3</v>
      </c>
      <c r="I98" s="15">
        <v>100</v>
      </c>
      <c r="J98" s="15"/>
      <c r="K98" s="8" t="s">
        <v>96</v>
      </c>
      <c r="L98" s="8" t="s">
        <v>96</v>
      </c>
      <c r="M98" s="8"/>
    </row>
    <row r="99" spans="1:13" ht="14.1" customHeight="1" x14ac:dyDescent="0.25">
      <c r="A99" s="61" t="s">
        <v>40</v>
      </c>
      <c r="B99" s="6">
        <v>820</v>
      </c>
      <c r="C99" s="5">
        <v>84.016393442622956</v>
      </c>
      <c r="D99" s="5"/>
      <c r="E99" s="6">
        <v>820</v>
      </c>
      <c r="F99" s="5">
        <v>84.275436793422415</v>
      </c>
      <c r="G99" s="5"/>
      <c r="H99" s="3" t="s">
        <v>96</v>
      </c>
      <c r="I99" s="16" t="s">
        <v>96</v>
      </c>
      <c r="J99" s="5"/>
      <c r="K99" s="3" t="s">
        <v>96</v>
      </c>
      <c r="L99" s="3" t="s">
        <v>96</v>
      </c>
      <c r="M99" s="5"/>
    </row>
    <row r="100" spans="1:13" ht="14.1" customHeight="1" x14ac:dyDescent="0.25">
      <c r="A100" s="61" t="s">
        <v>41</v>
      </c>
      <c r="B100" s="6">
        <v>29</v>
      </c>
      <c r="C100" s="5">
        <v>2.971311475409836</v>
      </c>
      <c r="D100" s="5"/>
      <c r="E100" s="6">
        <v>28</v>
      </c>
      <c r="F100" s="5">
        <v>2.877697841726619</v>
      </c>
      <c r="G100" s="5"/>
      <c r="H100" s="3">
        <v>1</v>
      </c>
      <c r="I100" s="16">
        <v>33.333333333333329</v>
      </c>
      <c r="J100" s="5"/>
      <c r="K100" s="3" t="s">
        <v>96</v>
      </c>
      <c r="L100" s="3" t="s">
        <v>96</v>
      </c>
      <c r="M100" s="5"/>
    </row>
    <row r="101" spans="1:13" ht="14.1" customHeight="1" x14ac:dyDescent="0.25">
      <c r="A101" s="61" t="s">
        <v>42</v>
      </c>
      <c r="B101" s="6">
        <v>1</v>
      </c>
      <c r="C101" s="5">
        <v>0.10245901639344263</v>
      </c>
      <c r="D101" s="5"/>
      <c r="E101" s="6">
        <v>1</v>
      </c>
      <c r="F101" s="5">
        <v>0.10277492291880781</v>
      </c>
      <c r="G101" s="5"/>
      <c r="H101" s="3" t="s">
        <v>96</v>
      </c>
      <c r="I101" s="16" t="s">
        <v>96</v>
      </c>
      <c r="J101" s="5"/>
      <c r="K101" s="3" t="s">
        <v>96</v>
      </c>
      <c r="L101" s="3" t="s">
        <v>96</v>
      </c>
      <c r="M101" s="5"/>
    </row>
    <row r="102" spans="1:13" ht="14.1" customHeight="1" x14ac:dyDescent="0.25">
      <c r="A102" s="61" t="s">
        <v>43</v>
      </c>
      <c r="B102" s="6">
        <v>11</v>
      </c>
      <c r="C102" s="5">
        <v>1.1270491803278688</v>
      </c>
      <c r="D102" s="5"/>
      <c r="E102" s="6">
        <v>11</v>
      </c>
      <c r="F102" s="5">
        <v>1.1305241521068858</v>
      </c>
      <c r="G102" s="5"/>
      <c r="H102" s="3" t="s">
        <v>96</v>
      </c>
      <c r="I102" s="16" t="s">
        <v>96</v>
      </c>
      <c r="J102" s="5"/>
      <c r="K102" s="3" t="s">
        <v>96</v>
      </c>
      <c r="L102" s="3" t="s">
        <v>96</v>
      </c>
      <c r="M102" s="5"/>
    </row>
    <row r="103" spans="1:13" ht="14.1" customHeight="1" x14ac:dyDescent="0.25">
      <c r="A103" s="61" t="s">
        <v>44</v>
      </c>
      <c r="B103" s="6">
        <v>25</v>
      </c>
      <c r="C103" s="5">
        <v>2.5614754098360657</v>
      </c>
      <c r="D103" s="5"/>
      <c r="E103" s="6">
        <v>23</v>
      </c>
      <c r="F103" s="5">
        <v>2.3638232271325799</v>
      </c>
      <c r="G103" s="5"/>
      <c r="H103" s="3">
        <v>2</v>
      </c>
      <c r="I103" s="16">
        <v>66.666666666666657</v>
      </c>
      <c r="J103" s="5"/>
      <c r="K103" s="3" t="s">
        <v>96</v>
      </c>
      <c r="L103" s="3" t="s">
        <v>96</v>
      </c>
      <c r="M103" s="5"/>
    </row>
    <row r="104" spans="1:13" ht="14.1" customHeight="1" x14ac:dyDescent="0.25">
      <c r="A104" s="61" t="s">
        <v>45</v>
      </c>
      <c r="B104" s="6">
        <v>86</v>
      </c>
      <c r="C104" s="5">
        <v>8.8114754098360653</v>
      </c>
      <c r="D104" s="5"/>
      <c r="E104" s="6">
        <v>86</v>
      </c>
      <c r="F104" s="5">
        <v>8.8386433710174703</v>
      </c>
      <c r="G104" s="5"/>
      <c r="H104" s="3" t="s">
        <v>96</v>
      </c>
      <c r="I104" s="16" t="s">
        <v>96</v>
      </c>
      <c r="J104" s="5"/>
      <c r="K104" s="3" t="s">
        <v>96</v>
      </c>
      <c r="L104" s="3" t="s">
        <v>96</v>
      </c>
      <c r="M104" s="5"/>
    </row>
    <row r="105" spans="1:13" ht="18" hidden="1" customHeight="1" x14ac:dyDescent="0.25">
      <c r="A105" s="61" t="s">
        <v>46</v>
      </c>
      <c r="B105" s="3" t="s">
        <v>96</v>
      </c>
      <c r="C105" s="3" t="s">
        <v>96</v>
      </c>
      <c r="D105" s="5"/>
      <c r="E105" s="3" t="s">
        <v>96</v>
      </c>
      <c r="F105" s="3" t="s">
        <v>96</v>
      </c>
      <c r="G105" s="5"/>
      <c r="H105" s="3" t="s">
        <v>96</v>
      </c>
      <c r="I105" s="16" t="s">
        <v>96</v>
      </c>
      <c r="J105" s="5"/>
      <c r="K105" s="3" t="s">
        <v>96</v>
      </c>
      <c r="L105" s="3" t="s">
        <v>96</v>
      </c>
      <c r="M105" s="5"/>
    </row>
    <row r="106" spans="1:13" ht="14.1" customHeight="1" x14ac:dyDescent="0.25">
      <c r="A106" s="61" t="s">
        <v>47</v>
      </c>
      <c r="B106" s="6">
        <v>4</v>
      </c>
      <c r="C106" s="5">
        <v>0.4098360655737705</v>
      </c>
      <c r="D106" s="5"/>
      <c r="E106" s="6">
        <v>4</v>
      </c>
      <c r="F106" s="5">
        <v>0.41109969167523125</v>
      </c>
      <c r="G106" s="5"/>
      <c r="H106" s="3" t="s">
        <v>96</v>
      </c>
      <c r="I106" s="16" t="s">
        <v>96</v>
      </c>
      <c r="J106" s="5"/>
      <c r="K106" s="3" t="s">
        <v>96</v>
      </c>
      <c r="L106" s="3" t="s">
        <v>96</v>
      </c>
      <c r="M106" s="5"/>
    </row>
    <row r="107" spans="1:13" ht="14.1" customHeight="1" x14ac:dyDescent="0.25">
      <c r="A107" s="61"/>
      <c r="B107" s="6"/>
      <c r="C107" s="5"/>
      <c r="D107" s="5"/>
      <c r="E107" s="6"/>
      <c r="F107" s="5"/>
      <c r="G107" s="5"/>
      <c r="H107" s="6"/>
      <c r="I107" s="5"/>
      <c r="J107" s="5"/>
      <c r="K107" s="6"/>
      <c r="L107" s="5"/>
      <c r="M107" s="5"/>
    </row>
    <row r="108" spans="1:13" ht="14.1" customHeight="1" x14ac:dyDescent="0.25">
      <c r="A108" s="63" t="s">
        <v>15</v>
      </c>
      <c r="B108" s="9">
        <v>3409</v>
      </c>
      <c r="C108" s="15">
        <v>100</v>
      </c>
      <c r="D108" s="15"/>
      <c r="E108" s="9">
        <v>3378</v>
      </c>
      <c r="F108" s="15">
        <v>100</v>
      </c>
      <c r="G108" s="15"/>
      <c r="H108" s="9">
        <v>29</v>
      </c>
      <c r="I108" s="15">
        <v>100</v>
      </c>
      <c r="J108" s="15"/>
      <c r="K108" s="9">
        <v>2</v>
      </c>
      <c r="L108" s="15">
        <v>100</v>
      </c>
      <c r="M108" s="15"/>
    </row>
    <row r="109" spans="1:13" ht="14.1" customHeight="1" x14ac:dyDescent="0.25">
      <c r="A109" s="61" t="s">
        <v>40</v>
      </c>
      <c r="B109" s="6">
        <v>2883</v>
      </c>
      <c r="C109" s="5">
        <v>84.470255206805518</v>
      </c>
      <c r="D109" s="5"/>
      <c r="E109" s="6">
        <v>2881</v>
      </c>
      <c r="F109" s="5">
        <v>85.187152161042036</v>
      </c>
      <c r="G109" s="5"/>
      <c r="H109" s="6">
        <v>2</v>
      </c>
      <c r="I109" s="5">
        <v>6.8965517241379306</v>
      </c>
      <c r="J109" s="5"/>
      <c r="K109" s="3" t="s">
        <v>96</v>
      </c>
      <c r="L109" s="16" t="s">
        <v>96</v>
      </c>
      <c r="M109" s="16"/>
    </row>
    <row r="110" spans="1:13" ht="14.1" customHeight="1" x14ac:dyDescent="0.25">
      <c r="A110" s="61" t="s">
        <v>41</v>
      </c>
      <c r="B110" s="6">
        <v>134</v>
      </c>
      <c r="C110" s="5">
        <v>3.9307714872396602</v>
      </c>
      <c r="D110" s="5"/>
      <c r="E110" s="6">
        <v>121</v>
      </c>
      <c r="F110" s="5">
        <v>3.5820011841326229</v>
      </c>
      <c r="G110" s="5"/>
      <c r="H110" s="6">
        <v>12</v>
      </c>
      <c r="I110" s="5">
        <v>41.379310344827587</v>
      </c>
      <c r="J110" s="5"/>
      <c r="K110" s="3">
        <v>1</v>
      </c>
      <c r="L110" s="16">
        <v>50</v>
      </c>
      <c r="M110" s="16"/>
    </row>
    <row r="111" spans="1:13" ht="14.1" customHeight="1" x14ac:dyDescent="0.25">
      <c r="A111" s="61" t="s">
        <v>42</v>
      </c>
      <c r="B111" s="6">
        <v>6</v>
      </c>
      <c r="C111" s="5">
        <v>0.17600469345849221</v>
      </c>
      <c r="D111" s="5"/>
      <c r="E111" s="6">
        <v>6</v>
      </c>
      <c r="F111" s="5">
        <v>0.17761989342806395</v>
      </c>
      <c r="G111" s="5"/>
      <c r="H111" s="3" t="s">
        <v>96</v>
      </c>
      <c r="I111" s="3" t="s">
        <v>96</v>
      </c>
      <c r="J111" s="5"/>
      <c r="K111" s="3" t="s">
        <v>96</v>
      </c>
      <c r="L111" s="16" t="s">
        <v>96</v>
      </c>
      <c r="M111" s="16"/>
    </row>
    <row r="112" spans="1:13" ht="14.1" customHeight="1" x14ac:dyDescent="0.25">
      <c r="A112" s="61" t="s">
        <v>43</v>
      </c>
      <c r="B112" s="6">
        <v>91</v>
      </c>
      <c r="C112" s="5">
        <v>2.6694045174537986</v>
      </c>
      <c r="D112" s="5"/>
      <c r="E112" s="6">
        <v>87</v>
      </c>
      <c r="F112" s="5">
        <v>2.5754884547069272</v>
      </c>
      <c r="G112" s="5"/>
      <c r="H112" s="3">
        <v>4</v>
      </c>
      <c r="I112" s="16">
        <v>13.793103448275861</v>
      </c>
      <c r="J112" s="5"/>
      <c r="K112" s="3" t="s">
        <v>96</v>
      </c>
      <c r="L112" s="16" t="s">
        <v>96</v>
      </c>
      <c r="M112" s="16"/>
    </row>
    <row r="113" spans="1:13" ht="14.1" customHeight="1" x14ac:dyDescent="0.25">
      <c r="A113" s="61" t="s">
        <v>44</v>
      </c>
      <c r="B113" s="6">
        <v>256</v>
      </c>
      <c r="C113" s="5">
        <v>7.509533587562335</v>
      </c>
      <c r="D113" s="5"/>
      <c r="E113" s="6">
        <v>246</v>
      </c>
      <c r="F113" s="5">
        <v>7.2824156305506218</v>
      </c>
      <c r="G113" s="5"/>
      <c r="H113" s="3">
        <v>9</v>
      </c>
      <c r="I113" s="16">
        <v>31.03448275862069</v>
      </c>
      <c r="J113" s="5"/>
      <c r="K113" s="3">
        <v>1</v>
      </c>
      <c r="L113" s="16">
        <v>50</v>
      </c>
      <c r="M113" s="16"/>
    </row>
    <row r="114" spans="1:13" ht="14.1" customHeight="1" x14ac:dyDescent="0.25">
      <c r="A114" s="61" t="s">
        <v>45</v>
      </c>
      <c r="B114" s="6">
        <v>29</v>
      </c>
      <c r="C114" s="5">
        <v>0.85068935171604587</v>
      </c>
      <c r="D114" s="5"/>
      <c r="E114" s="6">
        <v>29</v>
      </c>
      <c r="F114" s="5">
        <v>0.85849615156897574</v>
      </c>
      <c r="G114" s="5"/>
      <c r="H114" s="3" t="s">
        <v>96</v>
      </c>
      <c r="I114" s="16" t="s">
        <v>96</v>
      </c>
      <c r="J114" s="5"/>
      <c r="K114" s="3" t="s">
        <v>96</v>
      </c>
      <c r="L114" s="16" t="s">
        <v>96</v>
      </c>
      <c r="M114" s="16"/>
    </row>
    <row r="115" spans="1:13" ht="15.75" hidden="1" customHeight="1" x14ac:dyDescent="0.25">
      <c r="A115" s="61" t="s">
        <v>46</v>
      </c>
      <c r="B115" s="6">
        <v>7</v>
      </c>
      <c r="C115" s="5">
        <v>0.20533880903490762</v>
      </c>
      <c r="D115" s="5"/>
      <c r="E115" s="6">
        <v>5</v>
      </c>
      <c r="F115" s="5">
        <v>0.14801657785671996</v>
      </c>
      <c r="G115" s="5"/>
      <c r="H115" s="6">
        <v>2</v>
      </c>
      <c r="I115" s="5">
        <v>6.8965517241379306</v>
      </c>
      <c r="J115" s="5"/>
      <c r="K115" s="3" t="s">
        <v>96</v>
      </c>
      <c r="L115" s="16" t="s">
        <v>96</v>
      </c>
      <c r="M115" s="16"/>
    </row>
    <row r="116" spans="1:13" ht="14.1" customHeight="1" x14ac:dyDescent="0.25">
      <c r="A116" s="61" t="s">
        <v>47</v>
      </c>
      <c r="B116" s="6">
        <v>10</v>
      </c>
      <c r="C116" s="5">
        <v>0.2933411557641537</v>
      </c>
      <c r="D116" s="5"/>
      <c r="E116" s="6">
        <v>8</v>
      </c>
      <c r="F116" s="5">
        <v>0.23682652457075193</v>
      </c>
      <c r="G116" s="5"/>
      <c r="H116" s="6">
        <v>2</v>
      </c>
      <c r="I116" s="5">
        <v>6.8965517241379306</v>
      </c>
      <c r="J116" s="5"/>
      <c r="K116" s="3" t="s">
        <v>96</v>
      </c>
      <c r="L116" s="3" t="s">
        <v>96</v>
      </c>
      <c r="M116" s="3"/>
    </row>
    <row r="117" spans="1:13" ht="14.1" customHeight="1" x14ac:dyDescent="0.25">
      <c r="A117" s="68"/>
      <c r="B117" s="6"/>
      <c r="C117" s="15"/>
      <c r="D117" s="15"/>
      <c r="E117" s="9"/>
      <c r="F117" s="15"/>
      <c r="G117" s="15"/>
      <c r="H117" s="9"/>
      <c r="I117" s="15"/>
      <c r="J117" s="15"/>
      <c r="K117" s="9"/>
      <c r="L117" s="15"/>
      <c r="M117" s="15"/>
    </row>
    <row r="118" spans="1:13" ht="14.1" customHeight="1" x14ac:dyDescent="0.25">
      <c r="A118" s="63" t="s">
        <v>14</v>
      </c>
      <c r="B118" s="9">
        <v>3841</v>
      </c>
      <c r="C118" s="15">
        <v>100</v>
      </c>
      <c r="D118" s="15"/>
      <c r="E118" s="9">
        <v>3714</v>
      </c>
      <c r="F118" s="15">
        <v>100</v>
      </c>
      <c r="G118" s="15"/>
      <c r="H118" s="9">
        <v>83</v>
      </c>
      <c r="I118" s="15">
        <v>100</v>
      </c>
      <c r="J118" s="15"/>
      <c r="K118" s="9">
        <v>44</v>
      </c>
      <c r="L118" s="15">
        <v>100</v>
      </c>
      <c r="M118" s="15"/>
    </row>
    <row r="119" spans="1:13" ht="14.1" customHeight="1" x14ac:dyDescent="0.25">
      <c r="A119" s="61" t="s">
        <v>40</v>
      </c>
      <c r="B119" s="6">
        <v>2750</v>
      </c>
      <c r="C119" s="5">
        <v>71.595938557667267</v>
      </c>
      <c r="D119" s="5"/>
      <c r="E119" s="6">
        <v>2742</v>
      </c>
      <c r="F119" s="5">
        <v>73.928756058158314</v>
      </c>
      <c r="G119" s="5"/>
      <c r="H119" s="6">
        <v>8</v>
      </c>
      <c r="I119" s="5">
        <v>9.6385542168674707</v>
      </c>
      <c r="J119" s="5"/>
      <c r="K119" s="3" t="s">
        <v>96</v>
      </c>
      <c r="L119" s="16" t="s">
        <v>96</v>
      </c>
      <c r="M119" s="5"/>
    </row>
    <row r="120" spans="1:13" ht="14.1" customHeight="1" x14ac:dyDescent="0.25">
      <c r="A120" s="61" t="s">
        <v>41</v>
      </c>
      <c r="B120" s="6">
        <v>473</v>
      </c>
      <c r="C120" s="5">
        <v>12.314501431918771</v>
      </c>
      <c r="D120" s="5"/>
      <c r="E120" s="6">
        <v>391</v>
      </c>
      <c r="F120" s="5">
        <v>10.527732902530964</v>
      </c>
      <c r="G120" s="5"/>
      <c r="H120" s="6">
        <v>41</v>
      </c>
      <c r="I120" s="5">
        <v>49.497590361445781</v>
      </c>
      <c r="J120" s="5"/>
      <c r="K120" s="3">
        <v>41</v>
      </c>
      <c r="L120" s="16">
        <v>93.181818181818173</v>
      </c>
      <c r="M120" s="5"/>
    </row>
    <row r="121" spans="1:13" ht="14.1" customHeight="1" x14ac:dyDescent="0.25">
      <c r="A121" s="61" t="s">
        <v>42</v>
      </c>
      <c r="B121" s="6">
        <v>8</v>
      </c>
      <c r="C121" s="5">
        <v>0.20827909398594119</v>
      </c>
      <c r="D121" s="5"/>
      <c r="E121" s="6">
        <v>8</v>
      </c>
      <c r="F121" s="5">
        <v>0.2154011847065159</v>
      </c>
      <c r="G121" s="5"/>
      <c r="H121" s="3" t="s">
        <v>96</v>
      </c>
      <c r="I121" s="90" t="s">
        <v>96</v>
      </c>
      <c r="J121" s="5"/>
      <c r="K121" s="3" t="s">
        <v>96</v>
      </c>
      <c r="L121" s="16" t="s">
        <v>96</v>
      </c>
      <c r="M121" s="5"/>
    </row>
    <row r="122" spans="1:13" ht="14.1" customHeight="1" x14ac:dyDescent="0.25">
      <c r="A122" s="61" t="s">
        <v>43</v>
      </c>
      <c r="B122" s="6">
        <v>107</v>
      </c>
      <c r="C122" s="5">
        <v>2.7857328820619633</v>
      </c>
      <c r="D122" s="5"/>
      <c r="E122" s="6">
        <v>96</v>
      </c>
      <c r="F122" s="5">
        <v>2.5848142164781907</v>
      </c>
      <c r="G122" s="5"/>
      <c r="H122" s="3">
        <v>10</v>
      </c>
      <c r="I122" s="90">
        <v>12.048192771084338</v>
      </c>
      <c r="J122" s="5"/>
      <c r="K122" s="3">
        <v>1</v>
      </c>
      <c r="L122" s="16">
        <v>2.2727272727272729</v>
      </c>
      <c r="M122" s="5"/>
    </row>
    <row r="123" spans="1:13" ht="14.1" customHeight="1" x14ac:dyDescent="0.25">
      <c r="A123" s="61" t="s">
        <v>44</v>
      </c>
      <c r="B123" s="6">
        <v>487</v>
      </c>
      <c r="C123" s="5">
        <v>12.678989846394167</v>
      </c>
      <c r="D123" s="5"/>
      <c r="E123" s="6">
        <v>461</v>
      </c>
      <c r="F123" s="5">
        <v>12.412493268712979</v>
      </c>
      <c r="G123" s="5"/>
      <c r="H123" s="3">
        <v>24</v>
      </c>
      <c r="I123" s="90">
        <v>28.915662650602407</v>
      </c>
      <c r="J123" s="5"/>
      <c r="K123" s="3">
        <v>2</v>
      </c>
      <c r="L123" s="16">
        <v>4.5454545454545459</v>
      </c>
      <c r="M123" s="5"/>
    </row>
    <row r="124" spans="1:13" ht="14.1" customHeight="1" x14ac:dyDescent="0.25">
      <c r="A124" s="61" t="s">
        <v>45</v>
      </c>
      <c r="B124" s="6">
        <v>7</v>
      </c>
      <c r="C124" s="5">
        <v>0.18224420723769852</v>
      </c>
      <c r="D124" s="5"/>
      <c r="E124" s="6">
        <v>7</v>
      </c>
      <c r="F124" s="5">
        <v>0.18847603661820139</v>
      </c>
      <c r="G124" s="5"/>
      <c r="H124" s="3" t="s">
        <v>96</v>
      </c>
      <c r="I124" s="16" t="s">
        <v>96</v>
      </c>
      <c r="J124" s="5"/>
      <c r="K124" s="3" t="s">
        <v>96</v>
      </c>
      <c r="L124" s="16" t="s">
        <v>96</v>
      </c>
      <c r="M124" s="5"/>
    </row>
    <row r="125" spans="1:13" ht="12" hidden="1" customHeight="1" x14ac:dyDescent="0.25">
      <c r="A125" s="61" t="s">
        <v>46</v>
      </c>
      <c r="B125" s="6">
        <v>6</v>
      </c>
      <c r="C125" s="5">
        <v>0.15620932048945588</v>
      </c>
      <c r="D125" s="5"/>
      <c r="E125" s="6">
        <v>6</v>
      </c>
      <c r="F125" s="5">
        <v>0.16155088852988692</v>
      </c>
      <c r="G125" s="5"/>
      <c r="H125" s="3" t="s">
        <v>96</v>
      </c>
      <c r="I125" s="16" t="s">
        <v>96</v>
      </c>
      <c r="J125" s="5"/>
      <c r="K125" s="3" t="s">
        <v>96</v>
      </c>
      <c r="L125" s="16" t="s">
        <v>96</v>
      </c>
      <c r="M125" s="5"/>
    </row>
    <row r="126" spans="1:13" ht="14.1" customHeight="1" x14ac:dyDescent="0.25">
      <c r="A126" s="61" t="s">
        <v>47</v>
      </c>
      <c r="B126" s="6">
        <v>9</v>
      </c>
      <c r="C126" s="5">
        <v>0.2343139807341838</v>
      </c>
      <c r="D126" s="5"/>
      <c r="E126" s="6">
        <v>9</v>
      </c>
      <c r="F126" s="5">
        <v>0.24232633279483037</v>
      </c>
      <c r="G126" s="5"/>
      <c r="H126" s="3" t="s">
        <v>96</v>
      </c>
      <c r="I126" s="16" t="s">
        <v>96</v>
      </c>
      <c r="J126" s="5"/>
      <c r="K126" s="3" t="s">
        <v>96</v>
      </c>
      <c r="L126" s="16" t="s">
        <v>96</v>
      </c>
      <c r="M126" s="5"/>
    </row>
    <row r="127" spans="1:13" ht="14.1" customHeight="1" x14ac:dyDescent="0.25">
      <c r="A127" s="68"/>
      <c r="B127" s="6"/>
      <c r="C127" s="15"/>
      <c r="D127" s="15"/>
      <c r="E127" s="9"/>
      <c r="F127" s="15"/>
      <c r="G127" s="15"/>
      <c r="H127" s="9"/>
      <c r="I127" s="15"/>
      <c r="J127" s="15"/>
      <c r="K127" s="9"/>
      <c r="L127" s="15"/>
      <c r="M127" s="15"/>
    </row>
    <row r="128" spans="1:13" ht="14.1" customHeight="1" x14ac:dyDescent="0.25">
      <c r="A128" s="63" t="s">
        <v>13</v>
      </c>
      <c r="B128" s="9">
        <v>7836</v>
      </c>
      <c r="C128" s="15">
        <v>100</v>
      </c>
      <c r="D128" s="15"/>
      <c r="E128" s="9">
        <v>7759</v>
      </c>
      <c r="F128" s="15">
        <v>100</v>
      </c>
      <c r="G128" s="9"/>
      <c r="H128" s="9">
        <v>66</v>
      </c>
      <c r="I128" s="15">
        <v>100</v>
      </c>
      <c r="J128" s="15"/>
      <c r="K128" s="9">
        <v>11</v>
      </c>
      <c r="L128" s="15">
        <v>100</v>
      </c>
      <c r="M128" s="15"/>
    </row>
    <row r="129" spans="1:13" ht="14.1" customHeight="1" x14ac:dyDescent="0.25">
      <c r="A129" s="61" t="s">
        <v>40</v>
      </c>
      <c r="B129" s="6">
        <v>6392</v>
      </c>
      <c r="C129" s="5">
        <v>81.472230729964281</v>
      </c>
      <c r="D129" s="5"/>
      <c r="E129" s="6">
        <v>6382</v>
      </c>
      <c r="F129" s="5">
        <v>82.252867637582156</v>
      </c>
      <c r="G129" s="5"/>
      <c r="H129" s="6">
        <v>10</v>
      </c>
      <c r="I129" s="5">
        <v>15.151515151515152</v>
      </c>
      <c r="J129" s="5"/>
      <c r="K129" s="3" t="s">
        <v>96</v>
      </c>
      <c r="L129" s="16" t="s">
        <v>96</v>
      </c>
      <c r="M129" s="3"/>
    </row>
    <row r="130" spans="1:13" ht="14.1" customHeight="1" x14ac:dyDescent="0.25">
      <c r="A130" s="61" t="s">
        <v>41</v>
      </c>
      <c r="B130" s="6">
        <v>569</v>
      </c>
      <c r="C130" s="5">
        <v>7.2613578356304238</v>
      </c>
      <c r="D130" s="5"/>
      <c r="E130" s="6">
        <v>530</v>
      </c>
      <c r="F130" s="5">
        <v>6.8307771620054138</v>
      </c>
      <c r="G130" s="5"/>
      <c r="H130" s="6">
        <v>30</v>
      </c>
      <c r="I130" s="5">
        <v>45.454545454545453</v>
      </c>
      <c r="J130" s="5"/>
      <c r="K130" s="3">
        <v>9</v>
      </c>
      <c r="L130" s="16">
        <v>81.818181818181827</v>
      </c>
      <c r="M130" s="3"/>
    </row>
    <row r="131" spans="1:13" ht="14.1" customHeight="1" x14ac:dyDescent="0.25">
      <c r="A131" s="61" t="s">
        <v>42</v>
      </c>
      <c r="B131" s="6">
        <v>6</v>
      </c>
      <c r="C131" s="5">
        <v>7.6569678407350697E-2</v>
      </c>
      <c r="D131" s="5"/>
      <c r="E131" s="6">
        <v>6</v>
      </c>
      <c r="F131" s="5">
        <v>7.7329552777419777E-2</v>
      </c>
      <c r="G131" s="5"/>
      <c r="H131" s="3" t="s">
        <v>96</v>
      </c>
      <c r="I131" s="3" t="s">
        <v>96</v>
      </c>
      <c r="J131" s="5"/>
      <c r="K131" s="3" t="s">
        <v>96</v>
      </c>
      <c r="L131" s="16" t="s">
        <v>96</v>
      </c>
      <c r="M131" s="3"/>
    </row>
    <row r="132" spans="1:13" ht="14.1" customHeight="1" x14ac:dyDescent="0.25">
      <c r="A132" s="61" t="s">
        <v>43</v>
      </c>
      <c r="B132" s="6">
        <v>212</v>
      </c>
      <c r="C132" s="5">
        <v>2.7054619703930576</v>
      </c>
      <c r="D132" s="5"/>
      <c r="E132" s="6">
        <v>204</v>
      </c>
      <c r="F132" s="5">
        <v>2.6292047944322725</v>
      </c>
      <c r="G132" s="5"/>
      <c r="H132" s="6">
        <v>7</v>
      </c>
      <c r="I132" s="5">
        <v>10.606060606060606</v>
      </c>
      <c r="J132" s="5"/>
      <c r="K132" s="3">
        <v>1</v>
      </c>
      <c r="L132" s="16">
        <v>9.0909090909090917</v>
      </c>
      <c r="M132" s="5"/>
    </row>
    <row r="133" spans="1:13" ht="14.1" customHeight="1" x14ac:dyDescent="0.25">
      <c r="A133" s="61" t="s">
        <v>44</v>
      </c>
      <c r="B133" s="6">
        <v>589</v>
      </c>
      <c r="C133" s="5">
        <v>7.51659009698826</v>
      </c>
      <c r="D133" s="5"/>
      <c r="E133" s="6">
        <v>572</v>
      </c>
      <c r="F133" s="5">
        <v>7.3720840314473515</v>
      </c>
      <c r="G133" s="5"/>
      <c r="H133" s="6">
        <v>16</v>
      </c>
      <c r="I133" s="5">
        <v>24.242424242424242</v>
      </c>
      <c r="J133" s="5"/>
      <c r="K133" s="3">
        <v>1</v>
      </c>
      <c r="L133" s="16">
        <v>9.0909090909090917</v>
      </c>
      <c r="M133" s="5"/>
    </row>
    <row r="134" spans="1:13" ht="15.75" customHeight="1" x14ac:dyDescent="0.25">
      <c r="A134" s="61" t="s">
        <v>45</v>
      </c>
      <c r="B134" s="6">
        <v>51</v>
      </c>
      <c r="C134" s="5">
        <v>0.65084226646248089</v>
      </c>
      <c r="D134" s="5"/>
      <c r="E134" s="6">
        <v>49</v>
      </c>
      <c r="F134" s="5">
        <v>0.63152468101559478</v>
      </c>
      <c r="G134" s="5"/>
      <c r="H134" s="6">
        <v>2</v>
      </c>
      <c r="I134" s="5">
        <v>3.0303030303030303</v>
      </c>
      <c r="J134" s="5"/>
      <c r="K134" s="3" t="s">
        <v>96</v>
      </c>
      <c r="L134" s="16" t="s">
        <v>96</v>
      </c>
      <c r="M134" s="5"/>
    </row>
    <row r="135" spans="1:13" ht="11.25" hidden="1" customHeight="1" x14ac:dyDescent="0.25">
      <c r="A135" s="61" t="s">
        <v>46</v>
      </c>
      <c r="B135" s="6">
        <v>8</v>
      </c>
      <c r="C135" s="5">
        <v>0.10209290454313426</v>
      </c>
      <c r="D135" s="5"/>
      <c r="E135" s="6">
        <v>7</v>
      </c>
      <c r="F135" s="5">
        <v>9.0217811573656395E-2</v>
      </c>
      <c r="G135" s="5"/>
      <c r="H135" s="6">
        <v>1</v>
      </c>
      <c r="I135" s="5">
        <v>1.5151515151515151</v>
      </c>
      <c r="J135" s="5"/>
      <c r="K135" s="3" t="s">
        <v>96</v>
      </c>
      <c r="L135" s="16" t="s">
        <v>96</v>
      </c>
      <c r="M135" s="5"/>
    </row>
    <row r="136" spans="1:13" ht="14.1" customHeight="1" x14ac:dyDescent="0.25">
      <c r="A136" s="61" t="s">
        <v>47</v>
      </c>
      <c r="B136" s="6">
        <v>17</v>
      </c>
      <c r="C136" s="5">
        <v>0.2169474221541603</v>
      </c>
      <c r="D136" s="5"/>
      <c r="E136" s="6">
        <v>16</v>
      </c>
      <c r="F136" s="5">
        <v>0.20621214073978605</v>
      </c>
      <c r="G136" s="5"/>
      <c r="H136" s="6">
        <v>1</v>
      </c>
      <c r="I136" s="5">
        <v>1.5151515151515151</v>
      </c>
      <c r="J136" s="5"/>
      <c r="K136" s="3" t="s">
        <v>96</v>
      </c>
      <c r="L136" s="16" t="s">
        <v>96</v>
      </c>
      <c r="M136" s="5"/>
    </row>
    <row r="137" spans="1:13" ht="14.1" customHeight="1" x14ac:dyDescent="0.25">
      <c r="A137" s="68"/>
      <c r="B137" s="6"/>
      <c r="C137" s="15"/>
      <c r="D137" s="15"/>
      <c r="E137" s="9"/>
      <c r="F137" s="15"/>
      <c r="G137" s="15"/>
      <c r="H137" s="9"/>
      <c r="I137" s="15"/>
      <c r="J137" s="15"/>
      <c r="K137" s="9"/>
      <c r="L137" s="15"/>
      <c r="M137" s="15"/>
    </row>
    <row r="138" spans="1:13" ht="14.1" customHeight="1" x14ac:dyDescent="0.25">
      <c r="A138" s="63" t="s">
        <v>12</v>
      </c>
      <c r="B138" s="9">
        <v>11744</v>
      </c>
      <c r="C138" s="15">
        <v>100</v>
      </c>
      <c r="D138" s="15"/>
      <c r="E138" s="9">
        <v>11479</v>
      </c>
      <c r="F138" s="15">
        <v>100</v>
      </c>
      <c r="G138" s="15"/>
      <c r="H138" s="9">
        <v>224</v>
      </c>
      <c r="I138" s="15">
        <v>100</v>
      </c>
      <c r="J138" s="15"/>
      <c r="K138" s="9">
        <v>41</v>
      </c>
      <c r="L138" s="15">
        <v>100</v>
      </c>
      <c r="M138" s="15"/>
    </row>
    <row r="139" spans="1:13" ht="14.1" customHeight="1" x14ac:dyDescent="0.25">
      <c r="A139" s="61" t="s">
        <v>40</v>
      </c>
      <c r="B139" s="6">
        <v>9070</v>
      </c>
      <c r="C139" s="5">
        <v>77.240926430517717</v>
      </c>
      <c r="D139" s="5"/>
      <c r="E139" s="6">
        <v>9052</v>
      </c>
      <c r="F139" s="5">
        <v>78.757043296454398</v>
      </c>
      <c r="G139" s="5"/>
      <c r="H139" s="6">
        <v>18</v>
      </c>
      <c r="I139" s="5">
        <v>8.0357142857142865</v>
      </c>
      <c r="J139" s="5"/>
      <c r="K139" s="3" t="s">
        <v>96</v>
      </c>
      <c r="L139" s="16" t="s">
        <v>96</v>
      </c>
      <c r="M139" s="5"/>
    </row>
    <row r="140" spans="1:13" ht="14.1" customHeight="1" x14ac:dyDescent="0.25">
      <c r="A140" s="61" t="s">
        <v>41</v>
      </c>
      <c r="B140" s="6">
        <v>1417</v>
      </c>
      <c r="C140" s="5">
        <v>11.965735694822888</v>
      </c>
      <c r="D140" s="5"/>
      <c r="E140" s="6">
        <v>1230</v>
      </c>
      <c r="F140" s="5">
        <v>10.715219095740046</v>
      </c>
      <c r="G140" s="5"/>
      <c r="H140" s="6">
        <v>149</v>
      </c>
      <c r="I140" s="5">
        <v>66.717857142857142</v>
      </c>
      <c r="J140" s="5"/>
      <c r="K140" s="3">
        <v>38</v>
      </c>
      <c r="L140" s="16">
        <v>92.782926829268291</v>
      </c>
      <c r="M140" s="5"/>
    </row>
    <row r="141" spans="1:13" ht="14.1" customHeight="1" x14ac:dyDescent="0.25">
      <c r="A141" s="61" t="s">
        <v>42</v>
      </c>
      <c r="B141" s="6">
        <v>7</v>
      </c>
      <c r="C141" s="5">
        <v>5.9604904632152587E-2</v>
      </c>
      <c r="D141" s="5"/>
      <c r="E141" s="6">
        <v>7</v>
      </c>
      <c r="F141" s="5">
        <v>6.0980921683073439E-2</v>
      </c>
      <c r="G141" s="5"/>
      <c r="H141" s="3" t="s">
        <v>96</v>
      </c>
      <c r="I141" s="3" t="s">
        <v>96</v>
      </c>
      <c r="J141" s="5"/>
      <c r="K141" s="3" t="s">
        <v>96</v>
      </c>
      <c r="L141" s="16" t="s">
        <v>96</v>
      </c>
      <c r="M141" s="5"/>
    </row>
    <row r="142" spans="1:13" ht="14.1" customHeight="1" x14ac:dyDescent="0.25">
      <c r="A142" s="61" t="s">
        <v>43</v>
      </c>
      <c r="B142" s="6">
        <v>231</v>
      </c>
      <c r="C142" s="5">
        <v>1.9669618528610353</v>
      </c>
      <c r="D142" s="5"/>
      <c r="E142" s="6">
        <v>212</v>
      </c>
      <c r="F142" s="5">
        <v>1.8468507709730815</v>
      </c>
      <c r="G142" s="5"/>
      <c r="H142" s="6">
        <v>18</v>
      </c>
      <c r="I142" s="5">
        <v>8.0357142857142865</v>
      </c>
      <c r="J142" s="5"/>
      <c r="K142" s="3">
        <v>1</v>
      </c>
      <c r="L142" s="16">
        <v>2.4390243902439024</v>
      </c>
      <c r="M142" s="5"/>
    </row>
    <row r="143" spans="1:13" ht="14.1" customHeight="1" x14ac:dyDescent="0.25">
      <c r="A143" s="61" t="s">
        <v>44</v>
      </c>
      <c r="B143" s="6">
        <v>998</v>
      </c>
      <c r="C143" s="5">
        <v>8.4979564032697539</v>
      </c>
      <c r="D143" s="5"/>
      <c r="E143" s="6">
        <v>960</v>
      </c>
      <c r="F143" s="5">
        <v>8.3630978308215003</v>
      </c>
      <c r="G143" s="5"/>
      <c r="H143" s="6">
        <v>37</v>
      </c>
      <c r="I143" s="5">
        <v>16.517857142857142</v>
      </c>
      <c r="J143" s="5"/>
      <c r="K143" s="3">
        <v>1</v>
      </c>
      <c r="L143" s="16">
        <v>2.4390243902439024</v>
      </c>
      <c r="M143" s="5"/>
    </row>
    <row r="144" spans="1:13" ht="14.1" customHeight="1" x14ac:dyDescent="0.25">
      <c r="A144" s="61" t="s">
        <v>45</v>
      </c>
      <c r="B144" s="6">
        <v>13</v>
      </c>
      <c r="C144" s="5">
        <v>0.11069482288828339</v>
      </c>
      <c r="D144" s="5"/>
      <c r="E144" s="6">
        <v>11</v>
      </c>
      <c r="F144" s="5">
        <v>9.5827162644829683E-2</v>
      </c>
      <c r="G144" s="5"/>
      <c r="H144" s="6">
        <v>1</v>
      </c>
      <c r="I144" s="5">
        <v>0.4464285714285714</v>
      </c>
      <c r="J144" s="5"/>
      <c r="K144" s="3">
        <v>1</v>
      </c>
      <c r="L144" s="16">
        <v>2.4390243902439024</v>
      </c>
      <c r="M144" s="5"/>
    </row>
    <row r="145" spans="1:14" ht="10.5" hidden="1" customHeight="1" x14ac:dyDescent="0.25">
      <c r="A145" s="61" t="s">
        <v>46</v>
      </c>
      <c r="B145" s="6">
        <v>3</v>
      </c>
      <c r="C145" s="5">
        <v>2.5544959128065394E-2</v>
      </c>
      <c r="D145" s="5"/>
      <c r="E145" s="6">
        <v>2</v>
      </c>
      <c r="F145" s="5">
        <v>1.7423120480878126E-2</v>
      </c>
      <c r="G145" s="5"/>
      <c r="H145" s="6">
        <v>1</v>
      </c>
      <c r="I145" s="5">
        <v>0.4464285714285714</v>
      </c>
      <c r="J145" s="5"/>
      <c r="K145" s="3" t="s">
        <v>96</v>
      </c>
      <c r="L145" s="16" t="s">
        <v>96</v>
      </c>
      <c r="M145" s="5"/>
    </row>
    <row r="146" spans="1:14" ht="14.1" customHeight="1" x14ac:dyDescent="0.25">
      <c r="A146" s="61" t="s">
        <v>47</v>
      </c>
      <c r="B146" s="6">
        <v>8</v>
      </c>
      <c r="C146" s="5">
        <v>6.811989100817438E-2</v>
      </c>
      <c r="D146" s="5"/>
      <c r="E146" s="6">
        <v>7</v>
      </c>
      <c r="F146" s="5">
        <v>6.0980921683073439E-2</v>
      </c>
      <c r="G146" s="5"/>
      <c r="H146" s="6">
        <v>1</v>
      </c>
      <c r="I146" s="5">
        <v>0.4464285714285714</v>
      </c>
      <c r="J146" s="5"/>
      <c r="K146" s="3" t="s">
        <v>96</v>
      </c>
      <c r="L146" s="16" t="s">
        <v>96</v>
      </c>
      <c r="M146" s="5"/>
    </row>
    <row r="147" spans="1:14" ht="14.1" customHeight="1" x14ac:dyDescent="0.25">
      <c r="A147" s="68"/>
      <c r="B147" s="9"/>
      <c r="C147" s="15"/>
      <c r="D147" s="15"/>
      <c r="E147" s="9"/>
      <c r="F147" s="15"/>
      <c r="G147" s="15"/>
      <c r="H147" s="9"/>
      <c r="I147" s="15"/>
      <c r="J147" s="15"/>
      <c r="K147" s="9"/>
      <c r="L147" s="15"/>
      <c r="M147" s="15"/>
    </row>
    <row r="148" spans="1:14" ht="14.1" customHeight="1" x14ac:dyDescent="0.25">
      <c r="A148" s="63" t="s">
        <v>11</v>
      </c>
      <c r="B148" s="9">
        <v>6495</v>
      </c>
      <c r="C148" s="15">
        <v>100</v>
      </c>
      <c r="D148" s="15"/>
      <c r="E148" s="9">
        <v>6342</v>
      </c>
      <c r="F148" s="15">
        <v>100</v>
      </c>
      <c r="G148" s="15"/>
      <c r="H148" s="9">
        <v>111</v>
      </c>
      <c r="I148" s="15">
        <v>100</v>
      </c>
      <c r="J148" s="15"/>
      <c r="K148" s="9">
        <v>42</v>
      </c>
      <c r="L148" s="15">
        <v>100</v>
      </c>
      <c r="M148" s="15"/>
    </row>
    <row r="149" spans="1:14" ht="14.1" customHeight="1" x14ac:dyDescent="0.25">
      <c r="A149" s="61" t="s">
        <v>40</v>
      </c>
      <c r="B149" s="6">
        <v>5290</v>
      </c>
      <c r="C149" s="5">
        <v>81.647267128560429</v>
      </c>
      <c r="D149" s="5"/>
      <c r="E149" s="6">
        <v>5281</v>
      </c>
      <c r="F149" s="5">
        <v>83.370261747082935</v>
      </c>
      <c r="G149" s="5"/>
      <c r="H149" s="6">
        <v>9</v>
      </c>
      <c r="I149" s="5">
        <v>8.1081081081081088</v>
      </c>
      <c r="J149" s="5"/>
      <c r="K149" s="3" t="s">
        <v>96</v>
      </c>
      <c r="L149" s="16" t="s">
        <v>96</v>
      </c>
      <c r="M149" s="5"/>
    </row>
    <row r="150" spans="1:14" ht="14.1" customHeight="1" x14ac:dyDescent="0.25">
      <c r="A150" s="61" t="s">
        <v>41</v>
      </c>
      <c r="B150" s="6">
        <v>558</v>
      </c>
      <c r="C150" s="5">
        <v>8.5912240184757493</v>
      </c>
      <c r="D150" s="5"/>
      <c r="E150" s="6">
        <v>458</v>
      </c>
      <c r="F150" s="5">
        <v>7.2216966256701358</v>
      </c>
      <c r="G150" s="5"/>
      <c r="H150" s="6">
        <v>67</v>
      </c>
      <c r="I150" s="5">
        <v>60.360360360360367</v>
      </c>
      <c r="J150" s="5"/>
      <c r="K150" s="3">
        <v>33</v>
      </c>
      <c r="L150" s="16">
        <v>78.571428571428569</v>
      </c>
      <c r="M150" s="5"/>
    </row>
    <row r="151" spans="1:14" ht="14.1" customHeight="1" x14ac:dyDescent="0.25">
      <c r="A151" s="61" t="s">
        <v>42</v>
      </c>
      <c r="B151" s="6">
        <v>3</v>
      </c>
      <c r="C151" s="5">
        <v>4.6189376443418015E-2</v>
      </c>
      <c r="D151" s="5"/>
      <c r="E151" s="6">
        <v>3</v>
      </c>
      <c r="F151" s="5">
        <v>4.730368968779565E-2</v>
      </c>
      <c r="G151" s="3"/>
      <c r="H151" s="156" t="s">
        <v>96</v>
      </c>
      <c r="I151" s="157" t="s">
        <v>96</v>
      </c>
      <c r="J151" s="3"/>
      <c r="K151" s="3" t="s">
        <v>96</v>
      </c>
      <c r="L151" s="16" t="s">
        <v>96</v>
      </c>
      <c r="M151" s="5"/>
    </row>
    <row r="152" spans="1:14" ht="14.1" customHeight="1" x14ac:dyDescent="0.25">
      <c r="A152" s="61" t="s">
        <v>43</v>
      </c>
      <c r="B152" s="6">
        <v>164</v>
      </c>
      <c r="C152" s="5">
        <v>2.5250192455735179</v>
      </c>
      <c r="D152" s="5"/>
      <c r="E152" s="6">
        <v>147</v>
      </c>
      <c r="F152" s="5">
        <v>2.3178807947019866</v>
      </c>
      <c r="G152" s="5"/>
      <c r="H152" s="156">
        <v>11</v>
      </c>
      <c r="I152" s="157">
        <v>9.9099099099099099</v>
      </c>
      <c r="J152" s="5"/>
      <c r="K152" s="3">
        <v>6</v>
      </c>
      <c r="L152" s="16">
        <v>14.285714285714285</v>
      </c>
      <c r="M152" s="5"/>
    </row>
    <row r="153" spans="1:14" ht="14.1" customHeight="1" x14ac:dyDescent="0.25">
      <c r="A153" s="61" t="s">
        <v>44</v>
      </c>
      <c r="B153" s="6">
        <v>470</v>
      </c>
      <c r="C153" s="5">
        <v>7.236335642802155</v>
      </c>
      <c r="D153" s="5"/>
      <c r="E153" s="6">
        <v>443</v>
      </c>
      <c r="F153" s="5">
        <v>6.9851781772311581</v>
      </c>
      <c r="G153" s="5"/>
      <c r="H153" s="156">
        <v>24</v>
      </c>
      <c r="I153" s="157">
        <v>21.621621621621621</v>
      </c>
      <c r="J153" s="5"/>
      <c r="K153" s="3">
        <v>3</v>
      </c>
      <c r="L153" s="16">
        <v>7.1428571428571423</v>
      </c>
      <c r="M153" s="5"/>
    </row>
    <row r="154" spans="1:14" ht="14.1" customHeight="1" x14ac:dyDescent="0.25">
      <c r="A154" s="61" t="s">
        <v>45</v>
      </c>
      <c r="B154" s="6">
        <v>9</v>
      </c>
      <c r="C154" s="5">
        <v>0.13856812933025403</v>
      </c>
      <c r="D154" s="5"/>
      <c r="E154" s="6">
        <v>9</v>
      </c>
      <c r="F154" s="5">
        <v>0.14191106906338694</v>
      </c>
      <c r="G154" s="5"/>
      <c r="H154" s="156" t="s">
        <v>96</v>
      </c>
      <c r="I154" s="157" t="s">
        <v>96</v>
      </c>
      <c r="J154" s="5"/>
      <c r="K154" s="3" t="s">
        <v>96</v>
      </c>
      <c r="L154" s="16" t="s">
        <v>96</v>
      </c>
      <c r="M154" s="5"/>
    </row>
    <row r="155" spans="1:14" ht="12.75" hidden="1" customHeight="1" x14ac:dyDescent="0.25">
      <c r="A155" s="61" t="s">
        <v>46</v>
      </c>
      <c r="B155" s="3" t="s">
        <v>96</v>
      </c>
      <c r="C155" s="16" t="s">
        <v>96</v>
      </c>
      <c r="D155" s="16"/>
      <c r="E155" s="3" t="s">
        <v>96</v>
      </c>
      <c r="F155" s="3" t="s">
        <v>96</v>
      </c>
      <c r="G155" s="5"/>
      <c r="H155" s="156" t="s">
        <v>96</v>
      </c>
      <c r="I155" s="157" t="s">
        <v>96</v>
      </c>
      <c r="J155" s="5"/>
      <c r="K155" s="3" t="s">
        <v>96</v>
      </c>
      <c r="L155" s="16" t="s">
        <v>96</v>
      </c>
      <c r="M155" s="5"/>
    </row>
    <row r="156" spans="1:14" ht="14.1" customHeight="1" x14ac:dyDescent="0.25">
      <c r="A156" s="61" t="s">
        <v>47</v>
      </c>
      <c r="B156" s="6">
        <v>1</v>
      </c>
      <c r="C156" s="98">
        <v>1.5396458814472672E-2</v>
      </c>
      <c r="D156" s="98"/>
      <c r="E156" s="97">
        <v>1</v>
      </c>
      <c r="F156" s="98">
        <v>1.5767896562598548E-2</v>
      </c>
      <c r="G156" s="5"/>
      <c r="H156" s="156" t="s">
        <v>96</v>
      </c>
      <c r="I156" s="157" t="s">
        <v>96</v>
      </c>
      <c r="J156" s="5"/>
      <c r="K156" s="3" t="s">
        <v>96</v>
      </c>
      <c r="L156" s="16" t="s">
        <v>96</v>
      </c>
      <c r="M156" s="5"/>
    </row>
    <row r="157" spans="1:14" ht="14.1" customHeight="1" x14ac:dyDescent="0.25">
      <c r="A157" s="61"/>
      <c r="B157" s="6"/>
      <c r="C157" s="5"/>
      <c r="D157" s="5"/>
      <c r="E157" s="6"/>
      <c r="F157" s="5"/>
      <c r="G157" s="5"/>
      <c r="H157" s="6"/>
      <c r="I157" s="5"/>
      <c r="J157" s="5"/>
      <c r="K157" s="6"/>
      <c r="L157" s="5"/>
      <c r="M157" s="5"/>
    </row>
    <row r="158" spans="1:14" ht="14.1" customHeight="1" x14ac:dyDescent="0.25">
      <c r="A158" s="63" t="s">
        <v>75</v>
      </c>
      <c r="B158" s="9">
        <v>116895</v>
      </c>
      <c r="C158" s="15">
        <v>100</v>
      </c>
      <c r="D158" s="15"/>
      <c r="E158" s="9">
        <v>110701</v>
      </c>
      <c r="F158" s="15">
        <v>100</v>
      </c>
      <c r="G158" s="15"/>
      <c r="H158" s="9">
        <v>4881</v>
      </c>
      <c r="I158" s="15">
        <v>100</v>
      </c>
      <c r="J158" s="15"/>
      <c r="K158" s="9">
        <v>1313</v>
      </c>
      <c r="L158" s="15">
        <v>100</v>
      </c>
      <c r="M158" s="15"/>
    </row>
    <row r="159" spans="1:14" ht="14.1" customHeight="1" x14ac:dyDescent="0.25">
      <c r="A159" s="61" t="s">
        <v>40</v>
      </c>
      <c r="B159" s="6">
        <v>72337</v>
      </c>
      <c r="C159" s="5">
        <v>61.88203088241584</v>
      </c>
      <c r="D159" s="5"/>
      <c r="E159" s="6">
        <v>72141</v>
      </c>
      <c r="F159" s="5">
        <v>65.167432995185223</v>
      </c>
      <c r="G159" s="5"/>
      <c r="H159" s="6">
        <v>190</v>
      </c>
      <c r="I159" s="5">
        <v>3.8926449498053675</v>
      </c>
      <c r="J159" s="5"/>
      <c r="K159" s="6">
        <v>6</v>
      </c>
      <c r="L159" s="5">
        <v>0.45696877380045697</v>
      </c>
      <c r="M159" s="5"/>
      <c r="N159" s="37" t="e">
        <f>SUM(#REF!)</f>
        <v>#REF!</v>
      </c>
    </row>
    <row r="160" spans="1:14" ht="14.1" customHeight="1" x14ac:dyDescent="0.25">
      <c r="A160" s="61" t="s">
        <v>41</v>
      </c>
      <c r="B160" s="6">
        <v>27614</v>
      </c>
      <c r="C160" s="5">
        <v>23.622909448650496</v>
      </c>
      <c r="D160" s="5"/>
      <c r="E160" s="6">
        <v>22993</v>
      </c>
      <c r="F160" s="5">
        <v>20.770363411351298</v>
      </c>
      <c r="G160" s="5"/>
      <c r="H160" s="6">
        <v>3454</v>
      </c>
      <c r="I160" s="5">
        <v>70.664187666461785</v>
      </c>
      <c r="J160" s="5"/>
      <c r="K160" s="6">
        <v>1167</v>
      </c>
      <c r="L160" s="5">
        <v>88.680426504188873</v>
      </c>
      <c r="M160" s="5"/>
    </row>
    <row r="161" spans="1:13" ht="14.1" customHeight="1" x14ac:dyDescent="0.25">
      <c r="A161" s="61" t="s">
        <v>42</v>
      </c>
      <c r="B161" s="6">
        <v>361</v>
      </c>
      <c r="C161" s="5">
        <v>0.30882415843278155</v>
      </c>
      <c r="D161" s="5"/>
      <c r="E161" s="6">
        <v>351</v>
      </c>
      <c r="F161" s="5">
        <v>0.31707030650129631</v>
      </c>
      <c r="G161" s="5"/>
      <c r="H161" s="6">
        <v>7</v>
      </c>
      <c r="I161" s="5">
        <v>0.14341323499282935</v>
      </c>
      <c r="J161" s="5"/>
      <c r="K161" s="6">
        <v>3</v>
      </c>
      <c r="L161" s="5">
        <v>0.22848438690022849</v>
      </c>
      <c r="M161" s="5"/>
    </row>
    <row r="162" spans="1:13" ht="14.1" customHeight="1" x14ac:dyDescent="0.25">
      <c r="A162" s="61" t="s">
        <v>43</v>
      </c>
      <c r="B162" s="6">
        <v>2879</v>
      </c>
      <c r="C162" s="5">
        <v>2.4628940502160059</v>
      </c>
      <c r="D162" s="5"/>
      <c r="E162" s="6">
        <v>2374</v>
      </c>
      <c r="F162" s="5">
        <v>2.1445154063648926</v>
      </c>
      <c r="G162" s="5"/>
      <c r="H162" s="6">
        <v>432</v>
      </c>
      <c r="I162" s="5">
        <v>8.8506453595574666</v>
      </c>
      <c r="J162" s="5"/>
      <c r="K162" s="6">
        <v>73</v>
      </c>
      <c r="L162" s="5">
        <v>5.5597867479055596</v>
      </c>
      <c r="M162" s="5"/>
    </row>
    <row r="163" spans="1:13" ht="14.1" customHeight="1" x14ac:dyDescent="0.25">
      <c r="A163" s="61" t="s">
        <v>44</v>
      </c>
      <c r="B163" s="6">
        <v>13526</v>
      </c>
      <c r="C163" s="5">
        <v>11.571068052525771</v>
      </c>
      <c r="D163" s="5"/>
      <c r="E163" s="6">
        <v>12699</v>
      </c>
      <c r="F163" s="5">
        <v>11.47144108905972</v>
      </c>
      <c r="G163" s="5"/>
      <c r="H163" s="6">
        <v>775</v>
      </c>
      <c r="I163" s="5">
        <v>15.877893874206105</v>
      </c>
      <c r="J163" s="5"/>
      <c r="K163" s="6">
        <v>52</v>
      </c>
      <c r="L163" s="5">
        <v>3.9603960396039604</v>
      </c>
      <c r="M163" s="5"/>
    </row>
    <row r="164" spans="1:13" ht="14.1" customHeight="1" x14ac:dyDescent="0.25">
      <c r="A164" s="61" t="s">
        <v>45</v>
      </c>
      <c r="B164" s="6">
        <v>40</v>
      </c>
      <c r="C164" s="5">
        <v>3.4218743316651694E-2</v>
      </c>
      <c r="D164" s="16"/>
      <c r="E164" s="6">
        <v>32</v>
      </c>
      <c r="F164" s="5">
        <v>2.8906694609804787E-2</v>
      </c>
      <c r="G164" s="5"/>
      <c r="H164" s="6">
        <v>6</v>
      </c>
      <c r="I164" s="5">
        <v>0.12505210504376824</v>
      </c>
      <c r="J164" s="5"/>
      <c r="K164" s="6">
        <v>2</v>
      </c>
      <c r="L164" s="5">
        <v>0.15232292460015232</v>
      </c>
      <c r="M164" s="5"/>
    </row>
    <row r="165" spans="1:13" ht="12.75" hidden="1" customHeight="1" x14ac:dyDescent="0.25">
      <c r="A165" s="61" t="s">
        <v>46</v>
      </c>
      <c r="B165" s="6">
        <v>14</v>
      </c>
      <c r="C165" s="5">
        <v>1.2349926341510749E-2</v>
      </c>
      <c r="D165" s="5"/>
      <c r="E165" s="6">
        <v>12</v>
      </c>
      <c r="F165" s="5">
        <v>1.1185786593834767E-2</v>
      </c>
      <c r="G165" s="5"/>
      <c r="H165" s="6">
        <v>2</v>
      </c>
      <c r="I165" s="5">
        <v>4.1684035014589414E-2</v>
      </c>
      <c r="J165" s="6"/>
      <c r="K165" s="3" t="s">
        <v>96</v>
      </c>
      <c r="L165" s="3" t="s">
        <v>96</v>
      </c>
      <c r="M165" s="5"/>
    </row>
    <row r="166" spans="1:13" ht="14.1" customHeight="1" x14ac:dyDescent="0.25">
      <c r="A166" s="61" t="s">
        <v>47</v>
      </c>
      <c r="B166" s="6">
        <v>138</v>
      </c>
      <c r="C166" s="5">
        <v>0.11805466444244836</v>
      </c>
      <c r="D166" s="5"/>
      <c r="E166" s="6">
        <v>111</v>
      </c>
      <c r="F166" s="5">
        <v>0.10027009692776037</v>
      </c>
      <c r="G166" s="5"/>
      <c r="H166" s="6">
        <v>17</v>
      </c>
      <c r="I166" s="5">
        <v>0.35431429762401001</v>
      </c>
      <c r="J166" s="5"/>
      <c r="K166" s="6">
        <v>10</v>
      </c>
      <c r="L166" s="5">
        <v>0.76161462300076166</v>
      </c>
      <c r="M166" s="5"/>
    </row>
    <row r="167" spans="1:13" ht="14.1" customHeight="1" x14ac:dyDescent="0.25">
      <c r="A167" s="61"/>
      <c r="B167" s="9"/>
      <c r="C167" s="15"/>
      <c r="D167" s="15"/>
      <c r="E167" s="9"/>
      <c r="F167" s="15"/>
      <c r="G167" s="15"/>
      <c r="H167" s="9"/>
      <c r="I167" s="15"/>
      <c r="J167" s="15"/>
      <c r="K167" s="9"/>
      <c r="L167" s="15"/>
      <c r="M167" s="15"/>
    </row>
    <row r="168" spans="1:13" ht="14.1" customHeight="1" x14ac:dyDescent="0.25">
      <c r="A168" s="63" t="s">
        <v>10</v>
      </c>
      <c r="B168" s="9">
        <v>3155</v>
      </c>
      <c r="C168" s="15">
        <v>100</v>
      </c>
      <c r="D168" s="15"/>
      <c r="E168" s="9">
        <v>3082</v>
      </c>
      <c r="F168" s="15">
        <v>100</v>
      </c>
      <c r="G168" s="15"/>
      <c r="H168" s="9">
        <v>64</v>
      </c>
      <c r="I168" s="15">
        <v>100</v>
      </c>
      <c r="J168" s="15"/>
      <c r="K168" s="9">
        <v>9</v>
      </c>
      <c r="L168" s="15">
        <v>100</v>
      </c>
      <c r="M168" s="15"/>
    </row>
    <row r="169" spans="1:13" ht="14.1" customHeight="1" x14ac:dyDescent="0.25">
      <c r="A169" s="61" t="s">
        <v>40</v>
      </c>
      <c r="B169" s="6">
        <v>2476</v>
      </c>
      <c r="C169" s="5">
        <v>78.478605388272584</v>
      </c>
      <c r="D169" s="5"/>
      <c r="E169" s="6">
        <v>2469</v>
      </c>
      <c r="F169" s="5">
        <v>80.010317975340683</v>
      </c>
      <c r="G169" s="5"/>
      <c r="H169" s="6">
        <v>7</v>
      </c>
      <c r="I169" s="16">
        <v>10.9375</v>
      </c>
      <c r="J169" s="5"/>
      <c r="K169" s="3" t="s">
        <v>96</v>
      </c>
      <c r="L169" s="16" t="s">
        <v>96</v>
      </c>
      <c r="M169" s="5"/>
    </row>
    <row r="170" spans="1:13" ht="14.1" customHeight="1" x14ac:dyDescent="0.25">
      <c r="A170" s="61" t="s">
        <v>41</v>
      </c>
      <c r="B170" s="6">
        <v>199</v>
      </c>
      <c r="C170" s="5">
        <v>6.307448494453249</v>
      </c>
      <c r="D170" s="5"/>
      <c r="E170" s="6">
        <v>173</v>
      </c>
      <c r="F170" s="5">
        <v>5.6132381570408825</v>
      </c>
      <c r="G170" s="5"/>
      <c r="H170" s="6">
        <v>19</v>
      </c>
      <c r="I170" s="16">
        <v>29.6875</v>
      </c>
      <c r="J170" s="5"/>
      <c r="K170" s="3">
        <v>7</v>
      </c>
      <c r="L170" s="16">
        <v>77.777777777777786</v>
      </c>
      <c r="M170" s="5"/>
    </row>
    <row r="171" spans="1:13" ht="14.1" customHeight="1" x14ac:dyDescent="0.25">
      <c r="A171" s="61" t="s">
        <v>42</v>
      </c>
      <c r="B171" s="6">
        <v>2</v>
      </c>
      <c r="C171" s="5">
        <v>6.3391442155309036E-2</v>
      </c>
      <c r="D171" s="5"/>
      <c r="E171" s="6">
        <v>2</v>
      </c>
      <c r="F171" s="5">
        <v>6.4892926670992862E-2</v>
      </c>
      <c r="G171" s="5"/>
      <c r="H171" s="3" t="s">
        <v>96</v>
      </c>
      <c r="I171" s="16" t="s">
        <v>96</v>
      </c>
      <c r="J171" s="37"/>
      <c r="K171" s="3" t="s">
        <v>96</v>
      </c>
      <c r="L171" s="16" t="s">
        <v>96</v>
      </c>
      <c r="M171" s="5"/>
    </row>
    <row r="172" spans="1:13" ht="14.1" customHeight="1" x14ac:dyDescent="0.25">
      <c r="A172" s="61" t="s">
        <v>43</v>
      </c>
      <c r="B172" s="6">
        <v>93</v>
      </c>
      <c r="C172" s="5">
        <v>2.9477020602218702</v>
      </c>
      <c r="D172" s="5"/>
      <c r="E172" s="6">
        <v>79</v>
      </c>
      <c r="F172" s="5">
        <v>2.5632706035042179</v>
      </c>
      <c r="G172" s="5"/>
      <c r="H172" s="3">
        <v>13</v>
      </c>
      <c r="I172" s="16">
        <v>20.3125</v>
      </c>
      <c r="J172" s="5"/>
      <c r="K172" s="3">
        <v>1</v>
      </c>
      <c r="L172" s="16">
        <v>11.111111111111111</v>
      </c>
      <c r="M172" s="5"/>
    </row>
    <row r="173" spans="1:13" ht="14.1" customHeight="1" x14ac:dyDescent="0.25">
      <c r="A173" s="61" t="s">
        <v>44</v>
      </c>
      <c r="B173" s="6">
        <v>361</v>
      </c>
      <c r="C173" s="5">
        <v>11.44215530903328</v>
      </c>
      <c r="D173" s="5"/>
      <c r="E173" s="6">
        <v>337</v>
      </c>
      <c r="F173" s="5">
        <v>10.934458144062297</v>
      </c>
      <c r="G173" s="5"/>
      <c r="H173" s="3">
        <v>23</v>
      </c>
      <c r="I173" s="16">
        <v>36.037500000000001</v>
      </c>
      <c r="J173" s="5"/>
      <c r="K173" s="3">
        <v>1</v>
      </c>
      <c r="L173" s="16">
        <v>11.111111111111111</v>
      </c>
      <c r="M173" s="5"/>
    </row>
    <row r="174" spans="1:13" ht="14.1" customHeight="1" x14ac:dyDescent="0.25">
      <c r="A174" s="61" t="s">
        <v>45</v>
      </c>
      <c r="B174" s="6">
        <v>8</v>
      </c>
      <c r="C174" s="5">
        <v>0.25356576862123614</v>
      </c>
      <c r="D174" s="5"/>
      <c r="E174" s="6">
        <v>8</v>
      </c>
      <c r="F174" s="5">
        <v>0.25957170668397145</v>
      </c>
      <c r="G174" s="5"/>
      <c r="H174" s="3" t="s">
        <v>96</v>
      </c>
      <c r="I174" s="16" t="s">
        <v>96</v>
      </c>
      <c r="J174" s="5"/>
      <c r="K174" s="3" t="s">
        <v>96</v>
      </c>
      <c r="L174" s="16" t="s">
        <v>96</v>
      </c>
      <c r="M174" s="5"/>
    </row>
    <row r="175" spans="1:13" ht="15" hidden="1" customHeight="1" x14ac:dyDescent="0.25">
      <c r="A175" s="61" t="s">
        <v>46</v>
      </c>
      <c r="B175" s="6">
        <v>1</v>
      </c>
      <c r="C175" s="5">
        <v>3.1695721077654518E-2</v>
      </c>
      <c r="D175" s="5"/>
      <c r="E175" s="6">
        <v>1</v>
      </c>
      <c r="F175" s="5">
        <v>3.2446463335496431E-2</v>
      </c>
      <c r="G175" s="5"/>
      <c r="H175" s="3" t="s">
        <v>96</v>
      </c>
      <c r="I175" s="16" t="s">
        <v>96</v>
      </c>
      <c r="J175" s="5"/>
      <c r="K175" s="3" t="s">
        <v>96</v>
      </c>
      <c r="L175" s="16" t="s">
        <v>96</v>
      </c>
      <c r="M175" s="5"/>
    </row>
    <row r="176" spans="1:13" ht="14.1" customHeight="1" x14ac:dyDescent="0.25">
      <c r="A176" s="61" t="s">
        <v>47</v>
      </c>
      <c r="B176" s="6">
        <v>16</v>
      </c>
      <c r="C176" s="5">
        <v>0.50713153724247229</v>
      </c>
      <c r="D176" s="5"/>
      <c r="E176" s="6">
        <v>14</v>
      </c>
      <c r="F176" s="5">
        <v>0.45425048669695001</v>
      </c>
      <c r="G176" s="5"/>
      <c r="H176" s="6">
        <v>2</v>
      </c>
      <c r="I176" s="5">
        <v>3.125</v>
      </c>
      <c r="J176" s="5"/>
      <c r="K176" s="3" t="s">
        <v>96</v>
      </c>
      <c r="L176" s="16" t="s">
        <v>96</v>
      </c>
      <c r="M176" s="5"/>
    </row>
    <row r="177" spans="1:13" ht="14.1" customHeight="1" x14ac:dyDescent="0.25">
      <c r="A177" s="68"/>
      <c r="B177" s="9"/>
      <c r="C177" s="15"/>
      <c r="D177" s="15"/>
      <c r="E177" s="9"/>
      <c r="F177" s="15"/>
      <c r="G177" s="15"/>
      <c r="H177" s="9"/>
      <c r="I177" s="15"/>
      <c r="J177" s="15"/>
      <c r="K177" s="9"/>
      <c r="L177" s="15"/>
      <c r="M177" s="15"/>
    </row>
    <row r="178" spans="1:13" ht="14.1" customHeight="1" x14ac:dyDescent="0.25">
      <c r="A178" s="94" t="s">
        <v>9</v>
      </c>
      <c r="B178" s="95">
        <v>1309</v>
      </c>
      <c r="C178" s="96">
        <v>100</v>
      </c>
      <c r="D178" s="95"/>
      <c r="E178" s="95">
        <v>1282</v>
      </c>
      <c r="F178" s="96">
        <v>100</v>
      </c>
      <c r="G178" s="96"/>
      <c r="H178" s="95">
        <v>21</v>
      </c>
      <c r="I178" s="96">
        <v>100</v>
      </c>
      <c r="J178" s="96"/>
      <c r="K178" s="95">
        <v>6</v>
      </c>
      <c r="L178" s="96">
        <v>100</v>
      </c>
      <c r="M178" s="96"/>
    </row>
    <row r="179" spans="1:13" ht="14.1" customHeight="1" x14ac:dyDescent="0.25">
      <c r="A179" s="92" t="s">
        <v>40</v>
      </c>
      <c r="B179" s="97">
        <v>1086</v>
      </c>
      <c r="C179" s="98">
        <v>82.964094728800603</v>
      </c>
      <c r="D179" s="97"/>
      <c r="E179" s="97">
        <v>1085</v>
      </c>
      <c r="F179" s="98">
        <v>84.633385335413408</v>
      </c>
      <c r="G179" s="98"/>
      <c r="H179" s="97">
        <v>1</v>
      </c>
      <c r="I179" s="98">
        <v>4.7619047619047619</v>
      </c>
      <c r="J179" s="98"/>
      <c r="K179" s="89" t="s">
        <v>96</v>
      </c>
      <c r="L179" s="90" t="s">
        <v>96</v>
      </c>
      <c r="M179" s="90"/>
    </row>
    <row r="180" spans="1:13" ht="14.1" customHeight="1" x14ac:dyDescent="0.25">
      <c r="A180" s="92" t="s">
        <v>41</v>
      </c>
      <c r="B180" s="97">
        <v>63</v>
      </c>
      <c r="C180" s="98">
        <v>4.8128342245989302</v>
      </c>
      <c r="D180" s="97"/>
      <c r="E180" s="97">
        <v>48</v>
      </c>
      <c r="F180" s="98">
        <v>3.74414976599064</v>
      </c>
      <c r="G180" s="98"/>
      <c r="H180" s="97">
        <v>11</v>
      </c>
      <c r="I180" s="98">
        <v>52.380952380952387</v>
      </c>
      <c r="J180" s="98"/>
      <c r="K180" s="89">
        <v>4</v>
      </c>
      <c r="L180" s="90">
        <v>66.566666666666663</v>
      </c>
      <c r="M180" s="98"/>
    </row>
    <row r="181" spans="1:13" ht="14.1" customHeight="1" x14ac:dyDescent="0.25">
      <c r="A181" s="92" t="s">
        <v>42</v>
      </c>
      <c r="B181" s="97">
        <v>0</v>
      </c>
      <c r="C181" s="98">
        <v>0</v>
      </c>
      <c r="D181" s="97"/>
      <c r="E181" s="97">
        <v>0</v>
      </c>
      <c r="F181" s="98">
        <v>0</v>
      </c>
      <c r="G181" s="90"/>
      <c r="H181" s="89" t="s">
        <v>96</v>
      </c>
      <c r="I181" s="90" t="s">
        <v>96</v>
      </c>
      <c r="J181" s="90"/>
      <c r="K181" s="89" t="s">
        <v>96</v>
      </c>
      <c r="L181" s="90" t="s">
        <v>96</v>
      </c>
      <c r="M181" s="90"/>
    </row>
    <row r="182" spans="1:13" ht="14.1" customHeight="1" x14ac:dyDescent="0.25">
      <c r="A182" s="92" t="s">
        <v>43</v>
      </c>
      <c r="B182" s="97">
        <v>24</v>
      </c>
      <c r="C182" s="98">
        <v>1.8334606569900689</v>
      </c>
      <c r="D182" s="97"/>
      <c r="E182" s="97">
        <v>19</v>
      </c>
      <c r="F182" s="98">
        <v>1.4820592823712948</v>
      </c>
      <c r="G182" s="98"/>
      <c r="H182" s="89">
        <v>4</v>
      </c>
      <c r="I182" s="90">
        <v>19.047619047619047</v>
      </c>
      <c r="J182" s="98"/>
      <c r="K182" s="89">
        <v>1</v>
      </c>
      <c r="L182" s="90">
        <v>16.666666666666664</v>
      </c>
      <c r="M182" s="98"/>
    </row>
    <row r="183" spans="1:13" ht="14.1" customHeight="1" x14ac:dyDescent="0.25">
      <c r="A183" s="92" t="s">
        <v>44</v>
      </c>
      <c r="B183" s="97">
        <v>131</v>
      </c>
      <c r="C183" s="98">
        <v>10.007639419404125</v>
      </c>
      <c r="D183" s="97"/>
      <c r="E183" s="97">
        <v>125</v>
      </c>
      <c r="F183" s="98">
        <v>9.7503900156006242</v>
      </c>
      <c r="G183" s="98"/>
      <c r="H183" s="89">
        <v>5</v>
      </c>
      <c r="I183" s="90">
        <v>23.809523809523807</v>
      </c>
      <c r="J183" s="98"/>
      <c r="K183" s="89">
        <v>1</v>
      </c>
      <c r="L183" s="90">
        <v>16.666666666666664</v>
      </c>
      <c r="M183" s="98"/>
    </row>
    <row r="184" spans="1:13" ht="14.1" customHeight="1" x14ac:dyDescent="0.25">
      <c r="A184" s="92" t="s">
        <v>45</v>
      </c>
      <c r="B184" s="97">
        <v>4</v>
      </c>
      <c r="C184" s="98">
        <v>0.30557677616501144</v>
      </c>
      <c r="D184" s="97"/>
      <c r="E184" s="97">
        <v>4</v>
      </c>
      <c r="F184" s="98">
        <v>0.31201248049921998</v>
      </c>
      <c r="G184" s="98"/>
      <c r="H184" s="89" t="s">
        <v>96</v>
      </c>
      <c r="I184" s="90" t="s">
        <v>96</v>
      </c>
      <c r="J184" s="98"/>
      <c r="K184" s="89" t="s">
        <v>96</v>
      </c>
      <c r="L184" s="90" t="s">
        <v>96</v>
      </c>
      <c r="M184" s="98"/>
    </row>
    <row r="185" spans="1:13" ht="11.25" hidden="1" customHeight="1" x14ac:dyDescent="0.25">
      <c r="A185" s="92" t="s">
        <v>46</v>
      </c>
      <c r="B185" s="89" t="s">
        <v>96</v>
      </c>
      <c r="C185" s="89" t="s">
        <v>96</v>
      </c>
      <c r="D185" s="97"/>
      <c r="E185" s="90" t="s">
        <v>96</v>
      </c>
      <c r="F185" s="90" t="s">
        <v>96</v>
      </c>
      <c r="G185" s="37"/>
      <c r="H185" s="89" t="s">
        <v>96</v>
      </c>
      <c r="I185" s="90" t="s">
        <v>96</v>
      </c>
      <c r="J185" s="37"/>
      <c r="K185" s="89" t="s">
        <v>96</v>
      </c>
      <c r="L185" s="90" t="s">
        <v>96</v>
      </c>
      <c r="M185" s="37"/>
    </row>
    <row r="186" spans="1:13" ht="14.1" customHeight="1" x14ac:dyDescent="0.25">
      <c r="A186" s="92" t="s">
        <v>47</v>
      </c>
      <c r="B186" s="97">
        <v>1</v>
      </c>
      <c r="C186" s="98">
        <v>7.6394194041252861E-2</v>
      </c>
      <c r="D186" s="97"/>
      <c r="E186" s="97">
        <v>1</v>
      </c>
      <c r="F186" s="98">
        <v>7.8003120124804995E-2</v>
      </c>
      <c r="G186" s="97"/>
      <c r="H186" s="89" t="s">
        <v>96</v>
      </c>
      <c r="I186" s="90" t="s">
        <v>96</v>
      </c>
      <c r="J186" s="90"/>
      <c r="K186" s="89" t="s">
        <v>96</v>
      </c>
      <c r="L186" s="90" t="s">
        <v>96</v>
      </c>
      <c r="M186" s="90"/>
    </row>
    <row r="187" spans="1:13" ht="14.1" customHeight="1" x14ac:dyDescent="0.25">
      <c r="A187" s="68"/>
      <c r="B187" s="9"/>
      <c r="C187" s="15"/>
      <c r="D187" s="15"/>
      <c r="E187" s="9"/>
      <c r="F187" s="15"/>
      <c r="G187" s="15"/>
      <c r="H187" s="9"/>
      <c r="I187" s="15"/>
      <c r="J187" s="15"/>
      <c r="K187" s="9"/>
      <c r="L187" s="15"/>
      <c r="M187" s="15"/>
    </row>
    <row r="188" spans="1:13" ht="14.1" customHeight="1" x14ac:dyDescent="0.25">
      <c r="A188" s="63" t="s">
        <v>8</v>
      </c>
      <c r="B188" s="9">
        <v>1072</v>
      </c>
      <c r="C188" s="15">
        <v>100</v>
      </c>
      <c r="D188" s="15"/>
      <c r="E188" s="9">
        <v>1044</v>
      </c>
      <c r="F188" s="15">
        <v>100</v>
      </c>
      <c r="G188" s="15"/>
      <c r="H188" s="9">
        <v>27</v>
      </c>
      <c r="I188" s="15">
        <v>100</v>
      </c>
      <c r="J188" s="15"/>
      <c r="K188" s="9">
        <v>1</v>
      </c>
      <c r="L188" s="15">
        <v>100</v>
      </c>
      <c r="M188" s="15"/>
    </row>
    <row r="189" spans="1:13" ht="14.1" customHeight="1" x14ac:dyDescent="0.25">
      <c r="A189" s="61" t="s">
        <v>40</v>
      </c>
      <c r="B189" s="6">
        <v>661</v>
      </c>
      <c r="C189" s="5">
        <v>61.560447761194027</v>
      </c>
      <c r="D189" s="5"/>
      <c r="E189" s="6">
        <v>659</v>
      </c>
      <c r="F189" s="5">
        <v>63.122605363984675</v>
      </c>
      <c r="G189" s="5"/>
      <c r="H189" s="6">
        <v>2</v>
      </c>
      <c r="I189" s="5">
        <v>7.4074074074074066</v>
      </c>
      <c r="J189" s="5"/>
      <c r="K189" s="3" t="s">
        <v>96</v>
      </c>
      <c r="L189" s="16" t="s">
        <v>96</v>
      </c>
      <c r="M189" s="5"/>
    </row>
    <row r="190" spans="1:13" ht="14.1" customHeight="1" x14ac:dyDescent="0.25">
      <c r="A190" s="61" t="s">
        <v>41</v>
      </c>
      <c r="B190" s="6">
        <v>106</v>
      </c>
      <c r="C190" s="5">
        <v>9.8880597014925371</v>
      </c>
      <c r="D190" s="5"/>
      <c r="E190" s="6">
        <v>98</v>
      </c>
      <c r="F190" s="5">
        <v>9.3869731800766285</v>
      </c>
      <c r="G190" s="5"/>
      <c r="H190" s="6">
        <v>8</v>
      </c>
      <c r="I190" s="5">
        <v>29.729629629629628</v>
      </c>
      <c r="J190" s="5"/>
      <c r="K190" s="3" t="s">
        <v>96</v>
      </c>
      <c r="L190" s="16" t="s">
        <v>96</v>
      </c>
      <c r="M190" s="5"/>
    </row>
    <row r="191" spans="1:13" ht="14.1" customHeight="1" x14ac:dyDescent="0.25">
      <c r="A191" s="61" t="s">
        <v>42</v>
      </c>
      <c r="B191" s="6">
        <v>3</v>
      </c>
      <c r="C191" s="5">
        <v>0.27985074626865669</v>
      </c>
      <c r="D191" s="5"/>
      <c r="E191" s="6">
        <v>3</v>
      </c>
      <c r="F191" s="5">
        <v>0.28735632183908044</v>
      </c>
      <c r="G191" s="5"/>
      <c r="H191" s="3" t="s">
        <v>96</v>
      </c>
      <c r="I191" s="16" t="s">
        <v>96</v>
      </c>
      <c r="J191" s="5"/>
      <c r="K191" s="3" t="s">
        <v>96</v>
      </c>
      <c r="L191" s="16" t="s">
        <v>96</v>
      </c>
      <c r="M191" s="5"/>
    </row>
    <row r="192" spans="1:13" ht="14.1" customHeight="1" x14ac:dyDescent="0.25">
      <c r="A192" s="61" t="s">
        <v>43</v>
      </c>
      <c r="B192" s="6">
        <v>72</v>
      </c>
      <c r="C192" s="5">
        <v>6.7164179104477615</v>
      </c>
      <c r="D192" s="5"/>
      <c r="E192" s="6">
        <v>66</v>
      </c>
      <c r="F192" s="5">
        <v>6.3218390804597711</v>
      </c>
      <c r="G192" s="5"/>
      <c r="H192" s="3">
        <v>5</v>
      </c>
      <c r="I192" s="16">
        <v>18.518518518518519</v>
      </c>
      <c r="J192" s="5"/>
      <c r="K192" s="3">
        <v>1</v>
      </c>
      <c r="L192" s="16">
        <v>100</v>
      </c>
      <c r="M192" s="5"/>
    </row>
    <row r="193" spans="1:13" ht="14.1" customHeight="1" x14ac:dyDescent="0.25">
      <c r="A193" s="61" t="s">
        <v>44</v>
      </c>
      <c r="B193" s="6">
        <v>222</v>
      </c>
      <c r="C193" s="5">
        <v>20.708955223880597</v>
      </c>
      <c r="D193" s="5"/>
      <c r="E193" s="6">
        <v>210</v>
      </c>
      <c r="F193" s="5">
        <v>20.114942528735632</v>
      </c>
      <c r="G193" s="5"/>
      <c r="H193" s="3">
        <v>12</v>
      </c>
      <c r="I193" s="16">
        <v>44.444444444444443</v>
      </c>
      <c r="J193" s="5"/>
      <c r="K193" s="3" t="s">
        <v>96</v>
      </c>
      <c r="L193" s="16" t="s">
        <v>96</v>
      </c>
      <c r="M193" s="5"/>
    </row>
    <row r="194" spans="1:13" ht="14.1" customHeight="1" x14ac:dyDescent="0.25">
      <c r="A194" s="61" t="s">
        <v>45</v>
      </c>
      <c r="B194" s="6">
        <v>3</v>
      </c>
      <c r="C194" s="5">
        <v>0.27985074626865669</v>
      </c>
      <c r="D194" s="5"/>
      <c r="E194" s="6">
        <v>3</v>
      </c>
      <c r="F194" s="5">
        <v>0.28735632183908044</v>
      </c>
      <c r="G194" s="5"/>
      <c r="H194" s="3" t="s">
        <v>96</v>
      </c>
      <c r="I194" s="16" t="s">
        <v>96</v>
      </c>
      <c r="J194" s="5"/>
      <c r="K194" s="3" t="s">
        <v>96</v>
      </c>
      <c r="L194" s="16" t="s">
        <v>96</v>
      </c>
      <c r="M194" s="5"/>
    </row>
    <row r="195" spans="1:13" ht="9.75" hidden="1" customHeight="1" x14ac:dyDescent="0.25">
      <c r="A195" s="61" t="s">
        <v>46</v>
      </c>
      <c r="B195" s="6">
        <v>2</v>
      </c>
      <c r="C195" s="5">
        <v>0.18656716417910446</v>
      </c>
      <c r="D195" s="5"/>
      <c r="E195" s="6">
        <v>2</v>
      </c>
      <c r="F195" s="5">
        <v>0.19157088122605362</v>
      </c>
      <c r="G195" s="5"/>
      <c r="H195" s="3" t="s">
        <v>96</v>
      </c>
      <c r="I195" s="16" t="s">
        <v>96</v>
      </c>
      <c r="J195" s="5"/>
      <c r="K195" s="3" t="s">
        <v>96</v>
      </c>
      <c r="L195" s="16" t="s">
        <v>96</v>
      </c>
      <c r="M195" s="5"/>
    </row>
    <row r="196" spans="1:13" ht="14.1" customHeight="1" x14ac:dyDescent="0.25">
      <c r="A196" s="61" t="s">
        <v>47</v>
      </c>
      <c r="B196" s="6">
        <v>5</v>
      </c>
      <c r="C196" s="5">
        <v>0.46641791044776115</v>
      </c>
      <c r="D196" s="5"/>
      <c r="E196" s="6">
        <v>5</v>
      </c>
      <c r="F196" s="5">
        <v>0.47892720306513403</v>
      </c>
      <c r="G196" s="5"/>
      <c r="H196" s="3" t="s">
        <v>96</v>
      </c>
      <c r="I196" s="16" t="s">
        <v>96</v>
      </c>
      <c r="J196" s="5"/>
      <c r="K196" s="3" t="s">
        <v>96</v>
      </c>
      <c r="L196" s="16" t="s">
        <v>96</v>
      </c>
      <c r="M196" s="5"/>
    </row>
    <row r="197" spans="1:13" ht="14.1" customHeight="1" x14ac:dyDescent="0.25">
      <c r="A197" s="68"/>
      <c r="B197" s="9"/>
      <c r="C197" s="15"/>
      <c r="D197" s="15"/>
      <c r="E197" s="9"/>
      <c r="F197" s="15"/>
      <c r="G197" s="15"/>
      <c r="H197" s="9"/>
      <c r="I197" s="15"/>
      <c r="J197" s="15"/>
      <c r="K197" s="9"/>
      <c r="L197" s="15"/>
      <c r="M197" s="15"/>
    </row>
    <row r="198" spans="1:13" ht="14.1" customHeight="1" x14ac:dyDescent="0.25">
      <c r="A198" s="94" t="s">
        <v>7</v>
      </c>
      <c r="B198" s="95">
        <v>1006</v>
      </c>
      <c r="C198" s="96">
        <v>100</v>
      </c>
      <c r="D198" s="96"/>
      <c r="E198" s="95">
        <v>985</v>
      </c>
      <c r="F198" s="96">
        <v>100</v>
      </c>
      <c r="G198" s="95"/>
      <c r="H198" s="95">
        <v>19</v>
      </c>
      <c r="I198" s="96">
        <v>100</v>
      </c>
      <c r="J198" s="96"/>
      <c r="K198" s="95">
        <v>2</v>
      </c>
      <c r="L198" s="95">
        <v>100</v>
      </c>
      <c r="M198" s="96"/>
    </row>
    <row r="199" spans="1:13" ht="14.1" customHeight="1" x14ac:dyDescent="0.25">
      <c r="A199" s="92" t="s">
        <v>40</v>
      </c>
      <c r="B199" s="97">
        <v>811</v>
      </c>
      <c r="C199" s="98">
        <v>80.616302186878727</v>
      </c>
      <c r="D199" s="98"/>
      <c r="E199" s="97">
        <v>809</v>
      </c>
      <c r="F199" s="98">
        <v>82.231979695431463</v>
      </c>
      <c r="G199" s="98"/>
      <c r="H199" s="97">
        <v>2</v>
      </c>
      <c r="I199" s="98">
        <v>10.526315789473683</v>
      </c>
      <c r="J199" s="98"/>
      <c r="K199" s="89" t="s">
        <v>96</v>
      </c>
      <c r="L199" s="90" t="s">
        <v>96</v>
      </c>
      <c r="M199" s="98"/>
    </row>
    <row r="200" spans="1:13" ht="14.1" customHeight="1" x14ac:dyDescent="0.25">
      <c r="A200" s="92" t="s">
        <v>41</v>
      </c>
      <c r="B200" s="97">
        <v>85</v>
      </c>
      <c r="C200" s="98">
        <v>8.4493041749502975</v>
      </c>
      <c r="D200" s="98"/>
      <c r="E200" s="97">
        <v>69</v>
      </c>
      <c r="F200" s="98">
        <v>7.0050761421319798</v>
      </c>
      <c r="G200" s="98"/>
      <c r="H200" s="97">
        <v>14</v>
      </c>
      <c r="I200" s="98">
        <v>73.68421052631578</v>
      </c>
      <c r="J200" s="98"/>
      <c r="K200" s="89">
        <v>2</v>
      </c>
      <c r="L200" s="90">
        <v>100</v>
      </c>
      <c r="M200" s="98"/>
    </row>
    <row r="201" spans="1:13" ht="14.1" customHeight="1" x14ac:dyDescent="0.25">
      <c r="A201" s="92" t="s">
        <v>42</v>
      </c>
      <c r="B201" s="89" t="s">
        <v>96</v>
      </c>
      <c r="C201" s="89" t="s">
        <v>96</v>
      </c>
      <c r="D201" s="90"/>
      <c r="E201" s="89" t="s">
        <v>96</v>
      </c>
      <c r="F201" s="89" t="s">
        <v>96</v>
      </c>
      <c r="G201" s="90"/>
      <c r="H201" s="89" t="s">
        <v>96</v>
      </c>
      <c r="I201" s="89" t="s">
        <v>96</v>
      </c>
      <c r="J201" s="90"/>
      <c r="K201" s="89" t="s">
        <v>96</v>
      </c>
      <c r="L201" s="90" t="s">
        <v>96</v>
      </c>
      <c r="M201" s="90"/>
    </row>
    <row r="202" spans="1:13" ht="14.1" customHeight="1" x14ac:dyDescent="0.25">
      <c r="A202" s="92" t="s">
        <v>43</v>
      </c>
      <c r="B202" s="97">
        <v>27</v>
      </c>
      <c r="C202" s="98">
        <v>2.6838966202783299</v>
      </c>
      <c r="D202" s="98"/>
      <c r="E202" s="97">
        <v>24</v>
      </c>
      <c r="F202" s="98">
        <v>2.4365482233502536</v>
      </c>
      <c r="G202" s="98"/>
      <c r="H202" s="89">
        <v>3</v>
      </c>
      <c r="I202" s="90">
        <v>15.789473684210526</v>
      </c>
      <c r="J202" s="98"/>
      <c r="K202" s="89" t="s">
        <v>96</v>
      </c>
      <c r="L202" s="90" t="s">
        <v>96</v>
      </c>
      <c r="M202" s="98"/>
    </row>
    <row r="203" spans="1:13" ht="14.1" customHeight="1" x14ac:dyDescent="0.25">
      <c r="A203" s="92" t="s">
        <v>44</v>
      </c>
      <c r="B203" s="97">
        <v>65</v>
      </c>
      <c r="C203" s="98">
        <v>6.461232604373758</v>
      </c>
      <c r="D203" s="98"/>
      <c r="E203" s="97">
        <v>65</v>
      </c>
      <c r="F203" s="98">
        <v>6.5989847715736047</v>
      </c>
      <c r="G203" s="98"/>
      <c r="H203" s="89" t="s">
        <v>96</v>
      </c>
      <c r="I203" s="89" t="s">
        <v>96</v>
      </c>
      <c r="J203" s="98"/>
      <c r="K203" s="89" t="s">
        <v>96</v>
      </c>
      <c r="L203" s="90" t="s">
        <v>96</v>
      </c>
      <c r="M203" s="98"/>
    </row>
    <row r="204" spans="1:13" ht="14.1" customHeight="1" x14ac:dyDescent="0.25">
      <c r="A204" s="92" t="s">
        <v>45</v>
      </c>
      <c r="B204" s="97">
        <v>14</v>
      </c>
      <c r="C204" s="98">
        <v>1.3916500994035785</v>
      </c>
      <c r="D204" s="98"/>
      <c r="E204" s="97">
        <v>14</v>
      </c>
      <c r="F204" s="98">
        <v>1.4213197969543148</v>
      </c>
      <c r="G204" s="98"/>
      <c r="H204" s="89" t="s">
        <v>96</v>
      </c>
      <c r="I204" s="89" t="s">
        <v>96</v>
      </c>
      <c r="J204" s="98"/>
      <c r="K204" s="89" t="s">
        <v>96</v>
      </c>
      <c r="L204" s="90" t="s">
        <v>96</v>
      </c>
      <c r="M204" s="98"/>
    </row>
    <row r="205" spans="1:13" ht="15.75" hidden="1" customHeight="1" x14ac:dyDescent="0.25">
      <c r="A205" s="92" t="s">
        <v>46</v>
      </c>
      <c r="B205" s="97">
        <v>1</v>
      </c>
      <c r="C205" s="98">
        <v>9.940357852882703E-2</v>
      </c>
      <c r="D205" s="90"/>
      <c r="E205" s="97">
        <v>1</v>
      </c>
      <c r="F205" s="98">
        <v>0.10152284263959391</v>
      </c>
      <c r="G205" s="90"/>
      <c r="H205" s="89" t="s">
        <v>96</v>
      </c>
      <c r="I205" s="89" t="s">
        <v>96</v>
      </c>
      <c r="J205" s="90"/>
      <c r="K205" s="89" t="s">
        <v>96</v>
      </c>
      <c r="L205" s="90" t="s">
        <v>96</v>
      </c>
      <c r="M205" s="90"/>
    </row>
    <row r="206" spans="1:13" ht="14.1" customHeight="1" x14ac:dyDescent="0.25">
      <c r="A206" s="92" t="s">
        <v>47</v>
      </c>
      <c r="B206" s="97">
        <v>4</v>
      </c>
      <c r="C206" s="98">
        <v>0.39761431411530812</v>
      </c>
      <c r="D206" s="98"/>
      <c r="E206" s="97">
        <v>4</v>
      </c>
      <c r="F206" s="98">
        <v>0.40609137055837563</v>
      </c>
      <c r="G206" s="98"/>
      <c r="H206" s="89" t="s">
        <v>96</v>
      </c>
      <c r="I206" s="89" t="s">
        <v>96</v>
      </c>
      <c r="J206" s="98"/>
      <c r="K206" s="89" t="s">
        <v>96</v>
      </c>
      <c r="L206" s="90" t="s">
        <v>96</v>
      </c>
      <c r="M206" s="98"/>
    </row>
    <row r="207" spans="1:13" ht="14.1" customHeight="1" x14ac:dyDescent="0.25">
      <c r="A207" s="61"/>
      <c r="C207" s="37"/>
      <c r="F207" s="37"/>
      <c r="I207" s="37"/>
      <c r="L207" s="37"/>
    </row>
    <row r="208" spans="1:13" ht="14.1" customHeight="1" x14ac:dyDescent="0.25">
      <c r="A208" s="63" t="s">
        <v>6</v>
      </c>
      <c r="B208" s="9">
        <v>7426</v>
      </c>
      <c r="C208" s="15">
        <v>100</v>
      </c>
      <c r="D208" s="15"/>
      <c r="E208" s="9">
        <v>7171</v>
      </c>
      <c r="F208" s="15">
        <v>100</v>
      </c>
      <c r="G208" s="15"/>
      <c r="H208" s="9">
        <v>178</v>
      </c>
      <c r="I208" s="15">
        <v>100</v>
      </c>
      <c r="J208" s="15"/>
      <c r="K208" s="9">
        <v>77</v>
      </c>
      <c r="L208" s="15">
        <v>100</v>
      </c>
      <c r="M208" s="15"/>
    </row>
    <row r="209" spans="1:13" ht="14.1" customHeight="1" x14ac:dyDescent="0.25">
      <c r="A209" s="61" t="s">
        <v>40</v>
      </c>
      <c r="B209" s="6">
        <v>5760</v>
      </c>
      <c r="C209" s="5">
        <v>77.46531106921627</v>
      </c>
      <c r="D209" s="5"/>
      <c r="E209" s="6">
        <v>5746</v>
      </c>
      <c r="F209" s="5">
        <v>80.228294519592794</v>
      </c>
      <c r="G209" s="5"/>
      <c r="H209" s="6">
        <v>14</v>
      </c>
      <c r="I209" s="5">
        <v>7.8651685393258424</v>
      </c>
      <c r="J209" s="5"/>
      <c r="K209" s="3" t="s">
        <v>96</v>
      </c>
      <c r="L209" s="3" t="s">
        <v>96</v>
      </c>
      <c r="M209" s="5"/>
    </row>
    <row r="210" spans="1:13" ht="14.1" customHeight="1" x14ac:dyDescent="0.25">
      <c r="A210" s="61" t="s">
        <v>41</v>
      </c>
      <c r="B210" s="6">
        <v>594</v>
      </c>
      <c r="C210" s="5">
        <v>7.9989227040129274</v>
      </c>
      <c r="D210" s="5"/>
      <c r="E210" s="6">
        <v>447</v>
      </c>
      <c r="F210" s="5">
        <v>6.2334402454329938</v>
      </c>
      <c r="G210" s="5"/>
      <c r="H210" s="6">
        <v>83</v>
      </c>
      <c r="I210" s="5">
        <v>46.529213483146066</v>
      </c>
      <c r="J210" s="5"/>
      <c r="K210" s="3">
        <v>64</v>
      </c>
      <c r="L210" s="16">
        <v>83.116883116883116</v>
      </c>
      <c r="M210" s="5"/>
    </row>
    <row r="211" spans="1:13" ht="14.1" customHeight="1" x14ac:dyDescent="0.25">
      <c r="A211" s="61" t="s">
        <v>42</v>
      </c>
      <c r="B211" s="6">
        <v>7</v>
      </c>
      <c r="C211" s="5">
        <v>9.4263398868839207E-2</v>
      </c>
      <c r="D211" s="5"/>
      <c r="E211" s="6">
        <v>6</v>
      </c>
      <c r="F211" s="5">
        <v>8.3670338864872407E-2</v>
      </c>
      <c r="G211" s="5"/>
      <c r="H211" s="6">
        <v>1</v>
      </c>
      <c r="I211" s="5">
        <v>0.5617977528089888</v>
      </c>
      <c r="J211" s="3"/>
      <c r="K211" s="3" t="s">
        <v>96</v>
      </c>
      <c r="L211" s="3" t="s">
        <v>96</v>
      </c>
      <c r="M211" s="5"/>
    </row>
    <row r="212" spans="1:13" ht="14.1" customHeight="1" x14ac:dyDescent="0.25">
      <c r="A212" s="61" t="s">
        <v>43</v>
      </c>
      <c r="B212" s="6">
        <v>252</v>
      </c>
      <c r="C212" s="5">
        <v>3.3934823592782117</v>
      </c>
      <c r="D212" s="5"/>
      <c r="E212" s="6">
        <v>222</v>
      </c>
      <c r="F212" s="5">
        <v>3.0958025380002789</v>
      </c>
      <c r="G212" s="5"/>
      <c r="H212" s="6">
        <v>26</v>
      </c>
      <c r="I212" s="5">
        <v>14.606741573033707</v>
      </c>
      <c r="J212" s="5"/>
      <c r="K212" s="6">
        <v>4</v>
      </c>
      <c r="L212" s="5">
        <v>5.1948051948051948</v>
      </c>
      <c r="M212" s="5"/>
    </row>
    <row r="213" spans="1:13" ht="14.1" customHeight="1" x14ac:dyDescent="0.25">
      <c r="A213" s="61" t="s">
        <v>44</v>
      </c>
      <c r="B213" s="6">
        <v>762</v>
      </c>
      <c r="C213" s="5">
        <v>10.261244276865069</v>
      </c>
      <c r="D213" s="5"/>
      <c r="E213" s="6">
        <v>717</v>
      </c>
      <c r="F213" s="5">
        <v>9.9986054943522511</v>
      </c>
      <c r="G213" s="5"/>
      <c r="H213" s="6">
        <v>42</v>
      </c>
      <c r="I213" s="5">
        <v>23.595505617977526</v>
      </c>
      <c r="J213" s="5"/>
      <c r="K213" s="6">
        <v>3</v>
      </c>
      <c r="L213" s="5">
        <v>3.8961038961038961</v>
      </c>
      <c r="M213" s="5"/>
    </row>
    <row r="214" spans="1:13" ht="14.1" customHeight="1" x14ac:dyDescent="0.25">
      <c r="A214" s="61" t="s">
        <v>45</v>
      </c>
      <c r="B214" s="6">
        <v>21</v>
      </c>
      <c r="C214" s="5">
        <v>0.28279019660651766</v>
      </c>
      <c r="D214" s="5"/>
      <c r="E214" s="6">
        <v>17</v>
      </c>
      <c r="F214" s="5">
        <v>0.23706596011713846</v>
      </c>
      <c r="G214" s="5"/>
      <c r="H214" s="6">
        <v>3</v>
      </c>
      <c r="I214" s="5">
        <v>1.6853932584269662</v>
      </c>
      <c r="J214" s="5"/>
      <c r="K214" s="6">
        <v>1</v>
      </c>
      <c r="L214" s="5">
        <v>1.2987012987012987</v>
      </c>
      <c r="M214" s="5"/>
    </row>
    <row r="215" spans="1:13" ht="18" hidden="1" customHeight="1" x14ac:dyDescent="0.25">
      <c r="A215" s="61" t="s">
        <v>46</v>
      </c>
      <c r="B215" s="6">
        <v>20</v>
      </c>
      <c r="C215" s="5">
        <v>0.26932399676811203</v>
      </c>
      <c r="D215" s="5"/>
      <c r="E215" s="6">
        <v>9</v>
      </c>
      <c r="F215" s="5">
        <v>0.12550550829730861</v>
      </c>
      <c r="G215" s="5"/>
      <c r="H215" s="6">
        <v>7</v>
      </c>
      <c r="I215" s="5">
        <v>3.9325842696629212</v>
      </c>
      <c r="J215" s="5"/>
      <c r="K215" s="6">
        <v>4</v>
      </c>
      <c r="L215" s="5">
        <v>5.1948051948051948</v>
      </c>
      <c r="M215" s="5"/>
    </row>
    <row r="216" spans="1:13" ht="14.1" customHeight="1" x14ac:dyDescent="0.25">
      <c r="A216" s="61" t="s">
        <v>47</v>
      </c>
      <c r="B216" s="6">
        <v>30</v>
      </c>
      <c r="C216" s="5">
        <v>0.40398599515216804</v>
      </c>
      <c r="D216" s="5"/>
      <c r="E216" s="6">
        <v>16</v>
      </c>
      <c r="F216" s="5">
        <v>0.22312090363965975</v>
      </c>
      <c r="G216" s="5"/>
      <c r="H216" s="6">
        <v>9</v>
      </c>
      <c r="I216" s="5">
        <v>5.0561797752808992</v>
      </c>
      <c r="J216" s="5"/>
      <c r="K216" s="6">
        <v>5</v>
      </c>
      <c r="L216" s="5">
        <v>6.4935064935064934</v>
      </c>
      <c r="M216" s="5"/>
    </row>
    <row r="217" spans="1:13" ht="14.1" customHeight="1" x14ac:dyDescent="0.25">
      <c r="A217" s="68"/>
      <c r="C217" s="37"/>
      <c r="F217" s="37"/>
      <c r="I217" s="37"/>
      <c r="L217" s="37"/>
    </row>
    <row r="218" spans="1:13" ht="14.1" customHeight="1" x14ac:dyDescent="0.25">
      <c r="A218" s="63" t="s">
        <v>5</v>
      </c>
      <c r="B218" s="9">
        <v>7163</v>
      </c>
      <c r="C218" s="15">
        <v>100</v>
      </c>
      <c r="D218" s="15"/>
      <c r="E218" s="9">
        <v>7121</v>
      </c>
      <c r="F218" s="15">
        <v>100</v>
      </c>
      <c r="G218" s="15"/>
      <c r="H218" s="9">
        <v>37</v>
      </c>
      <c r="I218" s="15">
        <v>100</v>
      </c>
      <c r="J218" s="15"/>
      <c r="K218" s="9">
        <v>5</v>
      </c>
      <c r="L218" s="15">
        <v>100</v>
      </c>
      <c r="M218" s="15"/>
    </row>
    <row r="219" spans="1:13" ht="14.1" customHeight="1" x14ac:dyDescent="0.25">
      <c r="A219" s="61" t="s">
        <v>40</v>
      </c>
      <c r="B219" s="6">
        <v>6126</v>
      </c>
      <c r="C219" s="5">
        <v>85.622825631718555</v>
      </c>
      <c r="D219" s="5"/>
      <c r="E219" s="6">
        <v>6123</v>
      </c>
      <c r="F219" s="5">
        <v>85.985114450217665</v>
      </c>
      <c r="G219" s="5"/>
      <c r="H219" s="6">
        <v>3</v>
      </c>
      <c r="I219" s="5">
        <v>8.1081081081081088</v>
      </c>
      <c r="J219" s="5"/>
      <c r="K219" s="3" t="s">
        <v>96</v>
      </c>
      <c r="L219" s="16" t="s">
        <v>96</v>
      </c>
      <c r="M219" s="5"/>
    </row>
    <row r="220" spans="1:13" ht="14.1" customHeight="1" x14ac:dyDescent="0.25">
      <c r="A220" s="61" t="s">
        <v>41</v>
      </c>
      <c r="B220" s="6">
        <v>289</v>
      </c>
      <c r="C220" s="5">
        <v>4.034622364930895</v>
      </c>
      <c r="D220" s="5"/>
      <c r="E220" s="6">
        <v>277</v>
      </c>
      <c r="F220" s="5">
        <v>3.8899031034967004</v>
      </c>
      <c r="G220" s="5"/>
      <c r="H220" s="6">
        <v>11</v>
      </c>
      <c r="I220" s="5">
        <v>29.72972972972973</v>
      </c>
      <c r="J220" s="5"/>
      <c r="K220" s="3">
        <v>1</v>
      </c>
      <c r="L220" s="16">
        <v>20</v>
      </c>
      <c r="M220" s="5"/>
    </row>
    <row r="221" spans="1:13" ht="14.1" customHeight="1" x14ac:dyDescent="0.25">
      <c r="A221" s="61" t="s">
        <v>42</v>
      </c>
      <c r="B221" s="6">
        <v>6</v>
      </c>
      <c r="C221" s="5">
        <v>8.3763786123132775E-2</v>
      </c>
      <c r="D221" s="5"/>
      <c r="E221" s="6">
        <v>6</v>
      </c>
      <c r="F221" s="5">
        <v>8.4257828956607217E-2</v>
      </c>
      <c r="G221" s="5"/>
      <c r="H221" s="3" t="s">
        <v>96</v>
      </c>
      <c r="I221" s="16" t="s">
        <v>96</v>
      </c>
      <c r="J221" s="5"/>
      <c r="K221" s="3" t="s">
        <v>96</v>
      </c>
      <c r="L221" s="16" t="s">
        <v>96</v>
      </c>
      <c r="M221" s="5"/>
    </row>
    <row r="222" spans="1:13" ht="14.1" customHeight="1" x14ac:dyDescent="0.25">
      <c r="A222" s="61" t="s">
        <v>43</v>
      </c>
      <c r="B222" s="6">
        <v>169</v>
      </c>
      <c r="C222" s="5">
        <v>2.3593466424682399</v>
      </c>
      <c r="D222" s="5"/>
      <c r="E222" s="6">
        <v>161</v>
      </c>
      <c r="F222" s="5">
        <v>2.260918410335627</v>
      </c>
      <c r="G222" s="5"/>
      <c r="H222" s="3">
        <v>8</v>
      </c>
      <c r="I222" s="16">
        <v>21.621621621621621</v>
      </c>
      <c r="J222" s="5"/>
      <c r="K222" s="3" t="s">
        <v>96</v>
      </c>
      <c r="L222" s="16" t="s">
        <v>96</v>
      </c>
      <c r="M222" s="5"/>
    </row>
    <row r="223" spans="1:13" ht="14.1" customHeight="1" x14ac:dyDescent="0.25">
      <c r="A223" s="61" t="s">
        <v>44</v>
      </c>
      <c r="B223" s="6">
        <v>419</v>
      </c>
      <c r="C223" s="5">
        <v>5.8495043975987722</v>
      </c>
      <c r="D223" s="5"/>
      <c r="E223" s="6">
        <v>401</v>
      </c>
      <c r="F223" s="5">
        <v>5.6312315685999152</v>
      </c>
      <c r="G223" s="5"/>
      <c r="H223" s="3">
        <v>14</v>
      </c>
      <c r="I223" s="16">
        <v>37.93783783783784</v>
      </c>
      <c r="J223" s="5"/>
      <c r="K223" s="3">
        <v>4</v>
      </c>
      <c r="L223" s="16">
        <v>80</v>
      </c>
      <c r="M223" s="5"/>
    </row>
    <row r="224" spans="1:13" ht="14.1" customHeight="1" x14ac:dyDescent="0.25">
      <c r="A224" s="61" t="s">
        <v>45</v>
      </c>
      <c r="B224" s="6">
        <v>124</v>
      </c>
      <c r="C224" s="5">
        <v>1.7311182465447439</v>
      </c>
      <c r="D224" s="5"/>
      <c r="E224" s="6">
        <v>124</v>
      </c>
      <c r="F224" s="5">
        <v>1.7413284651032159</v>
      </c>
      <c r="G224" s="5"/>
      <c r="H224" s="3" t="s">
        <v>96</v>
      </c>
      <c r="I224" s="16" t="s">
        <v>96</v>
      </c>
      <c r="J224" s="5"/>
      <c r="K224" s="3" t="s">
        <v>96</v>
      </c>
      <c r="L224" s="16" t="s">
        <v>96</v>
      </c>
      <c r="M224" s="5"/>
    </row>
    <row r="225" spans="1:13" ht="12" hidden="1" customHeight="1" x14ac:dyDescent="0.25">
      <c r="A225" s="61" t="s">
        <v>46</v>
      </c>
      <c r="B225" s="6">
        <v>17</v>
      </c>
      <c r="C225" s="5">
        <v>0.2373307273488762</v>
      </c>
      <c r="D225" s="5"/>
      <c r="E225" s="6">
        <v>16</v>
      </c>
      <c r="F225" s="5">
        <v>0.22468754388428594</v>
      </c>
      <c r="G225" s="5"/>
      <c r="H225" s="6">
        <v>1</v>
      </c>
      <c r="I225" s="5">
        <v>2.7027027027027026</v>
      </c>
      <c r="J225" s="5"/>
      <c r="K225" s="3" t="s">
        <v>96</v>
      </c>
      <c r="L225" s="16" t="s">
        <v>96</v>
      </c>
      <c r="M225" s="5"/>
    </row>
    <row r="226" spans="1:13" ht="14.1" customHeight="1" x14ac:dyDescent="0.25">
      <c r="A226" s="61" t="s">
        <v>47</v>
      </c>
      <c r="B226" s="6">
        <v>30</v>
      </c>
      <c r="C226" s="5">
        <v>0.41881893061566389</v>
      </c>
      <c r="D226" s="5"/>
      <c r="E226" s="6">
        <v>29</v>
      </c>
      <c r="F226" s="5">
        <v>0.40724617329026824</v>
      </c>
      <c r="G226" s="5"/>
      <c r="H226" s="6">
        <v>1</v>
      </c>
      <c r="I226" s="5">
        <v>2.7027027027027026</v>
      </c>
      <c r="J226" s="5"/>
      <c r="K226" s="3" t="s">
        <v>96</v>
      </c>
      <c r="L226" s="16" t="s">
        <v>96</v>
      </c>
      <c r="M226" s="5"/>
    </row>
    <row r="227" spans="1:13" ht="14.1" customHeight="1" x14ac:dyDescent="0.25">
      <c r="A227" s="68"/>
      <c r="C227" s="37"/>
      <c r="F227" s="37"/>
      <c r="I227" s="37"/>
      <c r="L227" s="37"/>
    </row>
    <row r="228" spans="1:13" ht="14.1" customHeight="1" x14ac:dyDescent="0.25">
      <c r="A228" s="63" t="s">
        <v>4</v>
      </c>
      <c r="B228" s="9">
        <v>4222</v>
      </c>
      <c r="C228" s="15">
        <v>100</v>
      </c>
      <c r="D228" s="15"/>
      <c r="E228" s="9">
        <v>4140</v>
      </c>
      <c r="F228" s="15">
        <v>100</v>
      </c>
      <c r="G228" s="15"/>
      <c r="H228" s="9">
        <v>72</v>
      </c>
      <c r="I228" s="15">
        <v>100</v>
      </c>
      <c r="J228" s="15"/>
      <c r="K228" s="9">
        <v>10</v>
      </c>
      <c r="L228" s="15">
        <v>100</v>
      </c>
      <c r="M228" s="15"/>
    </row>
    <row r="229" spans="1:13" ht="14.1" customHeight="1" x14ac:dyDescent="0.25">
      <c r="A229" s="61" t="s">
        <v>40</v>
      </c>
      <c r="B229" s="6">
        <v>3395</v>
      </c>
      <c r="C229" s="5">
        <v>80.512126954050203</v>
      </c>
      <c r="D229" s="5"/>
      <c r="E229" s="6">
        <v>3386</v>
      </c>
      <c r="F229" s="5">
        <v>81.887439613526567</v>
      </c>
      <c r="G229" s="5"/>
      <c r="H229" s="6">
        <v>9</v>
      </c>
      <c r="I229" s="5">
        <v>12.5</v>
      </c>
      <c r="J229" s="5"/>
      <c r="K229" s="3" t="s">
        <v>96</v>
      </c>
      <c r="L229" s="3" t="s">
        <v>96</v>
      </c>
      <c r="M229" s="5"/>
    </row>
    <row r="230" spans="1:13" ht="14.1" customHeight="1" x14ac:dyDescent="0.25">
      <c r="A230" s="61" t="s">
        <v>41</v>
      </c>
      <c r="B230" s="6">
        <v>414</v>
      </c>
      <c r="C230" s="5">
        <v>9.8057792515395548</v>
      </c>
      <c r="D230" s="5"/>
      <c r="E230" s="6">
        <v>366</v>
      </c>
      <c r="F230" s="5">
        <v>8.8405797101449277</v>
      </c>
      <c r="G230" s="5"/>
      <c r="H230" s="6">
        <v>38</v>
      </c>
      <c r="I230" s="5">
        <v>52.677777777777777</v>
      </c>
      <c r="J230" s="5"/>
      <c r="K230" s="3">
        <v>10</v>
      </c>
      <c r="L230" s="16">
        <v>100</v>
      </c>
      <c r="M230" s="5"/>
    </row>
    <row r="231" spans="1:13" ht="14.1" customHeight="1" x14ac:dyDescent="0.25">
      <c r="A231" s="61" t="s">
        <v>42</v>
      </c>
      <c r="B231" s="6">
        <v>1</v>
      </c>
      <c r="C231" s="5">
        <v>2.3685457129322598E-2</v>
      </c>
      <c r="D231" s="5"/>
      <c r="E231" s="6">
        <v>1</v>
      </c>
      <c r="F231" s="5">
        <v>2.4154589371980676E-2</v>
      </c>
      <c r="G231" s="5"/>
      <c r="H231" s="3" t="s">
        <v>96</v>
      </c>
      <c r="I231" s="16" t="s">
        <v>96</v>
      </c>
      <c r="J231" s="5"/>
      <c r="K231" s="3" t="s">
        <v>96</v>
      </c>
      <c r="L231" s="3" t="s">
        <v>96</v>
      </c>
      <c r="M231" s="5"/>
    </row>
    <row r="232" spans="1:13" ht="14.1" customHeight="1" x14ac:dyDescent="0.25">
      <c r="A232" s="61" t="s">
        <v>43</v>
      </c>
      <c r="B232" s="6">
        <v>48</v>
      </c>
      <c r="C232" s="5">
        <v>1.1369019422074846</v>
      </c>
      <c r="D232" s="5"/>
      <c r="E232" s="6">
        <v>47</v>
      </c>
      <c r="F232" s="5">
        <v>1.1352657004830917</v>
      </c>
      <c r="G232" s="5"/>
      <c r="H232" s="3">
        <v>1</v>
      </c>
      <c r="I232" s="16">
        <v>1.3888888888888888</v>
      </c>
      <c r="J232" s="5"/>
      <c r="K232" s="3" t="s">
        <v>96</v>
      </c>
      <c r="L232" s="3" t="s">
        <v>96</v>
      </c>
      <c r="M232" s="5"/>
    </row>
    <row r="233" spans="1:13" ht="14.1" customHeight="1" x14ac:dyDescent="0.25">
      <c r="A233" s="61" t="s">
        <v>44</v>
      </c>
      <c r="B233" s="6">
        <v>343</v>
      </c>
      <c r="C233" s="5">
        <v>8.1241117953576492</v>
      </c>
      <c r="D233" s="5"/>
      <c r="E233" s="6">
        <v>321</v>
      </c>
      <c r="F233" s="5">
        <v>7.7536231884057978</v>
      </c>
      <c r="G233" s="5"/>
      <c r="H233" s="3">
        <v>22</v>
      </c>
      <c r="I233" s="16">
        <v>30.555555555555557</v>
      </c>
      <c r="J233" s="5"/>
      <c r="K233" s="3" t="s">
        <v>96</v>
      </c>
      <c r="L233" s="3" t="s">
        <v>96</v>
      </c>
      <c r="M233" s="5"/>
    </row>
    <row r="234" spans="1:13" ht="14.1" customHeight="1" x14ac:dyDescent="0.25">
      <c r="A234" s="61" t="s">
        <v>45</v>
      </c>
      <c r="B234" s="6">
        <v>13</v>
      </c>
      <c r="C234" s="5">
        <v>0.30791094268119373</v>
      </c>
      <c r="D234" s="5"/>
      <c r="E234" s="6">
        <v>13</v>
      </c>
      <c r="F234" s="5">
        <v>0.3140096618357488</v>
      </c>
      <c r="G234" s="5"/>
      <c r="H234" s="3" t="s">
        <v>96</v>
      </c>
      <c r="I234" s="16" t="s">
        <v>96</v>
      </c>
      <c r="J234" s="5"/>
      <c r="K234" s="3" t="s">
        <v>96</v>
      </c>
      <c r="L234" s="3" t="s">
        <v>96</v>
      </c>
      <c r="M234" s="5"/>
    </row>
    <row r="235" spans="1:13" ht="10.5" hidden="1" customHeight="1" x14ac:dyDescent="0.25">
      <c r="A235" s="61" t="s">
        <v>46</v>
      </c>
      <c r="B235" s="6">
        <v>5</v>
      </c>
      <c r="C235" s="5">
        <v>0.11842728564661299</v>
      </c>
      <c r="D235" s="5"/>
      <c r="E235" s="6">
        <v>3</v>
      </c>
      <c r="F235" s="5">
        <v>7.2463768115942032E-2</v>
      </c>
      <c r="G235" s="5"/>
      <c r="H235" s="6">
        <v>2</v>
      </c>
      <c r="I235" s="5">
        <v>2.7777777777777777</v>
      </c>
      <c r="J235" s="5"/>
      <c r="K235" s="3" t="s">
        <v>96</v>
      </c>
      <c r="L235" s="3" t="s">
        <v>96</v>
      </c>
      <c r="M235" s="5"/>
    </row>
    <row r="236" spans="1:13" ht="14.1" customHeight="1" x14ac:dyDescent="0.25">
      <c r="A236" s="61" t="s">
        <v>47</v>
      </c>
      <c r="B236" s="6">
        <v>8</v>
      </c>
      <c r="C236" s="5">
        <v>0.18948365703458078</v>
      </c>
      <c r="D236" s="5"/>
      <c r="E236" s="6">
        <v>6</v>
      </c>
      <c r="F236" s="5">
        <v>0.14492753623188406</v>
      </c>
      <c r="G236" s="5"/>
      <c r="H236" s="6">
        <v>2</v>
      </c>
      <c r="I236" s="5">
        <v>2.7777777777777777</v>
      </c>
      <c r="J236" s="5"/>
      <c r="K236" s="3" t="s">
        <v>96</v>
      </c>
      <c r="L236" s="3" t="s">
        <v>96</v>
      </c>
      <c r="M236" s="5"/>
    </row>
    <row r="237" spans="1:13" ht="14.1" customHeight="1" x14ac:dyDescent="0.25">
      <c r="A237" s="68"/>
      <c r="C237" s="37"/>
      <c r="F237" s="37"/>
      <c r="I237" s="37"/>
      <c r="L237" s="37"/>
    </row>
    <row r="238" spans="1:13" ht="14.1" customHeight="1" x14ac:dyDescent="0.25">
      <c r="A238" s="94" t="s">
        <v>3</v>
      </c>
      <c r="B238" s="95">
        <v>2912</v>
      </c>
      <c r="C238" s="96">
        <v>100</v>
      </c>
      <c r="D238" s="96"/>
      <c r="E238" s="95">
        <v>2839</v>
      </c>
      <c r="F238" s="96">
        <v>100</v>
      </c>
      <c r="G238" s="96"/>
      <c r="H238" s="95">
        <v>65</v>
      </c>
      <c r="I238" s="96">
        <v>100</v>
      </c>
      <c r="J238" s="96"/>
      <c r="K238" s="95">
        <v>8</v>
      </c>
      <c r="L238" s="96">
        <v>100</v>
      </c>
      <c r="M238" s="96"/>
    </row>
    <row r="239" spans="1:13" ht="14.1" customHeight="1" x14ac:dyDescent="0.25">
      <c r="A239" s="92" t="s">
        <v>40</v>
      </c>
      <c r="B239" s="97">
        <v>2202</v>
      </c>
      <c r="C239" s="98">
        <v>75.718131868131863</v>
      </c>
      <c r="D239" s="98"/>
      <c r="E239" s="97">
        <v>2200</v>
      </c>
      <c r="F239" s="98">
        <v>77.492074674181055</v>
      </c>
      <c r="G239" s="98"/>
      <c r="H239" s="97">
        <v>2</v>
      </c>
      <c r="I239" s="98">
        <v>3.0769230769230771</v>
      </c>
      <c r="J239" s="98"/>
      <c r="K239" s="89" t="s">
        <v>96</v>
      </c>
      <c r="L239" s="90" t="s">
        <v>96</v>
      </c>
      <c r="M239" s="98"/>
    </row>
    <row r="240" spans="1:13" ht="14.1" customHeight="1" x14ac:dyDescent="0.25">
      <c r="A240" s="92" t="s">
        <v>41</v>
      </c>
      <c r="B240" s="97">
        <v>256</v>
      </c>
      <c r="C240" s="98">
        <v>8.791208791208792</v>
      </c>
      <c r="D240" s="98"/>
      <c r="E240" s="97">
        <v>209</v>
      </c>
      <c r="F240" s="98">
        <v>7.3617470940471996</v>
      </c>
      <c r="G240" s="98"/>
      <c r="H240" s="97">
        <v>40</v>
      </c>
      <c r="I240" s="98">
        <v>61.53846153846154</v>
      </c>
      <c r="J240" s="98"/>
      <c r="K240" s="89">
        <v>7</v>
      </c>
      <c r="L240" s="90">
        <v>87.5</v>
      </c>
      <c r="M240" s="98"/>
    </row>
    <row r="241" spans="1:13" ht="14.1" customHeight="1" x14ac:dyDescent="0.25">
      <c r="A241" s="92" t="s">
        <v>42</v>
      </c>
      <c r="B241" s="97">
        <v>4</v>
      </c>
      <c r="C241" s="98">
        <v>0.13736263736263737</v>
      </c>
      <c r="D241" s="98"/>
      <c r="E241" s="97">
        <v>4</v>
      </c>
      <c r="F241" s="98">
        <v>0.14089468122578372</v>
      </c>
      <c r="G241" s="98"/>
      <c r="H241" s="89" t="s">
        <v>96</v>
      </c>
      <c r="I241" s="90" t="s">
        <v>96</v>
      </c>
      <c r="J241" s="98"/>
      <c r="K241" s="89" t="s">
        <v>96</v>
      </c>
      <c r="L241" s="90" t="s">
        <v>96</v>
      </c>
      <c r="M241" s="98"/>
    </row>
    <row r="242" spans="1:13" ht="14.1" customHeight="1" x14ac:dyDescent="0.25">
      <c r="A242" s="92" t="s">
        <v>43</v>
      </c>
      <c r="B242" s="97">
        <v>62</v>
      </c>
      <c r="C242" s="98">
        <v>2.1291208791208791</v>
      </c>
      <c r="D242" s="98"/>
      <c r="E242" s="97">
        <v>58</v>
      </c>
      <c r="F242" s="98">
        <v>2.042972877773864</v>
      </c>
      <c r="G242" s="98"/>
      <c r="H242" s="89">
        <v>4</v>
      </c>
      <c r="I242" s="90">
        <v>6.1538461538461542</v>
      </c>
      <c r="J242" s="98"/>
      <c r="K242" s="89" t="s">
        <v>96</v>
      </c>
      <c r="L242" s="90" t="s">
        <v>96</v>
      </c>
      <c r="M242" s="98"/>
    </row>
    <row r="243" spans="1:13" ht="14.1" customHeight="1" x14ac:dyDescent="0.25">
      <c r="A243" s="92" t="s">
        <v>44</v>
      </c>
      <c r="B243" s="97">
        <v>380</v>
      </c>
      <c r="C243" s="98">
        <v>13.049450549450551</v>
      </c>
      <c r="D243" s="98"/>
      <c r="E243" s="97">
        <v>361</v>
      </c>
      <c r="F243" s="98">
        <v>12.715744980626981</v>
      </c>
      <c r="G243" s="98"/>
      <c r="H243" s="89">
        <v>18</v>
      </c>
      <c r="I243" s="90">
        <v>27.692307692307693</v>
      </c>
      <c r="J243" s="98"/>
      <c r="K243" s="89">
        <v>1</v>
      </c>
      <c r="L243" s="90">
        <v>12.5</v>
      </c>
      <c r="M243" s="98"/>
    </row>
    <row r="244" spans="1:13" ht="14.1" customHeight="1" x14ac:dyDescent="0.25">
      <c r="A244" s="92" t="s">
        <v>45</v>
      </c>
      <c r="B244" s="97">
        <v>6</v>
      </c>
      <c r="C244" s="98">
        <v>0.20604395604395606</v>
      </c>
      <c r="D244" s="98"/>
      <c r="E244" s="97">
        <v>5</v>
      </c>
      <c r="F244" s="98">
        <v>0.17611835153222966</v>
      </c>
      <c r="G244" s="98"/>
      <c r="H244" s="89">
        <v>1</v>
      </c>
      <c r="I244" s="90">
        <v>1.5384615384615385</v>
      </c>
      <c r="J244" s="98"/>
      <c r="K244" s="89" t="s">
        <v>96</v>
      </c>
      <c r="L244" s="90" t="s">
        <v>96</v>
      </c>
      <c r="M244" s="98"/>
    </row>
    <row r="245" spans="1:13" ht="17.25" hidden="1" customHeight="1" x14ac:dyDescent="0.25">
      <c r="A245" s="92" t="s">
        <v>46</v>
      </c>
      <c r="B245" s="97">
        <v>1</v>
      </c>
      <c r="C245" s="98">
        <v>3.4340659340659344E-2</v>
      </c>
      <c r="E245" s="97">
        <v>1</v>
      </c>
      <c r="F245" s="98">
        <v>3.522367030644593E-2</v>
      </c>
      <c r="H245" s="89" t="s">
        <v>96</v>
      </c>
      <c r="I245" s="90" t="s">
        <v>96</v>
      </c>
      <c r="J245" s="37"/>
      <c r="K245" s="89" t="s">
        <v>96</v>
      </c>
      <c r="L245" s="90" t="s">
        <v>96</v>
      </c>
    </row>
    <row r="246" spans="1:13" ht="14.1" customHeight="1" x14ac:dyDescent="0.25">
      <c r="A246" s="92" t="s">
        <v>47</v>
      </c>
      <c r="B246" s="97">
        <v>2</v>
      </c>
      <c r="C246" s="98">
        <v>6.8681318681318687E-2</v>
      </c>
      <c r="D246" s="98"/>
      <c r="E246" s="97">
        <v>2</v>
      </c>
      <c r="F246" s="98">
        <v>7.0447340612891859E-2</v>
      </c>
      <c r="G246" s="98"/>
      <c r="H246" s="89" t="s">
        <v>96</v>
      </c>
      <c r="I246" s="90" t="s">
        <v>96</v>
      </c>
      <c r="J246" s="98"/>
      <c r="K246" s="89" t="s">
        <v>96</v>
      </c>
      <c r="L246" s="90" t="s">
        <v>96</v>
      </c>
      <c r="M246" s="98"/>
    </row>
    <row r="247" spans="1:13" ht="14.1" customHeight="1" x14ac:dyDescent="0.25">
      <c r="A247" s="61"/>
      <c r="C247" s="5"/>
      <c r="D247" s="5"/>
      <c r="F247" s="37"/>
      <c r="I247" s="37"/>
      <c r="L247" s="37"/>
    </row>
    <row r="248" spans="1:13" ht="14.1" customHeight="1" x14ac:dyDescent="0.25">
      <c r="A248" s="63" t="s">
        <v>2</v>
      </c>
      <c r="B248" s="9">
        <v>753</v>
      </c>
      <c r="C248" s="15">
        <v>100</v>
      </c>
      <c r="D248" s="15"/>
      <c r="E248" s="9">
        <v>740</v>
      </c>
      <c r="F248" s="15">
        <v>100</v>
      </c>
      <c r="G248" s="15"/>
      <c r="H248" s="9">
        <v>9</v>
      </c>
      <c r="I248" s="15">
        <v>100</v>
      </c>
      <c r="J248" s="15"/>
      <c r="K248" s="9">
        <v>4</v>
      </c>
      <c r="L248" s="15">
        <v>100</v>
      </c>
      <c r="M248" s="15"/>
    </row>
    <row r="249" spans="1:13" ht="14.1" customHeight="1" x14ac:dyDescent="0.25">
      <c r="A249" s="61" t="s">
        <v>40</v>
      </c>
      <c r="B249" s="6">
        <v>628</v>
      </c>
      <c r="C249" s="5">
        <v>83.599734395750332</v>
      </c>
      <c r="D249" s="5"/>
      <c r="E249" s="6">
        <v>625</v>
      </c>
      <c r="F249" s="5">
        <v>84.459459459459467</v>
      </c>
      <c r="G249" s="5"/>
      <c r="H249" s="6">
        <v>2</v>
      </c>
      <c r="I249" s="5">
        <v>22.222222222222221</v>
      </c>
      <c r="J249" s="5"/>
      <c r="K249" s="6">
        <v>1</v>
      </c>
      <c r="L249" s="5">
        <v>25</v>
      </c>
      <c r="M249" s="5"/>
    </row>
    <row r="250" spans="1:13" ht="14.1" customHeight="1" x14ac:dyDescent="0.25">
      <c r="A250" s="61" t="s">
        <v>41</v>
      </c>
      <c r="B250" s="6">
        <v>32</v>
      </c>
      <c r="C250" s="5">
        <v>4.2496679946879148</v>
      </c>
      <c r="D250" s="5"/>
      <c r="E250" s="6">
        <v>25</v>
      </c>
      <c r="F250" s="5">
        <v>3.3783783783783785</v>
      </c>
      <c r="G250" s="5"/>
      <c r="H250" s="6">
        <v>4</v>
      </c>
      <c r="I250" s="5">
        <v>44.544444444444444</v>
      </c>
      <c r="J250" s="5"/>
      <c r="K250" s="6">
        <v>3</v>
      </c>
      <c r="L250" s="5">
        <v>75</v>
      </c>
      <c r="M250" s="5"/>
    </row>
    <row r="251" spans="1:13" ht="14.1" customHeight="1" x14ac:dyDescent="0.25">
      <c r="A251" s="61" t="s">
        <v>42</v>
      </c>
      <c r="B251" s="6">
        <v>1</v>
      </c>
      <c r="C251" s="5">
        <v>0.13280212483399734</v>
      </c>
      <c r="D251" s="5"/>
      <c r="E251" s="6">
        <v>1</v>
      </c>
      <c r="F251" s="5">
        <v>0.13513513513513514</v>
      </c>
      <c r="G251" s="5"/>
      <c r="H251" s="3" t="s">
        <v>96</v>
      </c>
      <c r="I251" s="3" t="s">
        <v>96</v>
      </c>
      <c r="J251" s="5"/>
      <c r="K251" s="3" t="s">
        <v>96</v>
      </c>
      <c r="L251" s="3" t="s">
        <v>96</v>
      </c>
      <c r="M251" s="5"/>
    </row>
    <row r="252" spans="1:13" ht="14.1" customHeight="1" x14ac:dyDescent="0.25">
      <c r="A252" s="61" t="s">
        <v>43</v>
      </c>
      <c r="B252" s="6">
        <v>19</v>
      </c>
      <c r="C252" s="5">
        <v>2.5232403718459495</v>
      </c>
      <c r="D252" s="5"/>
      <c r="E252" s="6">
        <v>19</v>
      </c>
      <c r="F252" s="5">
        <v>2.5675675675675675</v>
      </c>
      <c r="G252" s="5"/>
      <c r="H252" s="3" t="s">
        <v>96</v>
      </c>
      <c r="I252" s="16" t="s">
        <v>96</v>
      </c>
      <c r="J252" s="5"/>
      <c r="K252" s="3" t="s">
        <v>96</v>
      </c>
      <c r="L252" s="3" t="s">
        <v>96</v>
      </c>
      <c r="M252" s="5"/>
    </row>
    <row r="253" spans="1:13" ht="14.1" customHeight="1" x14ac:dyDescent="0.25">
      <c r="A253" s="61" t="s">
        <v>44</v>
      </c>
      <c r="B253" s="6">
        <v>68</v>
      </c>
      <c r="C253" s="5">
        <v>9.0305444887118203</v>
      </c>
      <c r="D253" s="5"/>
      <c r="E253" s="6">
        <v>65</v>
      </c>
      <c r="F253" s="5">
        <v>8.7837837837837842</v>
      </c>
      <c r="G253" s="5"/>
      <c r="H253" s="3">
        <v>3</v>
      </c>
      <c r="I253" s="16">
        <v>33.333333333333329</v>
      </c>
      <c r="J253" s="5"/>
      <c r="K253" s="3" t="s">
        <v>96</v>
      </c>
      <c r="L253" s="3" t="s">
        <v>96</v>
      </c>
      <c r="M253" s="5"/>
    </row>
    <row r="254" spans="1:13" ht="14.1" customHeight="1" x14ac:dyDescent="0.25">
      <c r="A254" s="61" t="s">
        <v>45</v>
      </c>
      <c r="B254" s="6">
        <v>1</v>
      </c>
      <c r="C254" s="5">
        <v>0.13280212483399734</v>
      </c>
      <c r="D254" s="5"/>
      <c r="E254" s="6">
        <v>1</v>
      </c>
      <c r="F254" s="5">
        <v>0.13513513513513514</v>
      </c>
      <c r="G254" s="5"/>
      <c r="H254" s="3" t="s">
        <v>96</v>
      </c>
      <c r="I254" s="16" t="s">
        <v>96</v>
      </c>
      <c r="J254" s="5"/>
      <c r="K254" s="3" t="s">
        <v>96</v>
      </c>
      <c r="L254" s="3" t="s">
        <v>96</v>
      </c>
      <c r="M254" s="5"/>
    </row>
    <row r="255" spans="1:13" ht="11.25" hidden="1" customHeight="1" x14ac:dyDescent="0.25">
      <c r="A255" s="61" t="s">
        <v>46</v>
      </c>
      <c r="B255" s="6">
        <v>3</v>
      </c>
      <c r="C255" s="5">
        <v>0.39840637450199201</v>
      </c>
      <c r="D255" s="5"/>
      <c r="E255" s="6">
        <v>3</v>
      </c>
      <c r="F255" s="5">
        <v>0.40540540540540543</v>
      </c>
      <c r="G255" s="5"/>
      <c r="H255" s="3" t="s">
        <v>96</v>
      </c>
      <c r="I255" s="16" t="s">
        <v>96</v>
      </c>
      <c r="J255" s="5"/>
      <c r="K255" s="3" t="s">
        <v>96</v>
      </c>
      <c r="L255" s="3" t="s">
        <v>96</v>
      </c>
      <c r="M255" s="5"/>
    </row>
    <row r="256" spans="1:13" ht="14.1" customHeight="1" x14ac:dyDescent="0.25">
      <c r="A256" s="61" t="s">
        <v>47</v>
      </c>
      <c r="B256" s="6">
        <v>4</v>
      </c>
      <c r="C256" s="5">
        <v>0.53120849933598935</v>
      </c>
      <c r="D256" s="5"/>
      <c r="E256" s="6">
        <v>4</v>
      </c>
      <c r="F256" s="5">
        <v>0.54054054054054057</v>
      </c>
      <c r="G256" s="5"/>
      <c r="H256" s="3" t="s">
        <v>96</v>
      </c>
      <c r="I256" s="3" t="s">
        <v>96</v>
      </c>
      <c r="J256" s="5"/>
      <c r="K256" s="3" t="s">
        <v>96</v>
      </c>
      <c r="L256" s="3" t="s">
        <v>96</v>
      </c>
      <c r="M256" s="5"/>
    </row>
    <row r="257" spans="1:13" ht="14.1" customHeight="1" x14ac:dyDescent="0.25">
      <c r="A257" s="68"/>
      <c r="C257" s="37"/>
      <c r="F257" s="37"/>
      <c r="I257" s="37"/>
      <c r="L257" s="37"/>
    </row>
    <row r="258" spans="1:13" ht="14.1" customHeight="1" x14ac:dyDescent="0.25">
      <c r="A258" s="94" t="s">
        <v>1</v>
      </c>
      <c r="B258" s="95">
        <v>2439</v>
      </c>
      <c r="C258" s="96">
        <v>100</v>
      </c>
      <c r="D258" s="96"/>
      <c r="E258" s="95">
        <v>2325</v>
      </c>
      <c r="F258" s="96">
        <v>100</v>
      </c>
      <c r="G258" s="96"/>
      <c r="H258" s="95">
        <v>97</v>
      </c>
      <c r="I258" s="96">
        <v>100</v>
      </c>
      <c r="J258" s="96"/>
      <c r="K258" s="95">
        <v>17</v>
      </c>
      <c r="L258" s="96">
        <v>100</v>
      </c>
      <c r="M258" s="96"/>
    </row>
    <row r="259" spans="1:13" ht="14.1" customHeight="1" x14ac:dyDescent="0.25">
      <c r="A259" s="92" t="s">
        <v>40</v>
      </c>
      <c r="B259" s="97">
        <v>1740</v>
      </c>
      <c r="C259" s="98">
        <v>71.340713407134075</v>
      </c>
      <c r="D259" s="98"/>
      <c r="E259" s="97">
        <v>1732</v>
      </c>
      <c r="F259" s="98">
        <v>74.594623655913978</v>
      </c>
      <c r="G259" s="98"/>
      <c r="H259" s="97">
        <v>8</v>
      </c>
      <c r="I259" s="98">
        <v>8.2474226804123703</v>
      </c>
      <c r="J259" s="98"/>
      <c r="K259" s="89" t="s">
        <v>96</v>
      </c>
      <c r="L259" s="89" t="s">
        <v>96</v>
      </c>
      <c r="M259" s="98"/>
    </row>
    <row r="260" spans="1:13" ht="14.1" customHeight="1" x14ac:dyDescent="0.25">
      <c r="A260" s="92" t="s">
        <v>41</v>
      </c>
      <c r="B260" s="97">
        <v>250</v>
      </c>
      <c r="C260" s="98">
        <v>10.25010250102501</v>
      </c>
      <c r="D260" s="98"/>
      <c r="E260" s="97">
        <v>187</v>
      </c>
      <c r="F260" s="98">
        <v>8.043010752688172</v>
      </c>
      <c r="G260" s="98"/>
      <c r="H260" s="97">
        <v>48</v>
      </c>
      <c r="I260" s="98">
        <v>49.58453608247423</v>
      </c>
      <c r="J260" s="98"/>
      <c r="K260" s="89">
        <v>15</v>
      </c>
      <c r="L260" s="90">
        <v>88.235294117647058</v>
      </c>
      <c r="M260" s="98"/>
    </row>
    <row r="261" spans="1:13" ht="14.1" customHeight="1" x14ac:dyDescent="0.25">
      <c r="A261" s="92" t="s">
        <v>42</v>
      </c>
      <c r="B261" s="97">
        <v>1</v>
      </c>
      <c r="C261" s="98">
        <v>4.1000410004100041E-2</v>
      </c>
      <c r="D261" s="98"/>
      <c r="E261" s="97">
        <v>1</v>
      </c>
      <c r="F261" s="98">
        <v>4.3010752688172046E-2</v>
      </c>
      <c r="G261" s="98"/>
      <c r="H261" s="89" t="s">
        <v>96</v>
      </c>
      <c r="I261" s="90" t="s">
        <v>96</v>
      </c>
      <c r="J261" s="89"/>
      <c r="K261" s="89" t="s">
        <v>96</v>
      </c>
      <c r="L261" s="90" t="s">
        <v>96</v>
      </c>
      <c r="M261" s="98"/>
    </row>
    <row r="262" spans="1:13" ht="14.1" customHeight="1" x14ac:dyDescent="0.25">
      <c r="A262" s="92" t="s">
        <v>43</v>
      </c>
      <c r="B262" s="97">
        <v>75</v>
      </c>
      <c r="C262" s="98">
        <v>3.0750307503075032</v>
      </c>
      <c r="D262" s="98"/>
      <c r="E262" s="97">
        <v>60</v>
      </c>
      <c r="F262" s="98">
        <v>2.5806451612903225</v>
      </c>
      <c r="G262" s="98"/>
      <c r="H262" s="89">
        <v>14</v>
      </c>
      <c r="I262" s="90">
        <v>14.432989690721648</v>
      </c>
      <c r="J262" s="98"/>
      <c r="K262" s="89">
        <v>1</v>
      </c>
      <c r="L262" s="90">
        <v>5.8823529411764701</v>
      </c>
      <c r="M262" s="98"/>
    </row>
    <row r="263" spans="1:13" ht="14.1" customHeight="1" x14ac:dyDescent="0.25">
      <c r="A263" s="92" t="s">
        <v>44</v>
      </c>
      <c r="B263" s="97">
        <v>362</v>
      </c>
      <c r="C263" s="98">
        <v>14.842148421484215</v>
      </c>
      <c r="D263" s="98"/>
      <c r="E263" s="97">
        <v>335</v>
      </c>
      <c r="F263" s="98">
        <v>14.408602150537634</v>
      </c>
      <c r="G263" s="98"/>
      <c r="H263" s="89">
        <v>26</v>
      </c>
      <c r="I263" s="90">
        <v>26.804123711340207</v>
      </c>
      <c r="J263" s="98"/>
      <c r="K263" s="89">
        <v>1</v>
      </c>
      <c r="L263" s="90">
        <v>5.8823529411764701</v>
      </c>
      <c r="M263" s="98"/>
    </row>
    <row r="264" spans="1:13" ht="14.1" customHeight="1" x14ac:dyDescent="0.25">
      <c r="A264" s="92" t="s">
        <v>45</v>
      </c>
      <c r="B264" s="97">
        <v>9</v>
      </c>
      <c r="C264" s="98">
        <v>0.36900369003690037</v>
      </c>
      <c r="D264" s="98"/>
      <c r="E264" s="97">
        <v>8</v>
      </c>
      <c r="F264" s="98">
        <v>0.34408602150537637</v>
      </c>
      <c r="G264" s="98"/>
      <c r="H264" s="89">
        <v>1</v>
      </c>
      <c r="I264" s="90">
        <v>1.0309278350515463</v>
      </c>
      <c r="J264" s="98"/>
      <c r="K264" s="89" t="s">
        <v>96</v>
      </c>
      <c r="L264" s="89" t="s">
        <v>96</v>
      </c>
      <c r="M264" s="98"/>
    </row>
    <row r="265" spans="1:13" ht="10.5" hidden="1" customHeight="1" x14ac:dyDescent="0.25">
      <c r="A265" s="92" t="s">
        <v>46</v>
      </c>
      <c r="B265" s="97">
        <v>1</v>
      </c>
      <c r="C265" s="98">
        <v>4.1000410004100041E-2</v>
      </c>
      <c r="D265" s="98"/>
      <c r="E265" s="97">
        <v>1</v>
      </c>
      <c r="F265" s="98">
        <v>4.3010752688172046E-2</v>
      </c>
      <c r="G265" s="98"/>
      <c r="H265" s="89" t="s">
        <v>96</v>
      </c>
      <c r="I265" s="90" t="s">
        <v>96</v>
      </c>
      <c r="J265" s="98"/>
      <c r="K265" s="89" t="s">
        <v>96</v>
      </c>
      <c r="L265" s="89" t="s">
        <v>96</v>
      </c>
      <c r="M265" s="98"/>
    </row>
    <row r="266" spans="1:13" ht="14.1" customHeight="1" x14ac:dyDescent="0.25">
      <c r="A266" s="92" t="s">
        <v>47</v>
      </c>
      <c r="B266" s="97">
        <v>2</v>
      </c>
      <c r="C266" s="98">
        <v>8.2000820008200082E-2</v>
      </c>
      <c r="D266" s="98"/>
      <c r="E266" s="97">
        <v>2</v>
      </c>
      <c r="F266" s="98">
        <v>8.6021505376344093E-2</v>
      </c>
      <c r="G266" s="98"/>
      <c r="H266" s="89" t="s">
        <v>96</v>
      </c>
      <c r="I266" s="90" t="s">
        <v>96</v>
      </c>
      <c r="J266" s="98"/>
      <c r="K266" s="89" t="s">
        <v>96</v>
      </c>
      <c r="L266" s="89" t="s">
        <v>96</v>
      </c>
      <c r="M266" s="98"/>
    </row>
    <row r="267" spans="1:13" ht="18" customHeight="1" x14ac:dyDescent="0.25">
      <c r="A267" s="61"/>
      <c r="B267" s="9"/>
      <c r="C267" s="15"/>
      <c r="D267" s="15"/>
      <c r="E267" s="9"/>
      <c r="F267" s="15"/>
      <c r="G267" s="15"/>
      <c r="H267" s="9"/>
      <c r="I267" s="15"/>
      <c r="J267" s="15"/>
      <c r="K267" s="9"/>
      <c r="L267" s="15"/>
      <c r="M267" s="15"/>
    </row>
    <row r="268" spans="1:13" ht="18" customHeight="1" x14ac:dyDescent="0.25">
      <c r="A268" s="63" t="s">
        <v>76</v>
      </c>
      <c r="B268" s="9">
        <v>113361</v>
      </c>
      <c r="C268" s="15">
        <v>100</v>
      </c>
      <c r="D268" s="15"/>
      <c r="E268" s="9">
        <v>107279</v>
      </c>
      <c r="F268" s="15">
        <v>100</v>
      </c>
      <c r="G268" s="15"/>
      <c r="H268" s="9">
        <v>4798</v>
      </c>
      <c r="I268" s="15">
        <v>100</v>
      </c>
      <c r="J268" s="15"/>
      <c r="K268" s="9">
        <v>1284</v>
      </c>
      <c r="L268" s="15">
        <v>100</v>
      </c>
      <c r="M268" s="15"/>
    </row>
    <row r="269" spans="1:13" ht="18" customHeight="1" x14ac:dyDescent="0.25">
      <c r="A269" s="61" t="s">
        <v>40</v>
      </c>
      <c r="B269" s="6">
        <v>69712</v>
      </c>
      <c r="C269" s="5">
        <v>61.595576079956949</v>
      </c>
      <c r="D269" s="5"/>
      <c r="E269" s="6">
        <v>69524</v>
      </c>
      <c r="F269" s="5">
        <v>64.90671892914736</v>
      </c>
      <c r="G269" s="5"/>
      <c r="H269" s="6">
        <v>183</v>
      </c>
      <c r="I269" s="5">
        <v>3.8140892038349312</v>
      </c>
      <c r="J269" s="5"/>
      <c r="K269" s="6">
        <v>5</v>
      </c>
      <c r="L269" s="5">
        <v>0.38940809968847351</v>
      </c>
      <c r="M269" s="5"/>
    </row>
    <row r="270" spans="1:13" ht="18" customHeight="1" x14ac:dyDescent="0.25">
      <c r="A270" s="61" t="s">
        <v>41</v>
      </c>
      <c r="B270" s="6">
        <v>27122</v>
      </c>
      <c r="C270" s="5">
        <v>23.925335873889608</v>
      </c>
      <c r="D270" s="5"/>
      <c r="E270" s="6">
        <v>22581</v>
      </c>
      <c r="F270" s="5">
        <v>21.048853922948574</v>
      </c>
      <c r="G270" s="5"/>
      <c r="H270" s="6">
        <v>3400</v>
      </c>
      <c r="I270" s="5">
        <v>70.862859524802005</v>
      </c>
      <c r="J270" s="5"/>
      <c r="K270" s="6">
        <v>1141</v>
      </c>
      <c r="L270" s="5">
        <v>88.762928348909654</v>
      </c>
      <c r="M270" s="5"/>
    </row>
    <row r="271" spans="1:13" ht="18" customHeight="1" x14ac:dyDescent="0.25">
      <c r="A271" s="61" t="s">
        <v>42</v>
      </c>
      <c r="B271" s="6">
        <v>349</v>
      </c>
      <c r="C271" s="5">
        <v>0.30786602094194654</v>
      </c>
      <c r="D271" s="5"/>
      <c r="E271" s="6">
        <v>340</v>
      </c>
      <c r="F271" s="5">
        <v>0.3169306201586517</v>
      </c>
      <c r="G271" s="5"/>
      <c r="H271" s="6">
        <v>6</v>
      </c>
      <c r="I271" s="5">
        <v>0.12505210504376824</v>
      </c>
      <c r="J271" s="5"/>
      <c r="K271" s="6">
        <v>3</v>
      </c>
      <c r="L271" s="5">
        <v>0.23364485981308408</v>
      </c>
      <c r="M271" s="5"/>
    </row>
    <row r="272" spans="1:13" ht="18" customHeight="1" x14ac:dyDescent="0.25">
      <c r="A272" s="61" t="s">
        <v>43</v>
      </c>
      <c r="B272" s="6">
        <v>2820</v>
      </c>
      <c r="C272" s="5">
        <v>2.4876280202185934</v>
      </c>
      <c r="D272" s="5"/>
      <c r="E272" s="6">
        <v>2321</v>
      </c>
      <c r="F272" s="5">
        <v>2.1635175570242078</v>
      </c>
      <c r="G272" s="5"/>
      <c r="H272" s="6">
        <v>427</v>
      </c>
      <c r="I272" s="5">
        <v>8.8995414756148392</v>
      </c>
      <c r="J272" s="5"/>
      <c r="K272" s="6">
        <v>72</v>
      </c>
      <c r="L272" s="5">
        <v>5.6074766355140184</v>
      </c>
      <c r="M272" s="5"/>
    </row>
    <row r="273" spans="1:13" ht="18" customHeight="1" x14ac:dyDescent="0.25">
      <c r="A273" s="61" t="s">
        <v>44</v>
      </c>
      <c r="B273" s="6">
        <v>13190</v>
      </c>
      <c r="C273" s="5">
        <v>11.635394888894769</v>
      </c>
      <c r="D273" s="5"/>
      <c r="E273" s="6">
        <v>12380</v>
      </c>
      <c r="F273" s="5">
        <v>11.540003169306202</v>
      </c>
      <c r="G273" s="5"/>
      <c r="H273" s="6">
        <v>759</v>
      </c>
      <c r="I273" s="5">
        <v>15.819091288036683</v>
      </c>
      <c r="J273" s="5"/>
      <c r="K273" s="6">
        <v>51</v>
      </c>
      <c r="L273" s="5">
        <v>3.9719626168224296</v>
      </c>
      <c r="M273" s="5"/>
    </row>
    <row r="274" spans="1:13" ht="18" customHeight="1" x14ac:dyDescent="0.25">
      <c r="A274" s="61" t="s">
        <v>45</v>
      </c>
      <c r="B274" s="6">
        <v>33</v>
      </c>
      <c r="C274" s="5">
        <v>2.9110540662132478E-2</v>
      </c>
      <c r="D274" s="5"/>
      <c r="E274" s="6">
        <v>25</v>
      </c>
      <c r="F274" s="5">
        <v>2.33037220704891E-2</v>
      </c>
      <c r="G274" s="5"/>
      <c r="H274" s="6">
        <v>6</v>
      </c>
      <c r="I274" s="5">
        <v>0.12505210504376824</v>
      </c>
      <c r="J274" s="5"/>
      <c r="K274" s="6">
        <v>2</v>
      </c>
      <c r="L274" s="5">
        <v>0.1557632398753894</v>
      </c>
      <c r="M274" s="5"/>
    </row>
    <row r="275" spans="1:13" ht="13.5" hidden="1" customHeight="1" x14ac:dyDescent="0.25">
      <c r="A275" s="61" t="s">
        <v>46</v>
      </c>
      <c r="B275" s="6">
        <v>14</v>
      </c>
      <c r="C275" s="5">
        <v>1.2349926341510749E-2</v>
      </c>
      <c r="D275" s="5"/>
      <c r="E275" s="6">
        <v>12</v>
      </c>
      <c r="F275" s="5">
        <v>1.1185786593834767E-2</v>
      </c>
      <c r="G275" s="5"/>
      <c r="H275" s="6">
        <v>2</v>
      </c>
      <c r="I275" s="5">
        <v>4.1684035014589414E-2</v>
      </c>
      <c r="J275" s="5"/>
      <c r="K275" s="3" t="s">
        <v>96</v>
      </c>
      <c r="L275" s="3" t="s">
        <v>96</v>
      </c>
      <c r="M275" s="5"/>
    </row>
    <row r="276" spans="1:13" ht="18" customHeight="1" x14ac:dyDescent="0.25">
      <c r="A276" s="61" t="s">
        <v>47</v>
      </c>
      <c r="B276" s="6">
        <v>135</v>
      </c>
      <c r="C276" s="5">
        <v>0.11908857543599649</v>
      </c>
      <c r="D276" s="5"/>
      <c r="E276" s="6">
        <v>108</v>
      </c>
      <c r="F276" s="5">
        <v>0.1006720793445129</v>
      </c>
      <c r="G276" s="5"/>
      <c r="H276" s="6">
        <v>17</v>
      </c>
      <c r="I276" s="5">
        <v>0.35431429762401001</v>
      </c>
      <c r="J276" s="5"/>
      <c r="K276" s="6">
        <v>10</v>
      </c>
      <c r="L276" s="5">
        <v>0.77881619937694702</v>
      </c>
      <c r="M276" s="5"/>
    </row>
    <row r="277" spans="1:13" ht="11.25" customHeight="1" x14ac:dyDescent="0.25">
      <c r="A277" s="61"/>
      <c r="B277" s="6"/>
      <c r="C277" s="5"/>
      <c r="D277" s="5"/>
      <c r="E277" s="6"/>
      <c r="F277" s="5"/>
      <c r="G277" s="5"/>
      <c r="H277" s="6"/>
      <c r="I277" s="5"/>
      <c r="J277" s="5"/>
      <c r="K277" s="6"/>
      <c r="L277" s="5"/>
      <c r="M277" s="5"/>
    </row>
    <row r="278" spans="1:13" ht="14.1" customHeight="1" x14ac:dyDescent="0.25">
      <c r="A278" s="94" t="s">
        <v>77</v>
      </c>
      <c r="B278" s="95">
        <v>3534</v>
      </c>
      <c r="C278" s="96">
        <v>100</v>
      </c>
      <c r="D278" s="96"/>
      <c r="E278" s="95">
        <v>3422</v>
      </c>
      <c r="F278" s="96">
        <v>100</v>
      </c>
      <c r="G278" s="96"/>
      <c r="H278" s="95">
        <v>83</v>
      </c>
      <c r="I278" s="96">
        <v>100</v>
      </c>
      <c r="J278" s="96"/>
      <c r="K278" s="95">
        <v>29</v>
      </c>
      <c r="L278" s="96">
        <v>100</v>
      </c>
      <c r="M278" s="96"/>
    </row>
    <row r="279" spans="1:13" ht="14.1" customHeight="1" x14ac:dyDescent="0.25">
      <c r="A279" s="92" t="s">
        <v>40</v>
      </c>
      <c r="B279" s="97">
        <v>2625</v>
      </c>
      <c r="C279" s="98">
        <v>74.278438030560267</v>
      </c>
      <c r="D279" s="98"/>
      <c r="E279" s="97">
        <v>2617</v>
      </c>
      <c r="F279" s="98">
        <v>76.575745178258316</v>
      </c>
      <c r="G279" s="98"/>
      <c r="H279" s="97">
        <v>7</v>
      </c>
      <c r="I279" s="98">
        <v>8.4337349397590362</v>
      </c>
      <c r="J279" s="98"/>
      <c r="K279" s="97">
        <v>1</v>
      </c>
      <c r="L279" s="98">
        <v>3.4482758620689653</v>
      </c>
      <c r="M279" s="98"/>
    </row>
    <row r="280" spans="1:13" ht="14.1" customHeight="1" x14ac:dyDescent="0.25">
      <c r="A280" s="92" t="s">
        <v>41</v>
      </c>
      <c r="B280" s="97">
        <v>492</v>
      </c>
      <c r="C280" s="98">
        <v>13.921901528013583</v>
      </c>
      <c r="D280" s="98"/>
      <c r="E280" s="97">
        <v>412</v>
      </c>
      <c r="F280" s="98">
        <v>12.039742840444184</v>
      </c>
      <c r="G280" s="98"/>
      <c r="H280" s="97">
        <v>54</v>
      </c>
      <c r="I280" s="98">
        <v>65.060240963855421</v>
      </c>
      <c r="J280" s="98"/>
      <c r="K280" s="89">
        <v>26</v>
      </c>
      <c r="L280" s="98">
        <v>89.755172413793105</v>
      </c>
      <c r="M280" s="98"/>
    </row>
    <row r="281" spans="1:13" ht="14.1" customHeight="1" x14ac:dyDescent="0.25">
      <c r="A281" s="92" t="s">
        <v>42</v>
      </c>
      <c r="B281" s="97">
        <v>12</v>
      </c>
      <c r="C281" s="98">
        <v>0.3395585738539898</v>
      </c>
      <c r="D281" s="98"/>
      <c r="E281" s="97">
        <v>11</v>
      </c>
      <c r="F281" s="98">
        <v>0.32144944476914089</v>
      </c>
      <c r="G281" s="98"/>
      <c r="H281" s="97">
        <v>1</v>
      </c>
      <c r="I281" s="98">
        <v>1.2048192771084338</v>
      </c>
      <c r="J281" s="98"/>
      <c r="K281" s="89" t="s">
        <v>96</v>
      </c>
      <c r="L281" s="90" t="s">
        <v>96</v>
      </c>
      <c r="M281" s="89"/>
    </row>
    <row r="282" spans="1:13" ht="14.1" customHeight="1" x14ac:dyDescent="0.25">
      <c r="A282" s="92" t="s">
        <v>43</v>
      </c>
      <c r="B282" s="97">
        <v>59</v>
      </c>
      <c r="C282" s="98">
        <v>1.6694963214487835</v>
      </c>
      <c r="D282" s="98"/>
      <c r="E282" s="97">
        <v>53</v>
      </c>
      <c r="F282" s="98">
        <v>1.5488018702513151</v>
      </c>
      <c r="G282" s="98"/>
      <c r="H282" s="97">
        <v>5</v>
      </c>
      <c r="I282" s="98">
        <v>6.024096385542169</v>
      </c>
      <c r="J282" s="98"/>
      <c r="K282" s="89">
        <v>1</v>
      </c>
      <c r="L282" s="90">
        <v>3.4482758620689653</v>
      </c>
      <c r="M282" s="98"/>
    </row>
    <row r="283" spans="1:13" ht="14.1" customHeight="1" x14ac:dyDescent="0.25">
      <c r="A283" s="92" t="s">
        <v>44</v>
      </c>
      <c r="B283" s="97">
        <v>336</v>
      </c>
      <c r="C283" s="98">
        <v>9.5076400679117139</v>
      </c>
      <c r="D283" s="98"/>
      <c r="E283" s="97">
        <v>319</v>
      </c>
      <c r="F283" s="98">
        <v>9.3220338983050848</v>
      </c>
      <c r="G283" s="98"/>
      <c r="H283" s="97">
        <v>16</v>
      </c>
      <c r="I283" s="98">
        <v>19.277108433734941</v>
      </c>
      <c r="J283" s="98"/>
      <c r="K283" s="89">
        <v>1</v>
      </c>
      <c r="L283" s="90">
        <v>3.4482758620689653</v>
      </c>
      <c r="M283" s="98"/>
    </row>
    <row r="284" spans="1:13" ht="13.5" customHeight="1" x14ac:dyDescent="0.25">
      <c r="A284" s="92" t="s">
        <v>45</v>
      </c>
      <c r="B284" s="97">
        <v>7</v>
      </c>
      <c r="C284" s="98">
        <v>0.19807583474816073</v>
      </c>
      <c r="D284" s="98"/>
      <c r="E284" s="97">
        <v>7</v>
      </c>
      <c r="F284" s="98">
        <v>0.20455873758036236</v>
      </c>
      <c r="G284" s="98"/>
      <c r="H284" s="89" t="s">
        <v>96</v>
      </c>
      <c r="I284" s="89" t="s">
        <v>96</v>
      </c>
      <c r="J284" s="98"/>
      <c r="K284" s="89" t="s">
        <v>96</v>
      </c>
      <c r="L284" s="89" t="s">
        <v>96</v>
      </c>
      <c r="M284" s="98"/>
    </row>
    <row r="285" spans="1:13" ht="15" hidden="1" customHeight="1" x14ac:dyDescent="0.25">
      <c r="A285" s="92" t="s">
        <v>46</v>
      </c>
      <c r="B285" s="89" t="s">
        <v>96</v>
      </c>
      <c r="C285" s="90" t="s">
        <v>96</v>
      </c>
      <c r="E285" s="89" t="s">
        <v>96</v>
      </c>
      <c r="F285" s="90" t="s">
        <v>96</v>
      </c>
      <c r="H285" s="89" t="s">
        <v>96</v>
      </c>
      <c r="I285" s="89" t="s">
        <v>96</v>
      </c>
      <c r="K285" s="89" t="s">
        <v>96</v>
      </c>
      <c r="L285" s="89" t="s">
        <v>96</v>
      </c>
    </row>
    <row r="286" spans="1:13" ht="14.1" customHeight="1" x14ac:dyDescent="0.25">
      <c r="A286" s="92" t="s">
        <v>47</v>
      </c>
      <c r="B286" s="97">
        <v>3</v>
      </c>
      <c r="C286" s="98">
        <v>8.4889643463497449E-2</v>
      </c>
      <c r="D286" s="97"/>
      <c r="E286" s="97">
        <v>3</v>
      </c>
      <c r="F286" s="98">
        <v>8.766803039158387E-2</v>
      </c>
      <c r="G286" s="98"/>
      <c r="H286" s="89" t="s">
        <v>96</v>
      </c>
      <c r="I286" s="89" t="s">
        <v>96</v>
      </c>
      <c r="J286" s="98"/>
      <c r="K286" s="89" t="s">
        <v>96</v>
      </c>
      <c r="L286" s="89" t="s">
        <v>96</v>
      </c>
      <c r="M286" s="89"/>
    </row>
    <row r="287" spans="1:13" ht="14.25" customHeight="1" thickBot="1" x14ac:dyDescent="0.3">
      <c r="A287" s="70"/>
      <c r="B287" s="95"/>
      <c r="C287" s="88"/>
      <c r="D287" s="71"/>
      <c r="E287" s="71"/>
      <c r="F287" s="88"/>
      <c r="G287" s="88"/>
      <c r="H287" s="71"/>
      <c r="I287" s="71"/>
      <c r="J287" s="71"/>
      <c r="K287" s="71"/>
      <c r="L287" s="88"/>
      <c r="M287" s="71"/>
    </row>
    <row r="288" spans="1:13" ht="53.25" customHeight="1" x14ac:dyDescent="0.25">
      <c r="A288" s="182" t="s">
        <v>84</v>
      </c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</row>
    <row r="289" ht="14.1" customHeight="1" x14ac:dyDescent="0.25"/>
    <row r="290" ht="11.1" customHeight="1" x14ac:dyDescent="0.25"/>
    <row r="291" ht="11.1" customHeight="1" x14ac:dyDescent="0.25"/>
    <row r="292" ht="12.95" customHeight="1" x14ac:dyDescent="0.25"/>
    <row r="293" ht="12.95" customHeight="1" x14ac:dyDescent="0.25"/>
  </sheetData>
  <mergeCells count="9">
    <mergeCell ref="A288:M288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 verticalCentered="1"/>
  <pageMargins left="0.98425196850393704" right="0.98425196850393704" top="0.98425196850393704" bottom="0.98425196850393704" header="0.31496062992125984" footer="0.31496062992125984"/>
  <pageSetup paperSize="9" scale="67" orientation="portrait" r:id="rId1"/>
  <rowBreaks count="5" manualBreakCount="5">
    <brk id="66" max="12" man="1"/>
    <brk id="116" max="12" man="1"/>
    <brk id="176" max="16383" man="1"/>
    <brk id="216" max="12" man="1"/>
    <brk id="26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1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1.28515625" style="23" customWidth="1"/>
    <col min="2" max="2" width="8.140625" style="23" customWidth="1"/>
    <col min="3" max="3" width="6.28515625" style="23" customWidth="1"/>
    <col min="4" max="4" width="1" style="23" customWidth="1"/>
    <col min="5" max="5" width="8.140625" style="23" customWidth="1"/>
    <col min="6" max="6" width="6.28515625" style="23" customWidth="1"/>
    <col min="7" max="7" width="1.85546875" style="23" customWidth="1"/>
    <col min="8" max="8" width="8.140625" style="23" customWidth="1"/>
    <col min="9" max="9" width="6.28515625" style="23" customWidth="1"/>
    <col min="10" max="10" width="1.42578125" style="23" customWidth="1"/>
    <col min="11" max="11" width="8.140625" style="23" customWidth="1"/>
    <col min="12" max="12" width="7.140625" style="23" customWidth="1"/>
    <col min="13" max="13" width="1.7109375" style="23" customWidth="1"/>
    <col min="14" max="16384" width="11.42578125" style="23"/>
  </cols>
  <sheetData>
    <row r="1" spans="1:13" ht="12.75" customHeight="1" x14ac:dyDescent="0.25">
      <c r="A1" s="187" t="s">
        <v>59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 ht="13.5" x14ac:dyDescent="0.25">
      <c r="A2" s="187" t="s">
        <v>91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1:13" ht="6" customHeight="1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5.95" customHeight="1" thickBot="1" x14ac:dyDescent="0.3">
      <c r="A4" s="164" t="s">
        <v>72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13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3" ht="15.9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3" ht="3.75" customHeight="1" x14ac:dyDescent="0.25">
      <c r="A7" s="80"/>
      <c r="B7" s="27"/>
      <c r="C7" s="26"/>
      <c r="D7" s="26"/>
      <c r="E7" s="27"/>
      <c r="F7" s="26"/>
      <c r="G7" s="26"/>
      <c r="H7" s="27"/>
      <c r="I7" s="26"/>
      <c r="J7" s="26"/>
      <c r="K7" s="27"/>
      <c r="L7" s="26"/>
      <c r="M7" s="26"/>
    </row>
    <row r="8" spans="1:13" ht="15.95" customHeight="1" x14ac:dyDescent="0.25">
      <c r="A8" s="81" t="s">
        <v>22</v>
      </c>
      <c r="B8" s="28">
        <v>1324819</v>
      </c>
      <c r="C8" s="36">
        <v>100</v>
      </c>
      <c r="D8" s="36"/>
      <c r="E8" s="28">
        <v>1291770</v>
      </c>
      <c r="F8" s="36">
        <v>100</v>
      </c>
      <c r="G8" s="36"/>
      <c r="H8" s="28">
        <v>27475</v>
      </c>
      <c r="I8" s="36">
        <v>100</v>
      </c>
      <c r="J8" s="36"/>
      <c r="K8" s="28">
        <v>5574</v>
      </c>
      <c r="L8" s="36">
        <v>100</v>
      </c>
      <c r="M8" s="36"/>
    </row>
    <row r="9" spans="1:13" ht="15.95" customHeight="1" x14ac:dyDescent="0.25">
      <c r="A9" s="82" t="s">
        <v>21</v>
      </c>
      <c r="B9" s="29">
        <v>7010</v>
      </c>
      <c r="C9" s="30">
        <v>0.62912888477595796</v>
      </c>
      <c r="D9" s="30"/>
      <c r="E9" s="29">
        <v>6823</v>
      </c>
      <c r="F9" s="30">
        <v>0.52819000286428697</v>
      </c>
      <c r="G9" s="30"/>
      <c r="H9" s="29">
        <v>165</v>
      </c>
      <c r="I9" s="30">
        <v>0.6005459508644222</v>
      </c>
      <c r="J9" s="30"/>
      <c r="K9" s="29">
        <v>22</v>
      </c>
      <c r="L9" s="30">
        <v>0.39468963042698241</v>
      </c>
      <c r="M9" s="30"/>
    </row>
    <row r="10" spans="1:13" ht="15.95" customHeight="1" x14ac:dyDescent="0.25">
      <c r="A10" s="82" t="s">
        <v>56</v>
      </c>
      <c r="B10" s="29">
        <v>39423</v>
      </c>
      <c r="C10" s="30">
        <v>2.9757272502885299</v>
      </c>
      <c r="D10" s="30"/>
      <c r="E10" s="29">
        <v>38794</v>
      </c>
      <c r="F10" s="30">
        <v>3.0031661983170381</v>
      </c>
      <c r="G10" s="30"/>
      <c r="H10" s="29">
        <v>571</v>
      </c>
      <c r="I10" s="30">
        <v>2.0782529572338491</v>
      </c>
      <c r="J10" s="30"/>
      <c r="K10" s="29">
        <v>58</v>
      </c>
      <c r="L10" s="30">
        <v>1.0405453893074992</v>
      </c>
      <c r="M10" s="30"/>
    </row>
    <row r="11" spans="1:13" ht="15.95" customHeight="1" x14ac:dyDescent="0.25">
      <c r="A11" s="82" t="s">
        <v>49</v>
      </c>
      <c r="B11" s="29">
        <v>11579</v>
      </c>
      <c r="C11" s="30">
        <v>0.87400618499583715</v>
      </c>
      <c r="D11" s="30"/>
      <c r="E11" s="29">
        <v>11321</v>
      </c>
      <c r="F11" s="30">
        <v>0.87639440457666606</v>
      </c>
      <c r="G11" s="30"/>
      <c r="H11" s="29">
        <v>232</v>
      </c>
      <c r="I11" s="30">
        <v>0.84440400363967238</v>
      </c>
      <c r="J11" s="30"/>
      <c r="K11" s="29">
        <v>26</v>
      </c>
      <c r="L11" s="30">
        <v>0.46645138141370646</v>
      </c>
      <c r="M11" s="30"/>
    </row>
    <row r="12" spans="1:13" ht="15.95" customHeight="1" x14ac:dyDescent="0.25">
      <c r="A12" s="82" t="s">
        <v>20</v>
      </c>
      <c r="B12" s="29">
        <v>73015</v>
      </c>
      <c r="C12" s="30">
        <v>5.5113189046956608</v>
      </c>
      <c r="D12" s="30"/>
      <c r="E12" s="29">
        <v>71570</v>
      </c>
      <c r="F12" s="30">
        <v>5.5404599890073314</v>
      </c>
      <c r="G12" s="30"/>
      <c r="H12" s="29">
        <v>1244</v>
      </c>
      <c r="I12" s="30">
        <v>4.5277525022747955</v>
      </c>
      <c r="J12" s="30"/>
      <c r="K12" s="29">
        <v>201</v>
      </c>
      <c r="L12" s="30">
        <v>3.6060279870828849</v>
      </c>
      <c r="M12" s="30"/>
    </row>
    <row r="13" spans="1:13" ht="15.95" customHeight="1" x14ac:dyDescent="0.25">
      <c r="A13" s="82" t="s">
        <v>19</v>
      </c>
      <c r="B13" s="29">
        <v>16610</v>
      </c>
      <c r="C13" s="30">
        <v>1.2537561734848308</v>
      </c>
      <c r="D13" s="30"/>
      <c r="E13" s="29">
        <v>16222</v>
      </c>
      <c r="F13" s="30">
        <v>1.2557963104887093</v>
      </c>
      <c r="G13" s="30"/>
      <c r="H13" s="29">
        <v>340</v>
      </c>
      <c r="I13" s="30">
        <v>1.2374886260236579</v>
      </c>
      <c r="J13" s="30"/>
      <c r="K13" s="29">
        <v>48</v>
      </c>
      <c r="L13" s="30">
        <v>0.86114101184068881</v>
      </c>
      <c r="M13" s="30"/>
    </row>
    <row r="14" spans="1:13" ht="15.95" customHeight="1" x14ac:dyDescent="0.25">
      <c r="A14" s="82" t="s">
        <v>18</v>
      </c>
      <c r="B14" s="29">
        <v>29646</v>
      </c>
      <c r="C14" s="30">
        <v>2.2377396459440875</v>
      </c>
      <c r="D14" s="30"/>
      <c r="E14" s="29">
        <v>29050</v>
      </c>
      <c r="F14" s="30">
        <v>2.2488523498765263</v>
      </c>
      <c r="G14" s="30"/>
      <c r="H14" s="29">
        <v>489</v>
      </c>
      <c r="I14" s="30">
        <v>1.7797998180163785</v>
      </c>
      <c r="J14" s="30"/>
      <c r="K14" s="29">
        <v>107</v>
      </c>
      <c r="L14" s="30">
        <v>1.9196268388948692</v>
      </c>
      <c r="M14" s="30"/>
    </row>
    <row r="15" spans="1:13" ht="15.95" customHeight="1" x14ac:dyDescent="0.25">
      <c r="A15" s="82" t="s">
        <v>55</v>
      </c>
      <c r="B15" s="29">
        <v>41595</v>
      </c>
      <c r="C15" s="30">
        <v>3.1396741743589125</v>
      </c>
      <c r="D15" s="30"/>
      <c r="E15" s="29">
        <v>40783</v>
      </c>
      <c r="F15" s="30">
        <v>3.1571409771089276</v>
      </c>
      <c r="G15" s="30"/>
      <c r="H15" s="29">
        <v>655</v>
      </c>
      <c r="I15" s="30">
        <v>2.3839854413102821</v>
      </c>
      <c r="J15" s="30"/>
      <c r="K15" s="29">
        <v>157</v>
      </c>
      <c r="L15" s="30">
        <v>2.8166487262289199</v>
      </c>
      <c r="M15" s="30"/>
    </row>
    <row r="16" spans="1:13" ht="15.95" customHeight="1" x14ac:dyDescent="0.25">
      <c r="A16" s="82" t="s">
        <v>17</v>
      </c>
      <c r="B16" s="29">
        <v>52055</v>
      </c>
      <c r="C16" s="30">
        <v>3.9392159910146214</v>
      </c>
      <c r="D16" s="30"/>
      <c r="E16" s="29">
        <v>51314</v>
      </c>
      <c r="F16" s="30">
        <v>3.9723789838748385</v>
      </c>
      <c r="G16" s="30"/>
      <c r="H16" s="29">
        <v>651</v>
      </c>
      <c r="I16" s="30">
        <v>2.3694267515923566</v>
      </c>
      <c r="J16" s="30"/>
      <c r="K16" s="29">
        <v>90</v>
      </c>
      <c r="L16" s="30">
        <v>1.6146393972012916</v>
      </c>
      <c r="M16" s="30"/>
    </row>
    <row r="17" spans="1:13" ht="15.95" customHeight="1" x14ac:dyDescent="0.25">
      <c r="A17" s="82" t="s">
        <v>16</v>
      </c>
      <c r="B17" s="29">
        <v>6306</v>
      </c>
      <c r="C17" s="30">
        <v>0.47598955027064077</v>
      </c>
      <c r="D17" s="30"/>
      <c r="E17" s="29">
        <v>6236</v>
      </c>
      <c r="F17" s="30">
        <v>0.48274847689604189</v>
      </c>
      <c r="G17" s="30"/>
      <c r="H17" s="29">
        <v>66</v>
      </c>
      <c r="I17" s="30">
        <v>0.3402183803457689</v>
      </c>
      <c r="J17" s="30"/>
      <c r="K17" s="29">
        <v>4</v>
      </c>
      <c r="L17" s="30">
        <v>7.1761750986724077E-2</v>
      </c>
      <c r="M17" s="30"/>
    </row>
    <row r="18" spans="1:13" ht="15.95" customHeight="1" x14ac:dyDescent="0.25">
      <c r="A18" s="82" t="s">
        <v>15</v>
      </c>
      <c r="B18" s="29">
        <v>20999</v>
      </c>
      <c r="C18" s="30">
        <v>1.5850467120414184</v>
      </c>
      <c r="D18" s="30"/>
      <c r="E18" s="29">
        <v>20559</v>
      </c>
      <c r="F18" s="30">
        <v>1.59153719315358</v>
      </c>
      <c r="G18" s="30"/>
      <c r="H18" s="29">
        <v>386</v>
      </c>
      <c r="I18" s="30">
        <v>1.4049135577797998</v>
      </c>
      <c r="J18" s="30"/>
      <c r="K18" s="29">
        <v>54</v>
      </c>
      <c r="L18" s="30">
        <v>0.96878363832077508</v>
      </c>
      <c r="M18" s="30"/>
    </row>
    <row r="19" spans="1:13" ht="15.95" customHeight="1" x14ac:dyDescent="0.25">
      <c r="A19" s="82" t="s">
        <v>14</v>
      </c>
      <c r="B19" s="29">
        <v>37329</v>
      </c>
      <c r="C19" s="30">
        <v>2.8176679229389068</v>
      </c>
      <c r="D19" s="30"/>
      <c r="E19" s="29">
        <v>36654</v>
      </c>
      <c r="F19" s="30">
        <v>2.8375020320954967</v>
      </c>
      <c r="G19" s="30"/>
      <c r="H19" s="29">
        <v>589</v>
      </c>
      <c r="I19" s="30">
        <v>2.143767060964513</v>
      </c>
      <c r="J19" s="30"/>
      <c r="K19" s="29">
        <v>86</v>
      </c>
      <c r="L19" s="30">
        <v>1.5428776462145677</v>
      </c>
      <c r="M19" s="30"/>
    </row>
    <row r="20" spans="1:13" ht="15.95" customHeight="1" x14ac:dyDescent="0.25">
      <c r="A20" s="82" t="s">
        <v>13</v>
      </c>
      <c r="B20" s="29">
        <v>50925</v>
      </c>
      <c r="C20" s="30">
        <v>3.8439213205728482</v>
      </c>
      <c r="D20" s="30"/>
      <c r="E20" s="29">
        <v>50128</v>
      </c>
      <c r="F20" s="30">
        <v>3.8805669739969191</v>
      </c>
      <c r="G20" s="30"/>
      <c r="H20" s="29">
        <v>703</v>
      </c>
      <c r="I20" s="30">
        <v>2.5586897179253865</v>
      </c>
      <c r="J20" s="30"/>
      <c r="K20" s="29">
        <v>94</v>
      </c>
      <c r="L20" s="30">
        <v>1.6864011481880159</v>
      </c>
      <c r="M20" s="30"/>
    </row>
    <row r="21" spans="1:13" ht="15.95" customHeight="1" x14ac:dyDescent="0.25">
      <c r="A21" s="82" t="s">
        <v>12</v>
      </c>
      <c r="B21" s="29">
        <v>75046</v>
      </c>
      <c r="C21" s="30">
        <v>5.6646228654631319</v>
      </c>
      <c r="D21" s="30"/>
      <c r="E21" s="29">
        <v>73551</v>
      </c>
      <c r="F21" s="30">
        <v>5.6938154625049346</v>
      </c>
      <c r="G21" s="30"/>
      <c r="H21" s="29">
        <v>1288</v>
      </c>
      <c r="I21" s="30">
        <v>4.6878980891719744</v>
      </c>
      <c r="J21" s="30"/>
      <c r="K21" s="29">
        <v>207</v>
      </c>
      <c r="L21" s="30">
        <v>3.7136706135629707</v>
      </c>
      <c r="M21" s="30"/>
    </row>
    <row r="22" spans="1:13" ht="15.95" customHeight="1" x14ac:dyDescent="0.25">
      <c r="A22" s="82" t="s">
        <v>11</v>
      </c>
      <c r="B22" s="29">
        <v>44374</v>
      </c>
      <c r="C22" s="30">
        <v>3.349438678038283</v>
      </c>
      <c r="D22" s="30"/>
      <c r="E22" s="29">
        <v>43453</v>
      </c>
      <c r="F22" s="30">
        <v>3.3638341190769259</v>
      </c>
      <c r="G22" s="30"/>
      <c r="H22" s="29">
        <v>783</v>
      </c>
      <c r="I22" s="30">
        <v>2.8498635122838945</v>
      </c>
      <c r="J22" s="30"/>
      <c r="K22" s="29">
        <v>138</v>
      </c>
      <c r="L22" s="30">
        <v>2.4757804090419806</v>
      </c>
      <c r="M22" s="30"/>
    </row>
    <row r="23" spans="1:13" ht="15.95" customHeight="1" x14ac:dyDescent="0.25">
      <c r="A23" s="82" t="s">
        <v>71</v>
      </c>
      <c r="B23" s="29">
        <v>593130</v>
      </c>
      <c r="C23" s="158">
        <v>44.770644140822256</v>
      </c>
      <c r="D23" s="158"/>
      <c r="E23" s="159">
        <v>574363</v>
      </c>
      <c r="F23" s="158">
        <v>44.363255842758385</v>
      </c>
      <c r="G23" s="158"/>
      <c r="H23" s="159">
        <v>15160</v>
      </c>
      <c r="I23" s="158">
        <v>55.177434030937214</v>
      </c>
      <c r="J23" s="158"/>
      <c r="K23" s="159">
        <v>3607</v>
      </c>
      <c r="L23" s="158">
        <v>64.711158952278439</v>
      </c>
      <c r="M23" s="30"/>
    </row>
    <row r="24" spans="1:13" ht="15.95" customHeight="1" x14ac:dyDescent="0.25">
      <c r="A24" s="82" t="s">
        <v>10</v>
      </c>
      <c r="B24" s="29">
        <v>26771</v>
      </c>
      <c r="C24" s="30">
        <v>2.0207288693776282</v>
      </c>
      <c r="D24" s="29">
        <v>26057</v>
      </c>
      <c r="E24" s="29">
        <v>26057</v>
      </c>
      <c r="F24" s="30">
        <v>2.0171547566517258</v>
      </c>
      <c r="G24" s="30"/>
      <c r="H24" s="29">
        <v>604</v>
      </c>
      <c r="I24" s="30">
        <v>2.1983621474067334</v>
      </c>
      <c r="J24" s="30"/>
      <c r="K24" s="29">
        <v>110</v>
      </c>
      <c r="L24" s="30">
        <v>1.9734481521349121</v>
      </c>
      <c r="M24" s="30"/>
    </row>
    <row r="25" spans="1:13" ht="15.95" customHeight="1" x14ac:dyDescent="0.25">
      <c r="A25" s="82" t="s">
        <v>9</v>
      </c>
      <c r="B25" s="29">
        <v>9280</v>
      </c>
      <c r="C25" s="30">
        <v>0.70047304575191027</v>
      </c>
      <c r="D25" s="30"/>
      <c r="E25" s="29">
        <v>8962</v>
      </c>
      <c r="F25" s="30">
        <v>0.6937767559240422</v>
      </c>
      <c r="G25" s="30"/>
      <c r="H25" s="29">
        <v>270</v>
      </c>
      <c r="I25" s="30">
        <v>0.98271155595996362</v>
      </c>
      <c r="J25" s="30"/>
      <c r="K25" s="29">
        <v>48</v>
      </c>
      <c r="L25" s="30">
        <v>0.86114101184068881</v>
      </c>
      <c r="M25" s="30"/>
    </row>
    <row r="26" spans="1:13" ht="15.95" customHeight="1" x14ac:dyDescent="0.25">
      <c r="A26" s="82" t="s">
        <v>8</v>
      </c>
      <c r="B26" s="29">
        <v>7567</v>
      </c>
      <c r="C26" s="30">
        <v>0.57117236392292081</v>
      </c>
      <c r="D26" s="30"/>
      <c r="E26" s="29">
        <v>7415</v>
      </c>
      <c r="F26" s="30">
        <v>0.57401859464146088</v>
      </c>
      <c r="G26" s="30"/>
      <c r="H26" s="29">
        <v>141</v>
      </c>
      <c r="I26" s="30">
        <v>0.51319381255686991</v>
      </c>
      <c r="J26" s="30"/>
      <c r="K26" s="29">
        <v>11</v>
      </c>
      <c r="L26" s="30">
        <v>0.1973448152134912</v>
      </c>
      <c r="M26" s="30"/>
    </row>
    <row r="27" spans="1:13" ht="15.95" customHeight="1" x14ac:dyDescent="0.25">
      <c r="A27" s="82" t="s">
        <v>7</v>
      </c>
      <c r="B27" s="29">
        <v>7546</v>
      </c>
      <c r="C27" s="30">
        <v>0.5695872417288701</v>
      </c>
      <c r="D27" s="30"/>
      <c r="E27" s="29">
        <v>7421</v>
      </c>
      <c r="F27" s="30">
        <v>0.57448307361217554</v>
      </c>
      <c r="G27" s="30"/>
      <c r="H27" s="29">
        <v>119</v>
      </c>
      <c r="I27" s="30">
        <v>0.43312101910828027</v>
      </c>
      <c r="J27" s="30"/>
      <c r="K27" s="29">
        <v>6</v>
      </c>
      <c r="L27" s="30">
        <v>0.1076426264800861</v>
      </c>
      <c r="M27" s="30"/>
    </row>
    <row r="28" spans="1:13" ht="15.95" customHeight="1" x14ac:dyDescent="0.25">
      <c r="A28" s="82" t="s">
        <v>6</v>
      </c>
      <c r="B28" s="29">
        <v>60322</v>
      </c>
      <c r="C28" s="30">
        <v>4.5532257614058977</v>
      </c>
      <c r="D28" s="30"/>
      <c r="E28" s="29">
        <v>59479</v>
      </c>
      <c r="F28" s="30">
        <v>4.6044574498556239</v>
      </c>
      <c r="G28" s="30"/>
      <c r="H28" s="29">
        <v>715</v>
      </c>
      <c r="I28" s="30">
        <v>2.602365787079163</v>
      </c>
      <c r="J28" s="30"/>
      <c r="K28" s="29">
        <v>128</v>
      </c>
      <c r="L28" s="30">
        <v>2.2963760315751705</v>
      </c>
      <c r="M28" s="30"/>
    </row>
    <row r="29" spans="1:13" ht="15.95" customHeight="1" x14ac:dyDescent="0.25">
      <c r="A29" s="82" t="s">
        <v>5</v>
      </c>
      <c r="B29" s="29">
        <v>32371</v>
      </c>
      <c r="C29" s="30">
        <v>2.4434281211244704</v>
      </c>
      <c r="D29" s="30"/>
      <c r="E29" s="29">
        <v>31622</v>
      </c>
      <c r="F29" s="30">
        <v>2.4479590019895183</v>
      </c>
      <c r="G29" s="30"/>
      <c r="H29" s="29">
        <v>652</v>
      </c>
      <c r="I29" s="30">
        <v>2.3730664240218382</v>
      </c>
      <c r="J29" s="30"/>
      <c r="K29" s="29">
        <v>97</v>
      </c>
      <c r="L29" s="30">
        <v>1.7402224614280588</v>
      </c>
      <c r="M29" s="30"/>
    </row>
    <row r="30" spans="1:13" ht="15.95" customHeight="1" x14ac:dyDescent="0.25">
      <c r="A30" s="82" t="s">
        <v>4</v>
      </c>
      <c r="B30" s="29">
        <v>27693</v>
      </c>
      <c r="C30" s="30">
        <v>2.0903232818973763</v>
      </c>
      <c r="D30" s="30"/>
      <c r="E30" s="29">
        <v>26943</v>
      </c>
      <c r="F30" s="30">
        <v>2.0857428179939155</v>
      </c>
      <c r="G30" s="30"/>
      <c r="H30" s="29">
        <v>636</v>
      </c>
      <c r="I30" s="30">
        <v>2.3148316651501366</v>
      </c>
      <c r="J30" s="30"/>
      <c r="K30" s="29">
        <v>114</v>
      </c>
      <c r="L30" s="30">
        <v>2.045209903121636</v>
      </c>
      <c r="M30" s="30"/>
    </row>
    <row r="31" spans="1:13" ht="15.95" customHeight="1" x14ac:dyDescent="0.25">
      <c r="A31" s="82" t="s">
        <v>3</v>
      </c>
      <c r="B31" s="29">
        <v>21839</v>
      </c>
      <c r="C31" s="30">
        <v>1.6484515998034448</v>
      </c>
      <c r="D31" s="30"/>
      <c r="E31" s="29">
        <v>21440</v>
      </c>
      <c r="F31" s="30">
        <v>1.6597381886868408</v>
      </c>
      <c r="G31" s="30"/>
      <c r="H31" s="29">
        <v>342</v>
      </c>
      <c r="I31" s="30">
        <v>1.2447679708826205</v>
      </c>
      <c r="J31" s="30"/>
      <c r="K31" s="29">
        <v>57</v>
      </c>
      <c r="L31" s="30">
        <v>1.022604951560818</v>
      </c>
      <c r="M31" s="30"/>
    </row>
    <row r="32" spans="1:13" ht="15.95" customHeight="1" x14ac:dyDescent="0.25">
      <c r="A32" s="82" t="s">
        <v>2</v>
      </c>
      <c r="B32" s="29">
        <v>11065</v>
      </c>
      <c r="C32" s="30">
        <v>0.83520843224621621</v>
      </c>
      <c r="D32" s="30"/>
      <c r="E32" s="29">
        <v>10921</v>
      </c>
      <c r="F32" s="30">
        <v>0.84542913986235935</v>
      </c>
      <c r="G32" s="30"/>
      <c r="H32" s="29">
        <v>133</v>
      </c>
      <c r="I32" s="30">
        <v>0.48407643312101911</v>
      </c>
      <c r="J32" s="30"/>
      <c r="K32" s="29">
        <v>11</v>
      </c>
      <c r="L32" s="30">
        <v>0.1973448152134912</v>
      </c>
      <c r="M32" s="30"/>
    </row>
    <row r="33" spans="1:13" ht="15.95" customHeight="1" x14ac:dyDescent="0.25">
      <c r="A33" s="82" t="s">
        <v>1</v>
      </c>
      <c r="B33" s="29">
        <v>21323</v>
      </c>
      <c r="C33" s="30">
        <v>1.6095028830353428</v>
      </c>
      <c r="D33" s="30"/>
      <c r="E33" s="29">
        <v>20689</v>
      </c>
      <c r="F33" s="30">
        <v>1.6016009041857298</v>
      </c>
      <c r="G33" s="30"/>
      <c r="H33" s="29">
        <v>541</v>
      </c>
      <c r="I33" s="30">
        <v>1.9690627843494086</v>
      </c>
      <c r="J33" s="30"/>
      <c r="K33" s="29">
        <v>93</v>
      </c>
      <c r="L33" s="30">
        <v>1.6684607104413347</v>
      </c>
      <c r="M33" s="30"/>
    </row>
    <row r="34" spans="1:13" ht="11.25" customHeight="1" x14ac:dyDescent="0.25">
      <c r="A34" s="82"/>
      <c r="B34" s="29"/>
      <c r="C34" s="30"/>
      <c r="D34" s="30"/>
      <c r="E34" s="29"/>
      <c r="F34" s="30"/>
      <c r="G34" s="30"/>
      <c r="H34" s="29"/>
      <c r="I34" s="30"/>
      <c r="J34" s="30"/>
      <c r="K34" s="29"/>
      <c r="L34" s="30"/>
      <c r="M34" s="30"/>
    </row>
    <row r="35" spans="1:13" ht="15.95" customHeight="1" x14ac:dyDescent="0.25">
      <c r="A35" s="82" t="s">
        <v>76</v>
      </c>
      <c r="B35" s="29">
        <v>557390</v>
      </c>
      <c r="C35" s="158">
        <v>42.272917130566519</v>
      </c>
      <c r="D35" s="158"/>
      <c r="E35" s="159">
        <v>539081</v>
      </c>
      <c r="F35" s="158">
        <v>41.731964668632962</v>
      </c>
      <c r="G35" s="158"/>
      <c r="H35" s="159">
        <v>14746</v>
      </c>
      <c r="I35" s="158">
        <v>53.67060964513194</v>
      </c>
      <c r="J35" s="158"/>
      <c r="K35" s="159">
        <v>3563</v>
      </c>
      <c r="L35" s="158">
        <v>63.921779691424476</v>
      </c>
      <c r="M35" s="30"/>
    </row>
    <row r="36" spans="1:13" ht="15.95" customHeight="1" x14ac:dyDescent="0.25">
      <c r="A36" s="82" t="s">
        <v>77</v>
      </c>
      <c r="B36" s="29">
        <v>35740</v>
      </c>
      <c r="C36" s="158">
        <v>2.7977270102557408</v>
      </c>
      <c r="D36" s="158"/>
      <c r="E36" s="159">
        <v>35282</v>
      </c>
      <c r="F36" s="158">
        <v>2.7312911741254249</v>
      </c>
      <c r="G36" s="158"/>
      <c r="H36" s="159">
        <v>414</v>
      </c>
      <c r="I36" s="158">
        <v>1.5068243858052774</v>
      </c>
      <c r="J36" s="158"/>
      <c r="K36" s="159">
        <v>44</v>
      </c>
      <c r="L36" s="158">
        <v>0.78937926085396481</v>
      </c>
      <c r="M36" s="30"/>
    </row>
    <row r="37" spans="1:13" ht="8.25" customHeight="1" thickBot="1" x14ac:dyDescent="0.3">
      <c r="A37" s="83"/>
      <c r="B37" s="84"/>
      <c r="C37" s="85"/>
      <c r="D37" s="85"/>
      <c r="E37" s="84"/>
      <c r="F37" s="85"/>
      <c r="G37" s="85"/>
      <c r="H37" s="84"/>
      <c r="I37" s="86"/>
      <c r="J37" s="86"/>
      <c r="K37" s="87"/>
      <c r="L37" s="86"/>
      <c r="M37" s="86"/>
    </row>
    <row r="38" spans="1:13" ht="3.75" customHeight="1" x14ac:dyDescent="0.25"/>
    <row r="39" spans="1:13" ht="57.75" customHeight="1" x14ac:dyDescent="0.25">
      <c r="A39" s="186" t="s">
        <v>79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1" spans="1:13" ht="12.7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</sheetData>
  <mergeCells count="9">
    <mergeCell ref="A39:M39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96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3.28515625" style="1" customWidth="1"/>
    <col min="2" max="2" width="7.140625" style="1" customWidth="1"/>
    <col min="3" max="3" width="4.85546875" style="1" customWidth="1"/>
    <col min="4" max="4" width="1.28515625" style="1" customWidth="1"/>
    <col min="5" max="5" width="7.140625" style="1" customWidth="1"/>
    <col min="6" max="6" width="4.85546875" style="1" customWidth="1"/>
    <col min="7" max="7" width="1.42578125" style="1" customWidth="1"/>
    <col min="8" max="8" width="7.140625" style="1" customWidth="1"/>
    <col min="9" max="9" width="4.85546875" style="1" customWidth="1"/>
    <col min="10" max="10" width="1.5703125" style="1" customWidth="1"/>
    <col min="11" max="11" width="7.140625" style="1" customWidth="1"/>
    <col min="12" max="12" width="5" style="1" customWidth="1"/>
    <col min="13" max="13" width="1.85546875" style="1" customWidth="1"/>
    <col min="14" max="14" width="7.42578125" style="1" customWidth="1"/>
    <col min="15" max="16384" width="11.42578125" style="1"/>
  </cols>
  <sheetData>
    <row r="1" spans="1:13" ht="14.1" customHeight="1" x14ac:dyDescent="0.25">
      <c r="A1" s="163" t="s">
        <v>61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30" customHeight="1" x14ac:dyDescent="0.25">
      <c r="A2" s="163" t="s">
        <v>90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95" customHeight="1" thickBot="1" x14ac:dyDescent="0.3">
      <c r="A4" s="164" t="s">
        <v>73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13" ht="29.2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3" ht="15.7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3" ht="9.9499999999999993" customHeight="1" x14ac:dyDescent="0.25">
      <c r="A7" s="45"/>
      <c r="B7" s="12"/>
      <c r="C7" s="11"/>
      <c r="D7" s="11"/>
      <c r="E7" s="12"/>
      <c r="F7" s="11"/>
      <c r="G7" s="11"/>
      <c r="H7" s="12"/>
      <c r="I7" s="11"/>
      <c r="J7" s="11"/>
      <c r="K7" s="12"/>
      <c r="L7" s="11"/>
      <c r="M7" s="11"/>
    </row>
    <row r="8" spans="1:13" ht="14.1" customHeight="1" x14ac:dyDescent="0.25">
      <c r="A8" s="67" t="s">
        <v>26</v>
      </c>
      <c r="B8" s="9">
        <v>1324819</v>
      </c>
      <c r="C8" s="15">
        <v>100</v>
      </c>
      <c r="D8" s="15"/>
      <c r="E8" s="9">
        <v>1291770</v>
      </c>
      <c r="F8" s="15">
        <v>100</v>
      </c>
      <c r="G8" s="15"/>
      <c r="H8" s="9">
        <v>27475</v>
      </c>
      <c r="I8" s="15">
        <v>100</v>
      </c>
      <c r="J8" s="15"/>
      <c r="K8" s="9">
        <v>5574</v>
      </c>
      <c r="L8" s="15">
        <v>100</v>
      </c>
      <c r="M8" s="15"/>
    </row>
    <row r="9" spans="1:13" ht="14.1" customHeight="1" x14ac:dyDescent="0.25">
      <c r="A9" s="61" t="s">
        <v>40</v>
      </c>
      <c r="B9" s="6">
        <v>1107556</v>
      </c>
      <c r="C9" s="5">
        <v>83.500552226379611</v>
      </c>
      <c r="D9" s="5"/>
      <c r="E9" s="6">
        <v>1103133</v>
      </c>
      <c r="F9" s="5">
        <v>85.397013400218299</v>
      </c>
      <c r="G9" s="5"/>
      <c r="H9" s="6">
        <v>4249</v>
      </c>
      <c r="I9" s="5">
        <v>15.464968152866243</v>
      </c>
      <c r="J9" s="5"/>
      <c r="K9" s="6">
        <v>174</v>
      </c>
      <c r="L9" s="5">
        <v>3.1216361679224973</v>
      </c>
      <c r="M9" s="5"/>
    </row>
    <row r="10" spans="1:13" ht="14.1" customHeight="1" x14ac:dyDescent="0.25">
      <c r="A10" s="61" t="s">
        <v>41</v>
      </c>
      <c r="B10" s="6">
        <v>104412</v>
      </c>
      <c r="C10" s="5">
        <v>7.8812275488198758</v>
      </c>
      <c r="D10" s="5"/>
      <c r="E10" s="6">
        <v>87873</v>
      </c>
      <c r="F10" s="5">
        <v>6.8025267656006871</v>
      </c>
      <c r="G10" s="5"/>
      <c r="H10" s="6">
        <v>12632</v>
      </c>
      <c r="I10" s="5">
        <v>45.876342129208368</v>
      </c>
      <c r="J10" s="5"/>
      <c r="K10" s="6">
        <v>3907</v>
      </c>
      <c r="L10" s="5">
        <v>70.093290276282744</v>
      </c>
      <c r="M10" s="5"/>
    </row>
    <row r="11" spans="1:13" ht="14.1" customHeight="1" x14ac:dyDescent="0.25">
      <c r="A11" s="61" t="s">
        <v>42</v>
      </c>
      <c r="B11" s="6">
        <v>1994</v>
      </c>
      <c r="C11" s="5">
        <v>0.1505111264255721</v>
      </c>
      <c r="D11" s="5"/>
      <c r="E11" s="6">
        <v>1888</v>
      </c>
      <c r="F11" s="5">
        <v>0.14615604945152774</v>
      </c>
      <c r="G11" s="5"/>
      <c r="H11" s="6">
        <v>93</v>
      </c>
      <c r="I11" s="5">
        <v>0.33848953594176523</v>
      </c>
      <c r="J11" s="5"/>
      <c r="K11" s="6">
        <v>13</v>
      </c>
      <c r="L11" s="5">
        <v>0.23322569070685323</v>
      </c>
      <c r="M11" s="5"/>
    </row>
    <row r="12" spans="1:13" ht="14.1" customHeight="1" x14ac:dyDescent="0.25">
      <c r="A12" s="61" t="s">
        <v>43</v>
      </c>
      <c r="B12" s="6">
        <v>18943</v>
      </c>
      <c r="C12" s="5">
        <v>1.4298557010429349</v>
      </c>
      <c r="D12" s="5"/>
      <c r="E12" s="6">
        <v>15726</v>
      </c>
      <c r="F12" s="5">
        <v>1.217399382242969</v>
      </c>
      <c r="G12" s="5"/>
      <c r="H12" s="6">
        <v>2626</v>
      </c>
      <c r="I12" s="5">
        <v>9.5577797998180163</v>
      </c>
      <c r="J12" s="5"/>
      <c r="K12" s="6">
        <v>591</v>
      </c>
      <c r="L12" s="5">
        <v>10.602798708288482</v>
      </c>
      <c r="M12" s="5"/>
    </row>
    <row r="13" spans="1:13" ht="14.1" customHeight="1" x14ac:dyDescent="0.25">
      <c r="A13" s="61" t="s">
        <v>44</v>
      </c>
      <c r="B13" s="6">
        <v>89746</v>
      </c>
      <c r="C13" s="5">
        <v>6.7742084012985924</v>
      </c>
      <c r="D13" s="5"/>
      <c r="E13" s="6">
        <v>81175</v>
      </c>
      <c r="F13" s="5">
        <v>6.2840134079596215</v>
      </c>
      <c r="G13" s="5"/>
      <c r="H13" s="6">
        <v>7771</v>
      </c>
      <c r="I13" s="5">
        <v>28.283894449499549</v>
      </c>
      <c r="J13" s="5"/>
      <c r="K13" s="6">
        <v>800</v>
      </c>
      <c r="L13" s="5">
        <v>14.352350197344816</v>
      </c>
      <c r="M13" s="5"/>
    </row>
    <row r="14" spans="1:13" ht="14.1" customHeight="1" x14ac:dyDescent="0.25">
      <c r="A14" s="61" t="s">
        <v>45</v>
      </c>
      <c r="B14" s="6">
        <v>1213</v>
      </c>
      <c r="C14" s="5">
        <v>9.1559677208735674E-2</v>
      </c>
      <c r="D14" s="5"/>
      <c r="E14" s="6">
        <v>1161</v>
      </c>
      <c r="F14" s="5">
        <v>8.9876680833275269E-2</v>
      </c>
      <c r="G14" s="5"/>
      <c r="H14" s="6">
        <v>29</v>
      </c>
      <c r="I14" s="5">
        <v>0.10555050045495905</v>
      </c>
      <c r="J14" s="5"/>
      <c r="K14" s="6">
        <v>23</v>
      </c>
      <c r="L14" s="5">
        <v>0.41263006817366343</v>
      </c>
      <c r="M14" s="5"/>
    </row>
    <row r="15" spans="1:13" ht="12" hidden="1" customHeight="1" x14ac:dyDescent="0.25">
      <c r="A15" s="61" t="s">
        <v>46</v>
      </c>
      <c r="B15" s="3">
        <v>287</v>
      </c>
      <c r="C15" s="3">
        <v>2.1663336652025671E-2</v>
      </c>
      <c r="D15" s="5"/>
      <c r="E15" s="3">
        <v>256</v>
      </c>
      <c r="F15" s="3">
        <v>1.9817769417156305E-2</v>
      </c>
      <c r="G15" s="6"/>
      <c r="H15" s="3">
        <v>22</v>
      </c>
      <c r="I15" s="3">
        <v>8.0072793448589627E-2</v>
      </c>
      <c r="J15" s="5"/>
      <c r="K15" s="3">
        <v>9</v>
      </c>
      <c r="L15" s="3">
        <v>0.16146393972012918</v>
      </c>
      <c r="M15" s="5"/>
    </row>
    <row r="16" spans="1:13" ht="14.1" customHeight="1" x14ac:dyDescent="0.25">
      <c r="A16" s="61" t="s">
        <v>47</v>
      </c>
      <c r="B16" s="6">
        <v>955</v>
      </c>
      <c r="C16" s="5">
        <v>7.2085318824684733E-2</v>
      </c>
      <c r="D16" s="5"/>
      <c r="E16" s="6">
        <v>814</v>
      </c>
      <c r="F16" s="5">
        <v>6.3014313693614182E-2</v>
      </c>
      <c r="G16" s="5"/>
      <c r="H16" s="6">
        <v>75</v>
      </c>
      <c r="I16" s="5">
        <v>0.27297543221110099</v>
      </c>
      <c r="J16" s="5"/>
      <c r="K16" s="6">
        <v>66</v>
      </c>
      <c r="L16" s="5">
        <v>1.1840688912809472</v>
      </c>
      <c r="M16" s="5"/>
    </row>
    <row r="17" spans="1:13" ht="14.1" customHeight="1" x14ac:dyDescent="0.25">
      <c r="A17" s="68"/>
      <c r="B17" s="9"/>
      <c r="C17" s="15"/>
      <c r="D17" s="15"/>
      <c r="E17" s="9"/>
      <c r="F17" s="15"/>
      <c r="G17" s="15"/>
      <c r="H17" s="9"/>
      <c r="I17" s="15"/>
      <c r="J17" s="15"/>
      <c r="K17" s="9"/>
      <c r="L17" s="15"/>
      <c r="M17" s="15"/>
    </row>
    <row r="18" spans="1:13" ht="14.1" customHeight="1" x14ac:dyDescent="0.25">
      <c r="A18" s="63" t="s">
        <v>21</v>
      </c>
      <c r="B18" s="9">
        <v>7010</v>
      </c>
      <c r="C18" s="15">
        <v>100</v>
      </c>
      <c r="D18" s="15"/>
      <c r="E18" s="9">
        <v>6823</v>
      </c>
      <c r="F18" s="15">
        <v>100</v>
      </c>
      <c r="G18" s="15"/>
      <c r="H18" s="9">
        <v>165</v>
      </c>
      <c r="I18" s="15">
        <v>100</v>
      </c>
      <c r="J18" s="15"/>
      <c r="K18" s="9">
        <v>22</v>
      </c>
      <c r="L18" s="15">
        <v>100</v>
      </c>
      <c r="M18" s="15"/>
    </row>
    <row r="19" spans="1:13" ht="14.1" customHeight="1" x14ac:dyDescent="0.25">
      <c r="A19" s="61" t="s">
        <v>40</v>
      </c>
      <c r="B19" s="6">
        <v>5935</v>
      </c>
      <c r="C19" s="5">
        <v>84.664764621968615</v>
      </c>
      <c r="D19" s="5"/>
      <c r="E19" s="6">
        <v>5894</v>
      </c>
      <c r="F19" s="5">
        <v>86.384288436171772</v>
      </c>
      <c r="G19" s="5"/>
      <c r="H19" s="6">
        <v>40</v>
      </c>
      <c r="I19" s="5">
        <v>24.242424242424242</v>
      </c>
      <c r="J19" s="5"/>
      <c r="K19" s="6">
        <v>1</v>
      </c>
      <c r="L19" s="5">
        <v>4.5454545454545459</v>
      </c>
      <c r="M19" s="5"/>
    </row>
    <row r="20" spans="1:13" ht="14.1" customHeight="1" x14ac:dyDescent="0.25">
      <c r="A20" s="61" t="s">
        <v>41</v>
      </c>
      <c r="B20" s="6">
        <v>309</v>
      </c>
      <c r="C20" s="5">
        <v>4.4079885877318121</v>
      </c>
      <c r="D20" s="5"/>
      <c r="E20" s="6">
        <v>267</v>
      </c>
      <c r="F20" s="5">
        <v>3.9132346475157558</v>
      </c>
      <c r="G20" s="5"/>
      <c r="H20" s="6">
        <v>32</v>
      </c>
      <c r="I20" s="5">
        <v>19.393939393939394</v>
      </c>
      <c r="J20" s="5"/>
      <c r="K20" s="6">
        <v>10</v>
      </c>
      <c r="L20" s="5">
        <v>45.454545454545453</v>
      </c>
      <c r="M20" s="5"/>
    </row>
    <row r="21" spans="1:13" ht="14.1" customHeight="1" x14ac:dyDescent="0.25">
      <c r="A21" s="61" t="s">
        <v>42</v>
      </c>
      <c r="B21" s="6">
        <v>3</v>
      </c>
      <c r="C21" s="5">
        <v>4.2796005706134094E-2</v>
      </c>
      <c r="D21" s="5"/>
      <c r="E21" s="6">
        <v>3</v>
      </c>
      <c r="F21" s="5">
        <v>4.3968928623772538E-2</v>
      </c>
      <c r="G21" s="5"/>
      <c r="H21" s="3" t="s">
        <v>96</v>
      </c>
      <c r="I21" s="3" t="s">
        <v>96</v>
      </c>
      <c r="J21" s="5"/>
      <c r="K21" s="3" t="s">
        <v>96</v>
      </c>
      <c r="L21" s="3" t="s">
        <v>96</v>
      </c>
      <c r="M21" s="5"/>
    </row>
    <row r="22" spans="1:13" ht="14.1" customHeight="1" x14ac:dyDescent="0.25">
      <c r="A22" s="61" t="s">
        <v>43</v>
      </c>
      <c r="B22" s="6">
        <v>135</v>
      </c>
      <c r="C22" s="5">
        <v>1.9258202567760341</v>
      </c>
      <c r="D22" s="5"/>
      <c r="E22" s="6">
        <v>105</v>
      </c>
      <c r="F22" s="5">
        <v>1.5389125018320386</v>
      </c>
      <c r="G22" s="5"/>
      <c r="H22" s="6">
        <v>26</v>
      </c>
      <c r="I22" s="5">
        <v>15.757575757575756</v>
      </c>
      <c r="J22" s="5"/>
      <c r="K22" s="3">
        <v>4</v>
      </c>
      <c r="L22" s="16">
        <v>18.181818181818183</v>
      </c>
      <c r="M22" s="5"/>
    </row>
    <row r="23" spans="1:13" ht="14.1" customHeight="1" x14ac:dyDescent="0.25">
      <c r="A23" s="61" t="s">
        <v>44</v>
      </c>
      <c r="B23" s="6">
        <v>594</v>
      </c>
      <c r="C23" s="5">
        <v>8.4736091298145499</v>
      </c>
      <c r="D23" s="5"/>
      <c r="E23" s="6">
        <v>523</v>
      </c>
      <c r="F23" s="5">
        <v>7.6652498900776784</v>
      </c>
      <c r="G23" s="5"/>
      <c r="H23" s="6">
        <v>64</v>
      </c>
      <c r="I23" s="5">
        <v>38.787878787878789</v>
      </c>
      <c r="J23" s="5"/>
      <c r="K23" s="3">
        <v>7</v>
      </c>
      <c r="L23" s="16">
        <v>31.818181818181817</v>
      </c>
      <c r="M23" s="5"/>
    </row>
    <row r="24" spans="1:13" ht="14.1" customHeight="1" x14ac:dyDescent="0.25">
      <c r="A24" s="61" t="s">
        <v>45</v>
      </c>
      <c r="B24" s="6">
        <v>20</v>
      </c>
      <c r="C24" s="5">
        <v>0.28530670470756064</v>
      </c>
      <c r="D24" s="5"/>
      <c r="E24" s="6">
        <v>19</v>
      </c>
      <c r="F24" s="5">
        <v>0.27846988128389272</v>
      </c>
      <c r="G24" s="5"/>
      <c r="H24" s="6">
        <v>1</v>
      </c>
      <c r="I24" s="5">
        <v>0.60606060606060608</v>
      </c>
      <c r="J24" s="5"/>
      <c r="K24" s="3" t="s">
        <v>96</v>
      </c>
      <c r="L24" s="16" t="s">
        <v>96</v>
      </c>
      <c r="M24" s="5"/>
    </row>
    <row r="25" spans="1:13" ht="11.25" hidden="1" customHeight="1" x14ac:dyDescent="0.25">
      <c r="A25" s="61" t="s">
        <v>46</v>
      </c>
      <c r="B25" s="3">
        <v>9</v>
      </c>
      <c r="C25" s="3">
        <v>0.12838801711840228</v>
      </c>
      <c r="D25" s="5"/>
      <c r="E25" s="3">
        <v>7</v>
      </c>
      <c r="F25" s="3">
        <v>0.10259416678880258</v>
      </c>
      <c r="G25" s="3"/>
      <c r="H25" s="3">
        <v>2</v>
      </c>
      <c r="I25" s="3">
        <v>1.2121212121212122</v>
      </c>
      <c r="J25" s="5"/>
      <c r="K25" s="3" t="s">
        <v>96</v>
      </c>
      <c r="L25" s="16" t="s">
        <v>96</v>
      </c>
      <c r="M25" s="5"/>
    </row>
    <row r="26" spans="1:13" ht="14.1" customHeight="1" x14ac:dyDescent="0.25">
      <c r="A26" s="61" t="s">
        <v>47</v>
      </c>
      <c r="B26" s="6">
        <v>14</v>
      </c>
      <c r="C26" s="5">
        <v>0.19971469329529246</v>
      </c>
      <c r="D26" s="5"/>
      <c r="E26" s="6">
        <v>12</v>
      </c>
      <c r="F26" s="5">
        <v>0.17587571449509015</v>
      </c>
      <c r="G26" s="5"/>
      <c r="H26" s="6">
        <v>2</v>
      </c>
      <c r="I26" s="5">
        <v>1.2121212121212122</v>
      </c>
      <c r="J26" s="5"/>
      <c r="K26" s="3" t="s">
        <v>96</v>
      </c>
      <c r="L26" s="3" t="s">
        <v>96</v>
      </c>
      <c r="M26" s="5"/>
    </row>
    <row r="27" spans="1:13" ht="14.1" customHeight="1" x14ac:dyDescent="0.25">
      <c r="A27" s="68"/>
      <c r="B27" s="9"/>
      <c r="C27" s="15"/>
      <c r="D27" s="15"/>
      <c r="E27" s="9"/>
      <c r="F27" s="15"/>
      <c r="G27" s="15"/>
      <c r="H27" s="9"/>
      <c r="I27" s="15"/>
      <c r="J27" s="15"/>
      <c r="K27" s="9"/>
      <c r="L27" s="15"/>
      <c r="M27" s="15"/>
    </row>
    <row r="28" spans="1:13" ht="14.1" customHeight="1" x14ac:dyDescent="0.25">
      <c r="A28" s="63" t="s">
        <v>56</v>
      </c>
      <c r="B28" s="9">
        <v>39423</v>
      </c>
      <c r="C28" s="15">
        <v>100</v>
      </c>
      <c r="D28" s="15"/>
      <c r="E28" s="9">
        <v>38794</v>
      </c>
      <c r="F28" s="15">
        <v>100</v>
      </c>
      <c r="G28" s="15"/>
      <c r="H28" s="9">
        <v>571</v>
      </c>
      <c r="I28" s="15">
        <v>100</v>
      </c>
      <c r="J28" s="15"/>
      <c r="K28" s="9">
        <v>58</v>
      </c>
      <c r="L28" s="15">
        <v>100</v>
      </c>
      <c r="M28" s="15"/>
    </row>
    <row r="29" spans="1:13" ht="14.1" customHeight="1" x14ac:dyDescent="0.25">
      <c r="A29" s="61" t="s">
        <v>40</v>
      </c>
      <c r="B29" s="6">
        <v>34491</v>
      </c>
      <c r="C29" s="5">
        <v>87.38953656494941</v>
      </c>
      <c r="D29" s="5"/>
      <c r="E29" s="6">
        <v>34358</v>
      </c>
      <c r="F29" s="5">
        <v>88.465242047739352</v>
      </c>
      <c r="G29" s="5"/>
      <c r="H29" s="6">
        <v>130</v>
      </c>
      <c r="I29" s="5">
        <v>22.76707530647986</v>
      </c>
      <c r="J29" s="5"/>
      <c r="K29" s="6">
        <v>3</v>
      </c>
      <c r="L29" s="5">
        <v>5.1724137931034484</v>
      </c>
      <c r="M29" s="5"/>
    </row>
    <row r="30" spans="1:13" ht="14.1" customHeight="1" x14ac:dyDescent="0.25">
      <c r="A30" s="61" t="s">
        <v>41</v>
      </c>
      <c r="B30" s="6">
        <v>1728</v>
      </c>
      <c r="C30" s="5">
        <v>4.3832280648352482</v>
      </c>
      <c r="D30" s="5"/>
      <c r="E30" s="6">
        <v>1534</v>
      </c>
      <c r="F30" s="5">
        <v>3.954219724699696</v>
      </c>
      <c r="G30" s="5"/>
      <c r="H30" s="6">
        <v>162</v>
      </c>
      <c r="I30" s="5">
        <v>28.371278458844134</v>
      </c>
      <c r="J30" s="5"/>
      <c r="K30" s="6">
        <v>32</v>
      </c>
      <c r="L30" s="5">
        <v>55.172413793103445</v>
      </c>
      <c r="M30" s="5"/>
    </row>
    <row r="31" spans="1:13" ht="14.1" customHeight="1" x14ac:dyDescent="0.25">
      <c r="A31" s="61" t="s">
        <v>42</v>
      </c>
      <c r="B31" s="6">
        <v>37</v>
      </c>
      <c r="C31" s="5">
        <v>9.3853841666032528E-2</v>
      </c>
      <c r="D31" s="5"/>
      <c r="E31" s="6">
        <v>37</v>
      </c>
      <c r="F31" s="5">
        <v>9.5375573542300363E-2</v>
      </c>
      <c r="G31" s="5"/>
      <c r="H31" s="3" t="s">
        <v>96</v>
      </c>
      <c r="I31" s="16" t="s">
        <v>96</v>
      </c>
      <c r="J31" s="5"/>
      <c r="K31" s="3" t="s">
        <v>96</v>
      </c>
      <c r="L31" s="3" t="s">
        <v>96</v>
      </c>
      <c r="M31" s="5"/>
    </row>
    <row r="32" spans="1:13" ht="14.1" customHeight="1" x14ac:dyDescent="0.25">
      <c r="A32" s="61" t="s">
        <v>43</v>
      </c>
      <c r="B32" s="6">
        <v>641</v>
      </c>
      <c r="C32" s="5">
        <v>1.6259543921061308</v>
      </c>
      <c r="D32" s="5"/>
      <c r="E32" s="6">
        <v>555</v>
      </c>
      <c r="F32" s="5">
        <v>1.4306336031345053</v>
      </c>
      <c r="G32" s="5"/>
      <c r="H32" s="3">
        <v>77</v>
      </c>
      <c r="I32" s="16">
        <v>13.485113835376533</v>
      </c>
      <c r="J32" s="5"/>
      <c r="K32" s="3">
        <v>9</v>
      </c>
      <c r="L32" s="16">
        <v>15.517241379310345</v>
      </c>
      <c r="M32" s="5"/>
    </row>
    <row r="33" spans="1:13" ht="14.1" customHeight="1" x14ac:dyDescent="0.25">
      <c r="A33" s="61" t="s">
        <v>44</v>
      </c>
      <c r="B33" s="6">
        <v>2464</v>
      </c>
      <c r="C33" s="5">
        <v>6.2501585368947064</v>
      </c>
      <c r="D33" s="5"/>
      <c r="E33" s="6">
        <v>2250</v>
      </c>
      <c r="F33" s="5">
        <v>5.7998659586534007</v>
      </c>
      <c r="G33" s="5"/>
      <c r="H33" s="3">
        <v>200</v>
      </c>
      <c r="I33" s="16">
        <v>34.926269702276706</v>
      </c>
      <c r="J33" s="5"/>
      <c r="K33" s="3">
        <v>14</v>
      </c>
      <c r="L33" s="16">
        <v>24.137931034482758</v>
      </c>
      <c r="M33" s="5"/>
    </row>
    <row r="34" spans="1:13" ht="14.1" customHeight="1" x14ac:dyDescent="0.25">
      <c r="A34" s="61" t="s">
        <v>45</v>
      </c>
      <c r="B34" s="6">
        <v>33</v>
      </c>
      <c r="C34" s="5">
        <v>8.3707480404839815E-2</v>
      </c>
      <c r="D34" s="5"/>
      <c r="E34" s="6">
        <v>33</v>
      </c>
      <c r="F34" s="5">
        <v>8.5064700726916534E-2</v>
      </c>
      <c r="G34" s="5"/>
      <c r="H34" s="3" t="s">
        <v>96</v>
      </c>
      <c r="I34" s="16" t="s">
        <v>96</v>
      </c>
      <c r="J34" s="5"/>
      <c r="K34" s="3" t="s">
        <v>96</v>
      </c>
      <c r="L34" s="3" t="s">
        <v>96</v>
      </c>
      <c r="M34" s="5"/>
    </row>
    <row r="35" spans="1:13" ht="9" hidden="1" customHeight="1" x14ac:dyDescent="0.25">
      <c r="A35" s="61" t="s">
        <v>46</v>
      </c>
      <c r="B35" s="3">
        <v>6</v>
      </c>
      <c r="C35" s="3">
        <v>1.5219541891789057E-2</v>
      </c>
      <c r="D35" s="5"/>
      <c r="E35" s="3">
        <v>6</v>
      </c>
      <c r="F35" s="3">
        <v>1.5466309223075732E-2</v>
      </c>
      <c r="G35" s="5"/>
      <c r="H35" s="3" t="s">
        <v>96</v>
      </c>
      <c r="I35" s="16" t="s">
        <v>96</v>
      </c>
      <c r="J35" s="5"/>
      <c r="K35" s="3" t="s">
        <v>96</v>
      </c>
      <c r="L35" s="3" t="s">
        <v>96</v>
      </c>
      <c r="M35" s="5"/>
    </row>
    <row r="36" spans="1:13" ht="14.1" customHeight="1" x14ac:dyDescent="0.25">
      <c r="A36" s="61" t="s">
        <v>47</v>
      </c>
      <c r="B36" s="6">
        <v>29</v>
      </c>
      <c r="C36" s="5">
        <v>7.3561119143647116E-2</v>
      </c>
      <c r="D36" s="5"/>
      <c r="E36" s="6">
        <v>27</v>
      </c>
      <c r="F36" s="5">
        <v>6.9598391503840798E-2</v>
      </c>
      <c r="G36" s="5"/>
      <c r="H36" s="6">
        <v>2</v>
      </c>
      <c r="I36" s="5">
        <v>0.35026269702276708</v>
      </c>
      <c r="J36" s="5"/>
      <c r="K36" s="3" t="s">
        <v>96</v>
      </c>
      <c r="L36" s="3" t="s">
        <v>96</v>
      </c>
      <c r="M36" s="5"/>
    </row>
    <row r="37" spans="1:13" ht="14.1" customHeight="1" x14ac:dyDescent="0.25">
      <c r="A37" s="68"/>
      <c r="B37" s="6"/>
      <c r="C37" s="5"/>
      <c r="D37" s="5"/>
      <c r="E37" s="6"/>
      <c r="F37" s="5"/>
      <c r="G37" s="5"/>
      <c r="H37" s="6"/>
      <c r="I37" s="16"/>
      <c r="J37" s="16"/>
      <c r="K37" s="6"/>
      <c r="L37" s="16"/>
      <c r="M37" s="16"/>
    </row>
    <row r="38" spans="1:13" ht="14.1" customHeight="1" x14ac:dyDescent="0.25">
      <c r="A38" s="63" t="s">
        <v>49</v>
      </c>
      <c r="B38" s="9">
        <v>11579</v>
      </c>
      <c r="C38" s="15">
        <v>100</v>
      </c>
      <c r="D38" s="15"/>
      <c r="E38" s="9">
        <v>11321</v>
      </c>
      <c r="F38" s="15">
        <v>100</v>
      </c>
      <c r="G38" s="15"/>
      <c r="H38" s="9">
        <v>232</v>
      </c>
      <c r="I38" s="15">
        <v>100</v>
      </c>
      <c r="J38" s="15"/>
      <c r="K38" s="9">
        <v>26</v>
      </c>
      <c r="L38" s="15">
        <v>100</v>
      </c>
      <c r="M38" s="15"/>
    </row>
    <row r="39" spans="1:13" ht="14.1" customHeight="1" x14ac:dyDescent="0.25">
      <c r="A39" s="61" t="s">
        <v>40</v>
      </c>
      <c r="B39" s="6">
        <v>9976</v>
      </c>
      <c r="C39" s="5">
        <v>86.155972018309015</v>
      </c>
      <c r="D39" s="5"/>
      <c r="E39" s="6">
        <v>9897</v>
      </c>
      <c r="F39" s="5">
        <v>87.521605865206254</v>
      </c>
      <c r="G39" s="5"/>
      <c r="H39" s="6">
        <v>77</v>
      </c>
      <c r="I39" s="5">
        <v>33.189655172413794</v>
      </c>
      <c r="J39" s="5"/>
      <c r="K39" s="6">
        <v>2</v>
      </c>
      <c r="L39" s="5">
        <v>7.6923076923076925</v>
      </c>
      <c r="M39" s="5"/>
    </row>
    <row r="40" spans="1:13" ht="14.1" customHeight="1" x14ac:dyDescent="0.25">
      <c r="A40" s="61" t="s">
        <v>41</v>
      </c>
      <c r="B40" s="6">
        <v>505</v>
      </c>
      <c r="C40" s="5">
        <v>4.3613438120735815</v>
      </c>
      <c r="D40" s="5"/>
      <c r="E40" s="6">
        <v>447</v>
      </c>
      <c r="F40" s="5">
        <v>3.9484144510202284</v>
      </c>
      <c r="G40" s="5"/>
      <c r="H40" s="6">
        <v>48</v>
      </c>
      <c r="I40" s="5">
        <v>20.689655172413794</v>
      </c>
      <c r="J40" s="5"/>
      <c r="K40" s="6">
        <v>10</v>
      </c>
      <c r="L40" s="5">
        <v>38.461538461538467</v>
      </c>
      <c r="M40" s="5"/>
    </row>
    <row r="41" spans="1:13" ht="14.1" customHeight="1" x14ac:dyDescent="0.25">
      <c r="A41" s="61" t="s">
        <v>42</v>
      </c>
      <c r="B41" s="6">
        <v>1</v>
      </c>
      <c r="C41" s="16">
        <v>8.636324380343726E-3</v>
      </c>
      <c r="D41" s="5"/>
      <c r="E41" s="3" t="s">
        <v>96</v>
      </c>
      <c r="F41" s="3" t="s">
        <v>96</v>
      </c>
      <c r="G41" s="5"/>
      <c r="H41" s="6">
        <v>1</v>
      </c>
      <c r="I41" s="5">
        <v>0.43103448275862066</v>
      </c>
      <c r="J41" s="5"/>
      <c r="K41" s="3" t="s">
        <v>96</v>
      </c>
      <c r="L41" s="16" t="s">
        <v>96</v>
      </c>
      <c r="M41" s="5"/>
    </row>
    <row r="42" spans="1:13" ht="14.1" customHeight="1" x14ac:dyDescent="0.25">
      <c r="A42" s="61" t="s">
        <v>43</v>
      </c>
      <c r="B42" s="6">
        <v>314</v>
      </c>
      <c r="C42" s="16">
        <v>2.7118058554279298</v>
      </c>
      <c r="D42" s="5"/>
      <c r="E42" s="3">
        <v>281</v>
      </c>
      <c r="F42" s="16">
        <v>2.482112887554103</v>
      </c>
      <c r="G42" s="5"/>
      <c r="H42" s="6">
        <v>26</v>
      </c>
      <c r="I42" s="5">
        <v>11.206896551724139</v>
      </c>
      <c r="J42" s="5"/>
      <c r="K42" s="3">
        <v>7</v>
      </c>
      <c r="L42" s="16">
        <v>26.923076923076923</v>
      </c>
      <c r="M42" s="5"/>
    </row>
    <row r="43" spans="1:13" ht="14.1" customHeight="1" x14ac:dyDescent="0.25">
      <c r="A43" s="61" t="s">
        <v>44</v>
      </c>
      <c r="B43" s="6">
        <v>697</v>
      </c>
      <c r="C43" s="16">
        <v>6.0195180930995766</v>
      </c>
      <c r="D43" s="5"/>
      <c r="E43" s="3">
        <v>612</v>
      </c>
      <c r="F43" s="16">
        <v>5.4058828725377612</v>
      </c>
      <c r="G43" s="5"/>
      <c r="H43" s="6">
        <v>78</v>
      </c>
      <c r="I43" s="5">
        <v>33.720689655172414</v>
      </c>
      <c r="J43" s="5"/>
      <c r="K43" s="3">
        <v>7</v>
      </c>
      <c r="L43" s="16">
        <v>26.923076923076923</v>
      </c>
      <c r="M43" s="5"/>
    </row>
    <row r="44" spans="1:13" ht="14.1" customHeight="1" x14ac:dyDescent="0.25">
      <c r="A44" s="61" t="s">
        <v>45</v>
      </c>
      <c r="B44" s="6">
        <v>63</v>
      </c>
      <c r="C44" s="16">
        <v>0.54408843596165479</v>
      </c>
      <c r="D44" s="5"/>
      <c r="E44" s="3">
        <v>62</v>
      </c>
      <c r="F44" s="16">
        <v>0.54765480081264906</v>
      </c>
      <c r="G44" s="5"/>
      <c r="H44" s="6">
        <v>1</v>
      </c>
      <c r="I44" s="5">
        <v>0.43103448275862066</v>
      </c>
      <c r="J44" s="5"/>
      <c r="K44" s="3" t="s">
        <v>96</v>
      </c>
      <c r="L44" s="16" t="s">
        <v>96</v>
      </c>
      <c r="M44" s="5"/>
    </row>
    <row r="45" spans="1:13" ht="18" hidden="1" customHeight="1" x14ac:dyDescent="0.25">
      <c r="A45" s="61" t="s">
        <v>46</v>
      </c>
      <c r="B45" s="16">
        <v>5</v>
      </c>
      <c r="C45" s="16">
        <v>4.3181621901718627E-2</v>
      </c>
      <c r="D45" s="5"/>
      <c r="E45" s="3">
        <v>4</v>
      </c>
      <c r="F45" s="16">
        <v>3.5332567794364458E-2</v>
      </c>
      <c r="G45" s="5"/>
      <c r="H45" s="3">
        <v>1</v>
      </c>
      <c r="I45" s="16">
        <v>0.43103448275862066</v>
      </c>
      <c r="J45" s="5"/>
      <c r="K45" s="3" t="s">
        <v>96</v>
      </c>
      <c r="L45" s="16" t="s">
        <v>96</v>
      </c>
      <c r="M45" s="5"/>
    </row>
    <row r="46" spans="1:13" ht="14.1" customHeight="1" x14ac:dyDescent="0.25">
      <c r="A46" s="61" t="s">
        <v>47</v>
      </c>
      <c r="B46" s="6">
        <v>23</v>
      </c>
      <c r="C46" s="5">
        <v>0.19863546074790567</v>
      </c>
      <c r="D46" s="5"/>
      <c r="E46" s="3">
        <v>22</v>
      </c>
      <c r="F46" s="16">
        <v>0.1943291228690045</v>
      </c>
      <c r="G46" s="5"/>
      <c r="H46" s="6">
        <v>1</v>
      </c>
      <c r="I46" s="5">
        <v>0.43103448275862066</v>
      </c>
      <c r="J46" s="5"/>
      <c r="K46" s="3" t="s">
        <v>96</v>
      </c>
      <c r="L46" s="3" t="s">
        <v>96</v>
      </c>
      <c r="M46" s="5"/>
    </row>
    <row r="47" spans="1:13" ht="14.1" customHeight="1" x14ac:dyDescent="0.25">
      <c r="A47" s="69"/>
      <c r="B47" s="9"/>
      <c r="C47" s="5"/>
      <c r="D47" s="5"/>
      <c r="E47" s="6"/>
      <c r="F47" s="5"/>
      <c r="G47" s="5"/>
      <c r="H47" s="6"/>
      <c r="I47" s="16"/>
      <c r="J47" s="16"/>
      <c r="K47" s="6"/>
      <c r="L47" s="16"/>
      <c r="M47" s="16"/>
    </row>
    <row r="48" spans="1:13" ht="14.1" customHeight="1" x14ac:dyDescent="0.25">
      <c r="A48" s="63" t="s">
        <v>20</v>
      </c>
      <c r="B48" s="9">
        <v>73015</v>
      </c>
      <c r="C48" s="15">
        <v>100</v>
      </c>
      <c r="D48" s="15"/>
      <c r="E48" s="9">
        <v>71570</v>
      </c>
      <c r="F48" s="15">
        <v>100</v>
      </c>
      <c r="G48" s="15"/>
      <c r="H48" s="9">
        <v>1244</v>
      </c>
      <c r="I48" s="15">
        <v>100</v>
      </c>
      <c r="J48" s="15"/>
      <c r="K48" s="9">
        <v>201</v>
      </c>
      <c r="L48" s="15">
        <v>100</v>
      </c>
      <c r="M48" s="15"/>
    </row>
    <row r="49" spans="1:13" ht="14.1" customHeight="1" x14ac:dyDescent="0.25">
      <c r="A49" s="61" t="s">
        <v>40</v>
      </c>
      <c r="B49" s="6">
        <v>61016</v>
      </c>
      <c r="C49" s="5">
        <v>83.566390467712111</v>
      </c>
      <c r="D49" s="5"/>
      <c r="E49" s="6">
        <v>60805</v>
      </c>
      <c r="F49" s="5">
        <v>85.058781612407429</v>
      </c>
      <c r="G49" s="5"/>
      <c r="H49" s="6">
        <v>199</v>
      </c>
      <c r="I49" s="5">
        <v>15.9967845659164</v>
      </c>
      <c r="J49" s="5"/>
      <c r="K49" s="6">
        <v>12</v>
      </c>
      <c r="L49" s="5">
        <v>5.9701492537313428</v>
      </c>
      <c r="M49" s="5"/>
    </row>
    <row r="50" spans="1:13" ht="14.1" customHeight="1" x14ac:dyDescent="0.25">
      <c r="A50" s="61" t="s">
        <v>41</v>
      </c>
      <c r="B50" s="6">
        <v>3427</v>
      </c>
      <c r="C50" s="5">
        <v>4.6935561186057653</v>
      </c>
      <c r="D50" s="5"/>
      <c r="E50" s="6">
        <v>2994</v>
      </c>
      <c r="F50" s="5">
        <v>4.1833170322760935</v>
      </c>
      <c r="G50" s="5"/>
      <c r="H50" s="6">
        <v>339</v>
      </c>
      <c r="I50" s="5">
        <v>27.2508038585209</v>
      </c>
      <c r="J50" s="5"/>
      <c r="K50" s="6">
        <v>94</v>
      </c>
      <c r="L50" s="5">
        <v>46.766169154228855</v>
      </c>
      <c r="M50" s="5"/>
    </row>
    <row r="51" spans="1:13" ht="14.1" customHeight="1" x14ac:dyDescent="0.25">
      <c r="A51" s="61" t="s">
        <v>42</v>
      </c>
      <c r="B51" s="6">
        <v>100</v>
      </c>
      <c r="C51" s="5">
        <v>0.13695815928233926</v>
      </c>
      <c r="D51" s="5"/>
      <c r="E51" s="6">
        <v>92</v>
      </c>
      <c r="F51" s="5">
        <v>0.12854547994969959</v>
      </c>
      <c r="G51" s="5"/>
      <c r="H51" s="6">
        <v>7</v>
      </c>
      <c r="I51" s="5">
        <v>0.56270096463022512</v>
      </c>
      <c r="J51" s="5"/>
      <c r="K51" s="6">
        <v>1</v>
      </c>
      <c r="L51" s="5">
        <v>0.49751243781094528</v>
      </c>
      <c r="M51" s="5"/>
    </row>
    <row r="52" spans="1:13" ht="14.1" customHeight="1" x14ac:dyDescent="0.25">
      <c r="A52" s="61" t="s">
        <v>43</v>
      </c>
      <c r="B52" s="6">
        <v>1892</v>
      </c>
      <c r="C52" s="5">
        <v>2.5912483736218586</v>
      </c>
      <c r="D52" s="5"/>
      <c r="E52" s="6">
        <v>1590</v>
      </c>
      <c r="F52" s="5">
        <v>2.2216012295654606</v>
      </c>
      <c r="G52" s="5"/>
      <c r="H52" s="6">
        <v>255</v>
      </c>
      <c r="I52" s="5">
        <v>20.4983922829582</v>
      </c>
      <c r="J52" s="5"/>
      <c r="K52" s="6">
        <v>47</v>
      </c>
      <c r="L52" s="5">
        <v>23.383084577114428</v>
      </c>
      <c r="M52" s="5"/>
    </row>
    <row r="53" spans="1:13" ht="14.1" customHeight="1" x14ac:dyDescent="0.25">
      <c r="A53" s="61" t="s">
        <v>44</v>
      </c>
      <c r="B53" s="6">
        <v>6512</v>
      </c>
      <c r="C53" s="5">
        <v>8.9187153324659327</v>
      </c>
      <c r="D53" s="5"/>
      <c r="E53" s="6">
        <v>6028</v>
      </c>
      <c r="F53" s="5">
        <v>8.422523403660751</v>
      </c>
      <c r="G53" s="5"/>
      <c r="H53" s="6">
        <v>440</v>
      </c>
      <c r="I53" s="5">
        <v>35.369774919614152</v>
      </c>
      <c r="J53" s="5"/>
      <c r="K53" s="6">
        <v>44</v>
      </c>
      <c r="L53" s="5">
        <v>21.890547263681594</v>
      </c>
      <c r="M53" s="5"/>
    </row>
    <row r="54" spans="1:13" ht="14.1" customHeight="1" x14ac:dyDescent="0.25">
      <c r="A54" s="61" t="s">
        <v>45</v>
      </c>
      <c r="B54" s="6">
        <v>38</v>
      </c>
      <c r="C54" s="16">
        <v>5.2044100527288917E-2</v>
      </c>
      <c r="D54" s="5"/>
      <c r="E54" s="6">
        <v>33</v>
      </c>
      <c r="F54" s="16">
        <v>4.6108704764566161E-2</v>
      </c>
      <c r="G54" s="5"/>
      <c r="H54" s="6">
        <v>3</v>
      </c>
      <c r="I54" s="5">
        <v>0.2411575562700965</v>
      </c>
      <c r="J54" s="5"/>
      <c r="K54" s="6">
        <v>2</v>
      </c>
      <c r="L54" s="5">
        <v>0.99502487562189057</v>
      </c>
      <c r="M54" s="5"/>
    </row>
    <row r="55" spans="1:13" ht="18" hidden="1" customHeight="1" x14ac:dyDescent="0.25">
      <c r="A55" s="61" t="s">
        <v>46</v>
      </c>
      <c r="B55" s="3">
        <v>12</v>
      </c>
      <c r="C55" s="16">
        <v>1.6434979113880709E-2</v>
      </c>
      <c r="D55" s="3"/>
      <c r="E55" s="16">
        <v>11</v>
      </c>
      <c r="F55" s="16">
        <v>1.5369568254855387E-2</v>
      </c>
      <c r="G55" s="5"/>
      <c r="H55" s="3">
        <v>1</v>
      </c>
      <c r="I55" s="16">
        <v>8.0385852090032156E-2</v>
      </c>
      <c r="J55" s="5"/>
      <c r="K55" s="3" t="s">
        <v>96</v>
      </c>
      <c r="L55" s="3" t="s">
        <v>96</v>
      </c>
      <c r="M55" s="5"/>
    </row>
    <row r="56" spans="1:13" ht="14.1" customHeight="1" x14ac:dyDescent="0.25">
      <c r="A56" s="61" t="s">
        <v>47</v>
      </c>
      <c r="B56" s="6">
        <v>30</v>
      </c>
      <c r="C56" s="16">
        <v>4.1087447784701775E-2</v>
      </c>
      <c r="D56" s="5"/>
      <c r="E56" s="6">
        <v>28</v>
      </c>
      <c r="F56" s="16">
        <v>3.9122537375995525E-2</v>
      </c>
      <c r="G56" s="5"/>
      <c r="H56" s="3">
        <v>1</v>
      </c>
      <c r="I56" s="16" t="s">
        <v>96</v>
      </c>
      <c r="J56" s="5"/>
      <c r="K56" s="6">
        <v>1</v>
      </c>
      <c r="L56" s="5">
        <v>0.49751243781094528</v>
      </c>
      <c r="M56" s="5"/>
    </row>
    <row r="57" spans="1:13" ht="14.1" customHeight="1" x14ac:dyDescent="0.25">
      <c r="A57" s="61"/>
      <c r="B57" s="6"/>
      <c r="C57" s="5"/>
      <c r="D57" s="5"/>
      <c r="E57" s="6"/>
      <c r="F57" s="5"/>
      <c r="G57" s="5"/>
      <c r="H57" s="6"/>
      <c r="I57" s="16"/>
      <c r="J57" s="16"/>
      <c r="K57" s="6"/>
      <c r="L57" s="16"/>
      <c r="M57" s="16"/>
    </row>
    <row r="58" spans="1:13" ht="14.1" customHeight="1" x14ac:dyDescent="0.25">
      <c r="A58" s="63" t="s">
        <v>19</v>
      </c>
      <c r="B58" s="9">
        <v>16610</v>
      </c>
      <c r="C58" s="15">
        <v>100</v>
      </c>
      <c r="D58" s="15"/>
      <c r="E58" s="9">
        <v>16222</v>
      </c>
      <c r="F58" s="15">
        <v>100</v>
      </c>
      <c r="G58" s="15"/>
      <c r="H58" s="9">
        <v>340</v>
      </c>
      <c r="I58" s="15">
        <v>100</v>
      </c>
      <c r="J58" s="15"/>
      <c r="K58" s="9">
        <v>48</v>
      </c>
      <c r="L58" s="15">
        <v>100</v>
      </c>
      <c r="M58" s="15"/>
    </row>
    <row r="59" spans="1:13" ht="14.1" customHeight="1" x14ac:dyDescent="0.25">
      <c r="A59" s="61" t="s">
        <v>40</v>
      </c>
      <c r="B59" s="6">
        <v>14213</v>
      </c>
      <c r="C59" s="5">
        <v>85.568934376881401</v>
      </c>
      <c r="D59" s="5"/>
      <c r="E59" s="6">
        <v>14114</v>
      </c>
      <c r="F59" s="5">
        <v>87.105301442485512</v>
      </c>
      <c r="G59" s="5"/>
      <c r="H59" s="6">
        <v>95</v>
      </c>
      <c r="I59" s="5">
        <v>27.941176470588236</v>
      </c>
      <c r="J59" s="5"/>
      <c r="K59" s="6">
        <v>4</v>
      </c>
      <c r="L59" s="5">
        <v>8.3333333333333321</v>
      </c>
      <c r="M59" s="5"/>
    </row>
    <row r="60" spans="1:13" ht="14.1" customHeight="1" x14ac:dyDescent="0.25">
      <c r="A60" s="61" t="s">
        <v>41</v>
      </c>
      <c r="B60" s="6">
        <v>893</v>
      </c>
      <c r="C60" s="5">
        <v>5.3762793497892831</v>
      </c>
      <c r="D60" s="5"/>
      <c r="E60" s="6">
        <v>779</v>
      </c>
      <c r="F60" s="5">
        <v>4.8021205769942048</v>
      </c>
      <c r="G60" s="5"/>
      <c r="H60" s="6">
        <v>92</v>
      </c>
      <c r="I60" s="5">
        <v>27.058823529411764</v>
      </c>
      <c r="J60" s="5"/>
      <c r="K60" s="6">
        <v>22</v>
      </c>
      <c r="L60" s="5">
        <v>45.93333333333333</v>
      </c>
      <c r="M60" s="5"/>
    </row>
    <row r="61" spans="1:13" ht="14.1" customHeight="1" x14ac:dyDescent="0.25">
      <c r="A61" s="61" t="s">
        <v>42</v>
      </c>
      <c r="B61" s="3">
        <v>1</v>
      </c>
      <c r="C61" s="16">
        <v>6.020469596628537E-3</v>
      </c>
      <c r="D61" s="5"/>
      <c r="E61" s="3">
        <v>1</v>
      </c>
      <c r="F61" s="16">
        <v>6.1644680064110464E-3</v>
      </c>
      <c r="G61" s="3"/>
      <c r="H61" s="3" t="s">
        <v>96</v>
      </c>
      <c r="I61" s="3" t="s">
        <v>96</v>
      </c>
      <c r="J61" s="5"/>
      <c r="K61" s="3" t="s">
        <v>96</v>
      </c>
      <c r="L61" s="16" t="s">
        <v>96</v>
      </c>
      <c r="M61" s="5"/>
    </row>
    <row r="62" spans="1:13" ht="14.1" customHeight="1" x14ac:dyDescent="0.25">
      <c r="A62" s="61" t="s">
        <v>43</v>
      </c>
      <c r="B62" s="6">
        <v>257</v>
      </c>
      <c r="C62" s="5">
        <v>1.5472606863335341</v>
      </c>
      <c r="D62" s="5"/>
      <c r="E62" s="6">
        <v>215</v>
      </c>
      <c r="F62" s="5">
        <v>1.3253606213783751</v>
      </c>
      <c r="G62" s="5"/>
      <c r="H62" s="6">
        <v>37</v>
      </c>
      <c r="I62" s="5">
        <v>10.882352941176471</v>
      </c>
      <c r="J62" s="5"/>
      <c r="K62" s="3">
        <v>5</v>
      </c>
      <c r="L62" s="16">
        <v>10.416666666666668</v>
      </c>
      <c r="M62" s="5"/>
    </row>
    <row r="63" spans="1:13" ht="14.1" customHeight="1" x14ac:dyDescent="0.25">
      <c r="A63" s="61" t="s">
        <v>44</v>
      </c>
      <c r="B63" s="6">
        <v>1153</v>
      </c>
      <c r="C63" s="5">
        <v>6.9416014449127026</v>
      </c>
      <c r="D63" s="5"/>
      <c r="E63" s="6">
        <v>1021</v>
      </c>
      <c r="F63" s="5">
        <v>6.2939218345456798</v>
      </c>
      <c r="G63" s="5"/>
      <c r="H63" s="6">
        <v>116</v>
      </c>
      <c r="I63" s="5">
        <v>34.117647058823529</v>
      </c>
      <c r="J63" s="5"/>
      <c r="K63" s="3">
        <v>16</v>
      </c>
      <c r="L63" s="16">
        <v>33.333333333333329</v>
      </c>
      <c r="M63" s="5"/>
    </row>
    <row r="64" spans="1:13" ht="14.1" customHeight="1" x14ac:dyDescent="0.25">
      <c r="A64" s="61" t="s">
        <v>45</v>
      </c>
      <c r="B64" s="6">
        <v>70</v>
      </c>
      <c r="C64" s="5">
        <v>0.42143287176399757</v>
      </c>
      <c r="D64" s="5"/>
      <c r="E64" s="6">
        <v>70</v>
      </c>
      <c r="F64" s="5">
        <v>0.43151276044877329</v>
      </c>
      <c r="G64" s="5"/>
      <c r="H64" s="3" t="s">
        <v>96</v>
      </c>
      <c r="I64" s="3" t="s">
        <v>96</v>
      </c>
      <c r="J64" s="5"/>
      <c r="K64" s="3" t="s">
        <v>96</v>
      </c>
      <c r="L64" s="16" t="s">
        <v>96</v>
      </c>
      <c r="M64" s="5"/>
    </row>
    <row r="65" spans="1:13" ht="15" hidden="1" customHeight="1" x14ac:dyDescent="0.25">
      <c r="A65" s="61" t="s">
        <v>46</v>
      </c>
      <c r="B65" s="6">
        <v>6</v>
      </c>
      <c r="C65" s="5">
        <v>3.6122817579771219E-2</v>
      </c>
      <c r="D65" s="5"/>
      <c r="E65" s="6">
        <v>6</v>
      </c>
      <c r="F65" s="5">
        <v>3.6986808038466282E-2</v>
      </c>
      <c r="G65" s="5"/>
      <c r="H65" s="3" t="s">
        <v>96</v>
      </c>
      <c r="I65" s="3" t="s">
        <v>96</v>
      </c>
      <c r="J65" s="5"/>
      <c r="K65" s="3" t="s">
        <v>96</v>
      </c>
      <c r="L65" s="16" t="s">
        <v>96</v>
      </c>
      <c r="M65" s="5"/>
    </row>
    <row r="66" spans="1:13" ht="14.1" customHeight="1" x14ac:dyDescent="0.25">
      <c r="A66" s="61" t="s">
        <v>47</v>
      </c>
      <c r="B66" s="6">
        <v>23</v>
      </c>
      <c r="C66" s="5">
        <v>0.13847080072245635</v>
      </c>
      <c r="D66" s="5"/>
      <c r="E66" s="6">
        <v>22</v>
      </c>
      <c r="F66" s="5">
        <v>0.13561829614104304</v>
      </c>
      <c r="G66" s="5"/>
      <c r="H66" s="3" t="s">
        <v>96</v>
      </c>
      <c r="I66" s="3" t="s">
        <v>96</v>
      </c>
      <c r="J66" s="5"/>
      <c r="K66" s="6">
        <v>1</v>
      </c>
      <c r="L66" s="5">
        <v>2.083333333333333</v>
      </c>
      <c r="M66" s="5"/>
    </row>
    <row r="67" spans="1:13" ht="14.1" customHeight="1" x14ac:dyDescent="0.25">
      <c r="A67" s="68"/>
      <c r="B67" s="6"/>
      <c r="C67" s="5"/>
      <c r="D67" s="5"/>
      <c r="E67" s="6"/>
      <c r="F67" s="5"/>
      <c r="G67" s="5"/>
      <c r="H67" s="6"/>
      <c r="I67" s="16"/>
      <c r="J67" s="16"/>
      <c r="K67" s="6"/>
      <c r="L67" s="16"/>
      <c r="M67" s="16"/>
    </row>
    <row r="68" spans="1:13" ht="14.1" customHeight="1" x14ac:dyDescent="0.25">
      <c r="A68" s="63" t="s">
        <v>18</v>
      </c>
      <c r="B68" s="9">
        <v>29646</v>
      </c>
      <c r="C68" s="15">
        <v>100</v>
      </c>
      <c r="D68" s="15"/>
      <c r="E68" s="9">
        <v>29050</v>
      </c>
      <c r="F68" s="15">
        <v>100</v>
      </c>
      <c r="G68" s="15"/>
      <c r="H68" s="9">
        <v>489</v>
      </c>
      <c r="I68" s="15">
        <v>100</v>
      </c>
      <c r="J68" s="15"/>
      <c r="K68" s="9">
        <v>107</v>
      </c>
      <c r="L68" s="15">
        <v>100</v>
      </c>
      <c r="M68" s="15"/>
    </row>
    <row r="69" spans="1:13" ht="14.1" customHeight="1" x14ac:dyDescent="0.25">
      <c r="A69" s="61" t="s">
        <v>40</v>
      </c>
      <c r="B69" s="6">
        <v>25072</v>
      </c>
      <c r="C69" s="5">
        <v>84.571274370910075</v>
      </c>
      <c r="D69" s="5"/>
      <c r="E69" s="6">
        <v>24984</v>
      </c>
      <c r="F69" s="5">
        <v>86.10344234079173</v>
      </c>
      <c r="G69" s="5"/>
      <c r="H69" s="6">
        <v>82</v>
      </c>
      <c r="I69" s="5">
        <v>16.768916155419223</v>
      </c>
      <c r="J69" s="5"/>
      <c r="K69" s="6">
        <v>6</v>
      </c>
      <c r="L69" s="5">
        <v>5.6074766355140184</v>
      </c>
      <c r="M69" s="5"/>
    </row>
    <row r="70" spans="1:13" ht="14.1" customHeight="1" x14ac:dyDescent="0.25">
      <c r="A70" s="61" t="s">
        <v>41</v>
      </c>
      <c r="B70" s="6">
        <v>1131</v>
      </c>
      <c r="C70" s="5">
        <v>3.8150172029953451</v>
      </c>
      <c r="D70" s="5"/>
      <c r="E70" s="6">
        <v>971</v>
      </c>
      <c r="F70" s="5">
        <v>3.342512908777969</v>
      </c>
      <c r="G70" s="5"/>
      <c r="H70" s="6">
        <v>105</v>
      </c>
      <c r="I70" s="5">
        <v>21.472392638036812</v>
      </c>
      <c r="J70" s="5"/>
      <c r="K70" s="6">
        <v>55</v>
      </c>
      <c r="L70" s="5">
        <v>51.401869158878498</v>
      </c>
      <c r="M70" s="5"/>
    </row>
    <row r="71" spans="1:13" ht="14.1" customHeight="1" x14ac:dyDescent="0.25">
      <c r="A71" s="61" t="s">
        <v>42</v>
      </c>
      <c r="B71" s="6">
        <v>12</v>
      </c>
      <c r="C71" s="16">
        <v>4.0477636106051408E-2</v>
      </c>
      <c r="D71" s="5"/>
      <c r="E71" s="6">
        <v>11</v>
      </c>
      <c r="F71" s="16">
        <v>3.7865748709122203E-2</v>
      </c>
      <c r="G71" s="5"/>
      <c r="H71" s="3">
        <v>1</v>
      </c>
      <c r="I71" s="16">
        <v>0.20449897750511251</v>
      </c>
      <c r="J71" s="5"/>
      <c r="K71" s="3" t="s">
        <v>96</v>
      </c>
      <c r="L71" s="3" t="s">
        <v>96</v>
      </c>
      <c r="M71" s="5"/>
    </row>
    <row r="72" spans="1:13" ht="14.1" customHeight="1" x14ac:dyDescent="0.25">
      <c r="A72" s="61" t="s">
        <v>43</v>
      </c>
      <c r="B72" s="6">
        <v>1113</v>
      </c>
      <c r="C72" s="5">
        <v>3.7543007488362679</v>
      </c>
      <c r="D72" s="5"/>
      <c r="E72" s="6">
        <v>964</v>
      </c>
      <c r="F72" s="5">
        <v>3.3184165232358001</v>
      </c>
      <c r="G72" s="5"/>
      <c r="H72" s="6">
        <v>132</v>
      </c>
      <c r="I72" s="5">
        <v>26.993865030674847</v>
      </c>
      <c r="J72" s="5"/>
      <c r="K72" s="6">
        <v>17</v>
      </c>
      <c r="L72" s="5">
        <v>15.887850467289718</v>
      </c>
      <c r="M72" s="5"/>
    </row>
    <row r="73" spans="1:13" ht="14.1" customHeight="1" x14ac:dyDescent="0.25">
      <c r="A73" s="61" t="s">
        <v>44</v>
      </c>
      <c r="B73" s="6">
        <v>2197</v>
      </c>
      <c r="C73" s="5">
        <v>7.4107805437495786</v>
      </c>
      <c r="D73" s="5"/>
      <c r="E73" s="6">
        <v>2012</v>
      </c>
      <c r="F73" s="5">
        <v>6.9259896729776251</v>
      </c>
      <c r="G73" s="5"/>
      <c r="H73" s="6">
        <v>163</v>
      </c>
      <c r="I73" s="5">
        <v>33.333333333333329</v>
      </c>
      <c r="J73" s="5"/>
      <c r="K73" s="6">
        <v>22</v>
      </c>
      <c r="L73" s="5">
        <v>20.5607476635514</v>
      </c>
      <c r="M73" s="5"/>
    </row>
    <row r="74" spans="1:13" ht="14.1" customHeight="1" x14ac:dyDescent="0.25">
      <c r="A74" s="61" t="s">
        <v>45</v>
      </c>
      <c r="B74" s="6">
        <v>88</v>
      </c>
      <c r="C74" s="5">
        <v>0.29683599811104366</v>
      </c>
      <c r="D74" s="5"/>
      <c r="E74" s="6">
        <v>79</v>
      </c>
      <c r="F74" s="5">
        <v>0.27194492254733221</v>
      </c>
      <c r="G74" s="5"/>
      <c r="H74" s="6">
        <v>3</v>
      </c>
      <c r="I74" s="5">
        <v>0.61349693251533743</v>
      </c>
      <c r="J74" s="5"/>
      <c r="K74" s="6">
        <v>6</v>
      </c>
      <c r="L74" s="5">
        <v>5.6074766355140184</v>
      </c>
      <c r="M74" s="5"/>
    </row>
    <row r="75" spans="1:13" ht="18" hidden="1" customHeight="1" x14ac:dyDescent="0.25">
      <c r="A75" s="61" t="s">
        <v>46</v>
      </c>
      <c r="B75" s="6">
        <v>13</v>
      </c>
      <c r="C75" s="5">
        <v>4.3850772448222358E-2</v>
      </c>
      <c r="D75" s="5"/>
      <c r="E75" s="6">
        <v>11</v>
      </c>
      <c r="F75" s="5">
        <v>3.7865748709122203E-2</v>
      </c>
      <c r="G75" s="5"/>
      <c r="H75" s="6">
        <v>1</v>
      </c>
      <c r="I75" s="5">
        <v>0.20449897750511251</v>
      </c>
      <c r="J75" s="5"/>
      <c r="K75" s="6">
        <v>1</v>
      </c>
      <c r="L75" s="5">
        <v>0.93457943925233633</v>
      </c>
      <c r="M75" s="5"/>
    </row>
    <row r="76" spans="1:13" ht="14.1" customHeight="1" x14ac:dyDescent="0.25">
      <c r="A76" s="61" t="s">
        <v>47</v>
      </c>
      <c r="B76" s="6">
        <v>33</v>
      </c>
      <c r="C76" s="5">
        <v>0.11131349929164137</v>
      </c>
      <c r="D76" s="5"/>
      <c r="E76" s="6">
        <v>29</v>
      </c>
      <c r="F76" s="5">
        <v>9.9827882960413089E-2</v>
      </c>
      <c r="G76" s="5"/>
      <c r="H76" s="6">
        <v>3</v>
      </c>
      <c r="I76" s="5">
        <v>0.61349693251533755</v>
      </c>
      <c r="J76" s="5"/>
      <c r="K76" s="6">
        <v>1</v>
      </c>
      <c r="L76" s="5">
        <v>0.93457943925233633</v>
      </c>
      <c r="M76" s="5"/>
    </row>
    <row r="77" spans="1:13" ht="14.1" customHeight="1" x14ac:dyDescent="0.25">
      <c r="A77" s="68"/>
      <c r="B77" s="9"/>
      <c r="C77" s="15"/>
      <c r="D77" s="15"/>
      <c r="E77" s="9"/>
      <c r="F77" s="15"/>
      <c r="G77" s="15"/>
      <c r="H77" s="9"/>
      <c r="I77" s="15"/>
      <c r="J77" s="15"/>
      <c r="K77" s="9"/>
      <c r="L77" s="15"/>
      <c r="M77" s="15"/>
    </row>
    <row r="78" spans="1:13" ht="14.1" customHeight="1" x14ac:dyDescent="0.25">
      <c r="A78" s="63" t="s">
        <v>55</v>
      </c>
      <c r="B78" s="9">
        <v>41595</v>
      </c>
      <c r="C78" s="15">
        <v>100</v>
      </c>
      <c r="D78" s="15"/>
      <c r="E78" s="9">
        <v>40783</v>
      </c>
      <c r="F78" s="15">
        <v>100</v>
      </c>
      <c r="G78" s="15"/>
      <c r="H78" s="9">
        <v>655</v>
      </c>
      <c r="I78" s="15">
        <v>100</v>
      </c>
      <c r="J78" s="15"/>
      <c r="K78" s="9">
        <v>157</v>
      </c>
      <c r="L78" s="15">
        <v>100</v>
      </c>
      <c r="M78" s="15"/>
    </row>
    <row r="79" spans="1:13" ht="14.1" customHeight="1" x14ac:dyDescent="0.25">
      <c r="A79" s="61" t="s">
        <v>40</v>
      </c>
      <c r="B79" s="6">
        <v>35394</v>
      </c>
      <c r="C79" s="5">
        <v>85.191958168049041</v>
      </c>
      <c r="D79" s="5"/>
      <c r="E79" s="6">
        <v>35301</v>
      </c>
      <c r="F79" s="5">
        <v>86.558124708824764</v>
      </c>
      <c r="G79" s="5"/>
      <c r="H79" s="6">
        <v>91</v>
      </c>
      <c r="I79" s="5">
        <v>13.893129770992365</v>
      </c>
      <c r="J79" s="5"/>
      <c r="K79" s="3">
        <v>2</v>
      </c>
      <c r="L79" s="16">
        <v>1.2738853503184715</v>
      </c>
      <c r="M79" s="5"/>
    </row>
    <row r="80" spans="1:13" ht="14.1" customHeight="1" x14ac:dyDescent="0.25">
      <c r="A80" s="61" t="s">
        <v>41</v>
      </c>
      <c r="B80" s="6">
        <v>3346</v>
      </c>
      <c r="C80" s="5">
        <v>8.044236086068036</v>
      </c>
      <c r="D80" s="5"/>
      <c r="E80" s="6">
        <v>2858</v>
      </c>
      <c r="F80" s="5">
        <v>7.007821886570385</v>
      </c>
      <c r="G80" s="5"/>
      <c r="H80" s="6">
        <v>360</v>
      </c>
      <c r="I80" s="5">
        <v>54.861832061068704</v>
      </c>
      <c r="J80" s="5"/>
      <c r="K80" s="3">
        <v>128</v>
      </c>
      <c r="L80" s="16">
        <v>81.528662420382176</v>
      </c>
      <c r="M80" s="5"/>
    </row>
    <row r="81" spans="1:13" ht="14.1" customHeight="1" x14ac:dyDescent="0.25">
      <c r="A81" s="61" t="s">
        <v>42</v>
      </c>
      <c r="B81" s="6">
        <v>89</v>
      </c>
      <c r="C81" s="5">
        <v>0.21396802500300516</v>
      </c>
      <c r="D81" s="5"/>
      <c r="E81" s="6">
        <v>86</v>
      </c>
      <c r="F81" s="5">
        <v>0.21087217713262879</v>
      </c>
      <c r="G81" s="5"/>
      <c r="H81" s="6">
        <v>3</v>
      </c>
      <c r="I81" s="5">
        <v>0.45801526717557256</v>
      </c>
      <c r="J81" s="5"/>
      <c r="K81" s="3" t="s">
        <v>96</v>
      </c>
      <c r="L81" s="16" t="s">
        <v>96</v>
      </c>
      <c r="M81" s="5"/>
    </row>
    <row r="82" spans="1:13" ht="14.1" customHeight="1" x14ac:dyDescent="0.25">
      <c r="A82" s="61" t="s">
        <v>43</v>
      </c>
      <c r="B82" s="6">
        <v>342</v>
      </c>
      <c r="C82" s="5">
        <v>0.82221420843851434</v>
      </c>
      <c r="D82" s="5"/>
      <c r="E82" s="6">
        <v>284</v>
      </c>
      <c r="F82" s="5">
        <v>0.6963685849496114</v>
      </c>
      <c r="G82" s="5"/>
      <c r="H82" s="6">
        <v>49</v>
      </c>
      <c r="I82" s="5">
        <v>7.4809160305343516</v>
      </c>
      <c r="J82" s="5"/>
      <c r="K82" s="3">
        <v>9</v>
      </c>
      <c r="L82" s="16">
        <v>5.7324840764331215</v>
      </c>
      <c r="M82" s="5"/>
    </row>
    <row r="83" spans="1:13" ht="14.1" customHeight="1" x14ac:dyDescent="0.25">
      <c r="A83" s="61" t="s">
        <v>44</v>
      </c>
      <c r="B83" s="6">
        <v>2395</v>
      </c>
      <c r="C83" s="5">
        <v>5.7579035941819932</v>
      </c>
      <c r="D83" s="5"/>
      <c r="E83" s="6">
        <v>2227</v>
      </c>
      <c r="F83" s="5">
        <v>5.4606085869112126</v>
      </c>
      <c r="G83" s="5"/>
      <c r="H83" s="6">
        <v>150</v>
      </c>
      <c r="I83" s="5">
        <v>22.900763358778626</v>
      </c>
      <c r="J83" s="5"/>
      <c r="K83" s="3">
        <v>18</v>
      </c>
      <c r="L83" s="16">
        <v>11.464968152866243</v>
      </c>
      <c r="M83" s="5"/>
    </row>
    <row r="84" spans="1:13" ht="14.1" customHeight="1" x14ac:dyDescent="0.25">
      <c r="A84" s="61" t="s">
        <v>45</v>
      </c>
      <c r="B84" s="6">
        <v>9</v>
      </c>
      <c r="C84" s="16">
        <v>0</v>
      </c>
      <c r="D84" s="5"/>
      <c r="E84" s="6">
        <v>9</v>
      </c>
      <c r="F84" s="16">
        <v>2.2068018537135574E-2</v>
      </c>
      <c r="G84" s="5"/>
      <c r="H84" s="3" t="s">
        <v>96</v>
      </c>
      <c r="I84" s="16" t="s">
        <v>96</v>
      </c>
      <c r="J84" s="5"/>
      <c r="K84" s="3" t="s">
        <v>96</v>
      </c>
      <c r="L84" s="16" t="s">
        <v>96</v>
      </c>
      <c r="M84" s="5"/>
    </row>
    <row r="85" spans="1:13" ht="12.75" hidden="1" customHeight="1" x14ac:dyDescent="0.25">
      <c r="A85" s="61" t="s">
        <v>46</v>
      </c>
      <c r="B85" s="6">
        <v>9</v>
      </c>
      <c r="C85" s="16">
        <v>0</v>
      </c>
      <c r="D85" s="5"/>
      <c r="E85" s="6">
        <v>9</v>
      </c>
      <c r="F85" s="16">
        <v>2.2068018537135574E-2</v>
      </c>
      <c r="G85" s="5"/>
      <c r="H85" s="3" t="s">
        <v>96</v>
      </c>
      <c r="I85" s="16" t="s">
        <v>96</v>
      </c>
      <c r="J85" s="5"/>
      <c r="K85" s="3" t="s">
        <v>96</v>
      </c>
      <c r="L85" s="16" t="s">
        <v>96</v>
      </c>
      <c r="M85" s="5"/>
    </row>
    <row r="86" spans="1:13" ht="14.1" customHeight="1" x14ac:dyDescent="0.25">
      <c r="A86" s="61" t="s">
        <v>47</v>
      </c>
      <c r="B86" s="6">
        <v>20</v>
      </c>
      <c r="C86" s="16">
        <v>0</v>
      </c>
      <c r="D86" s="5"/>
      <c r="E86" s="6">
        <v>18</v>
      </c>
      <c r="F86" s="16">
        <v>4.4136037074271148E-2</v>
      </c>
      <c r="G86" s="5"/>
      <c r="H86" s="6">
        <v>2</v>
      </c>
      <c r="I86" s="98">
        <v>0.30534351145038169</v>
      </c>
      <c r="J86" s="5"/>
      <c r="K86" s="3" t="s">
        <v>96</v>
      </c>
      <c r="L86" s="16" t="s">
        <v>96</v>
      </c>
      <c r="M86" s="5"/>
    </row>
    <row r="87" spans="1:13" ht="14.1" customHeight="1" x14ac:dyDescent="0.25">
      <c r="A87" s="68"/>
      <c r="B87" s="9"/>
      <c r="C87" s="15"/>
      <c r="D87" s="15"/>
      <c r="E87" s="9"/>
      <c r="F87" s="15"/>
      <c r="G87" s="15"/>
      <c r="H87" s="9"/>
      <c r="I87" s="15"/>
      <c r="J87" s="15"/>
      <c r="K87" s="9"/>
      <c r="L87" s="15"/>
      <c r="M87" s="15"/>
    </row>
    <row r="88" spans="1:13" ht="14.1" customHeight="1" x14ac:dyDescent="0.25">
      <c r="A88" s="63" t="s">
        <v>17</v>
      </c>
      <c r="B88" s="9">
        <v>52055</v>
      </c>
      <c r="C88" s="15">
        <v>100</v>
      </c>
      <c r="D88" s="15"/>
      <c r="E88" s="9">
        <v>51314</v>
      </c>
      <c r="F88" s="15">
        <v>100</v>
      </c>
      <c r="G88" s="15"/>
      <c r="H88" s="9">
        <v>651</v>
      </c>
      <c r="I88" s="15">
        <v>100</v>
      </c>
      <c r="J88" s="15"/>
      <c r="K88" s="9">
        <v>90</v>
      </c>
      <c r="L88" s="15">
        <v>100</v>
      </c>
      <c r="M88" s="15"/>
    </row>
    <row r="89" spans="1:13" ht="14.1" customHeight="1" x14ac:dyDescent="0.25">
      <c r="A89" s="61" t="s">
        <v>40</v>
      </c>
      <c r="B89" s="6">
        <v>46258</v>
      </c>
      <c r="C89" s="5">
        <v>88.863701853808479</v>
      </c>
      <c r="D89" s="5"/>
      <c r="E89" s="6">
        <v>46111</v>
      </c>
      <c r="F89" s="5">
        <v>89.860466929103168</v>
      </c>
      <c r="G89" s="5"/>
      <c r="H89" s="6">
        <v>141</v>
      </c>
      <c r="I89" s="5">
        <v>21.658986175115206</v>
      </c>
      <c r="J89" s="5"/>
      <c r="K89" s="6">
        <v>6</v>
      </c>
      <c r="L89" s="5">
        <v>6.666666666666667</v>
      </c>
      <c r="M89" s="5"/>
    </row>
    <row r="90" spans="1:13" ht="14.1" customHeight="1" x14ac:dyDescent="0.25">
      <c r="A90" s="61" t="s">
        <v>41</v>
      </c>
      <c r="B90" s="6">
        <v>1531</v>
      </c>
      <c r="C90" s="5">
        <v>2.9411199692632795</v>
      </c>
      <c r="D90" s="5"/>
      <c r="E90" s="6">
        <v>1354</v>
      </c>
      <c r="F90" s="5">
        <v>2.63865611723896</v>
      </c>
      <c r="G90" s="5"/>
      <c r="H90" s="6">
        <v>140</v>
      </c>
      <c r="I90" s="5">
        <v>21.50537634408602</v>
      </c>
      <c r="J90" s="5"/>
      <c r="K90" s="6">
        <v>37</v>
      </c>
      <c r="L90" s="5">
        <v>41.111111111111107</v>
      </c>
      <c r="M90" s="5"/>
    </row>
    <row r="91" spans="1:13" ht="14.1" customHeight="1" x14ac:dyDescent="0.25">
      <c r="A91" s="61" t="s">
        <v>42</v>
      </c>
      <c r="B91" s="6">
        <v>32</v>
      </c>
      <c r="C91" s="5">
        <v>6.1473441552204397E-2</v>
      </c>
      <c r="D91" s="5"/>
      <c r="E91" s="6">
        <v>30</v>
      </c>
      <c r="F91" s="5">
        <v>5.8463577191409752E-2</v>
      </c>
      <c r="G91" s="5"/>
      <c r="H91" s="3">
        <v>2</v>
      </c>
      <c r="I91" s="3">
        <v>0.30721966205837176</v>
      </c>
      <c r="J91" s="5"/>
      <c r="K91" s="3" t="s">
        <v>96</v>
      </c>
      <c r="L91" s="3" t="s">
        <v>96</v>
      </c>
      <c r="M91" s="5"/>
    </row>
    <row r="92" spans="1:13" ht="14.1" customHeight="1" x14ac:dyDescent="0.25">
      <c r="A92" s="61" t="s">
        <v>43</v>
      </c>
      <c r="B92" s="6">
        <v>926</v>
      </c>
      <c r="C92" s="5">
        <v>1.7788877149169147</v>
      </c>
      <c r="D92" s="5"/>
      <c r="E92" s="6">
        <v>789</v>
      </c>
      <c r="F92" s="5">
        <v>1.5375920801340763</v>
      </c>
      <c r="G92" s="5"/>
      <c r="H92" s="6">
        <v>117</v>
      </c>
      <c r="I92" s="5">
        <v>17.972350230414747</v>
      </c>
      <c r="J92" s="5"/>
      <c r="K92" s="6">
        <v>20</v>
      </c>
      <c r="L92" s="5">
        <v>22.222222222222221</v>
      </c>
      <c r="M92" s="5"/>
    </row>
    <row r="93" spans="1:13" ht="14.1" customHeight="1" x14ac:dyDescent="0.25">
      <c r="A93" s="61" t="s">
        <v>44</v>
      </c>
      <c r="B93" s="6">
        <v>3084</v>
      </c>
      <c r="C93" s="5">
        <v>5.9245029295936984</v>
      </c>
      <c r="D93" s="5"/>
      <c r="E93" s="6">
        <v>2810</v>
      </c>
      <c r="F93" s="5">
        <v>5.4760883969287129</v>
      </c>
      <c r="G93" s="5"/>
      <c r="H93" s="6">
        <v>249</v>
      </c>
      <c r="I93" s="5">
        <v>38.248847926267281</v>
      </c>
      <c r="J93" s="5"/>
      <c r="K93" s="6">
        <v>25</v>
      </c>
      <c r="L93" s="5">
        <v>27.777777777777779</v>
      </c>
      <c r="M93" s="5"/>
    </row>
    <row r="94" spans="1:13" ht="14.1" customHeight="1" x14ac:dyDescent="0.25">
      <c r="A94" s="61" t="s">
        <v>45</v>
      </c>
      <c r="B94" s="6">
        <v>159</v>
      </c>
      <c r="C94" s="5">
        <v>0.30544616271251562</v>
      </c>
      <c r="D94" s="5"/>
      <c r="E94" s="6">
        <v>156</v>
      </c>
      <c r="F94" s="5">
        <v>0.3040106013953307</v>
      </c>
      <c r="G94" s="5"/>
      <c r="H94" s="6">
        <v>2</v>
      </c>
      <c r="I94" s="5">
        <v>0.30721966205837176</v>
      </c>
      <c r="J94" s="5"/>
      <c r="K94" s="6">
        <v>1</v>
      </c>
      <c r="L94" s="5">
        <v>1.1111111111111112</v>
      </c>
      <c r="M94" s="5"/>
    </row>
    <row r="95" spans="1:13" ht="23.25" hidden="1" customHeight="1" x14ac:dyDescent="0.25">
      <c r="A95" s="61" t="s">
        <v>46</v>
      </c>
      <c r="B95" s="6">
        <v>16</v>
      </c>
      <c r="C95" s="5">
        <v>3.0736720776102198E-2</v>
      </c>
      <c r="D95" s="5"/>
      <c r="E95" s="6">
        <v>15</v>
      </c>
      <c r="F95" s="5">
        <v>2.9231788595704876E-2</v>
      </c>
      <c r="G95" s="5"/>
      <c r="H95" s="3" t="s">
        <v>96</v>
      </c>
      <c r="I95" s="3" t="s">
        <v>96</v>
      </c>
      <c r="J95" s="5"/>
      <c r="K95" s="6">
        <v>1</v>
      </c>
      <c r="L95" s="5">
        <v>1.1111111111111112</v>
      </c>
      <c r="M95" s="5"/>
    </row>
    <row r="96" spans="1:13" ht="14.1" customHeight="1" x14ac:dyDescent="0.25">
      <c r="A96" s="61" t="s">
        <v>47</v>
      </c>
      <c r="B96" s="6">
        <v>65</v>
      </c>
      <c r="C96" s="5">
        <v>0.1248679281529152</v>
      </c>
      <c r="D96" s="5"/>
      <c r="E96" s="6">
        <v>64</v>
      </c>
      <c r="F96" s="5">
        <v>0.12472229800834081</v>
      </c>
      <c r="G96" s="5"/>
      <c r="H96" s="3" t="s">
        <v>96</v>
      </c>
      <c r="I96" s="3" t="s">
        <v>96</v>
      </c>
      <c r="J96" s="5"/>
      <c r="K96" s="3">
        <v>1</v>
      </c>
      <c r="L96" s="16">
        <v>1.1111111111111112</v>
      </c>
      <c r="M96" s="5"/>
    </row>
    <row r="97" spans="1:13" ht="14.1" customHeight="1" x14ac:dyDescent="0.25">
      <c r="A97" s="68"/>
      <c r="B97" s="9"/>
      <c r="C97" s="15"/>
      <c r="D97" s="15"/>
      <c r="E97" s="9"/>
      <c r="F97" s="15"/>
      <c r="G97" s="15"/>
      <c r="H97" s="9"/>
      <c r="I97" s="15"/>
      <c r="J97" s="15"/>
      <c r="K97" s="9"/>
      <c r="L97" s="15"/>
      <c r="M97" s="15"/>
    </row>
    <row r="98" spans="1:13" ht="14.1" customHeight="1" x14ac:dyDescent="0.25">
      <c r="A98" s="63" t="s">
        <v>16</v>
      </c>
      <c r="B98" s="9">
        <v>6306</v>
      </c>
      <c r="C98" s="15">
        <v>100</v>
      </c>
      <c r="D98" s="15"/>
      <c r="E98" s="9">
        <v>6236</v>
      </c>
      <c r="F98" s="15">
        <v>100</v>
      </c>
      <c r="G98" s="15"/>
      <c r="H98" s="9">
        <v>66</v>
      </c>
      <c r="I98" s="15">
        <v>100</v>
      </c>
      <c r="J98" s="15"/>
      <c r="K98" s="9">
        <v>4</v>
      </c>
      <c r="L98" s="15">
        <v>100</v>
      </c>
      <c r="M98" s="15"/>
    </row>
    <row r="99" spans="1:13" ht="14.1" customHeight="1" x14ac:dyDescent="0.25">
      <c r="A99" s="61" t="s">
        <v>40</v>
      </c>
      <c r="B99" s="6">
        <v>5609</v>
      </c>
      <c r="C99" s="5">
        <v>88.947034570250565</v>
      </c>
      <c r="D99" s="5"/>
      <c r="E99" s="6">
        <v>5589</v>
      </c>
      <c r="F99" s="5">
        <v>89.724759461193059</v>
      </c>
      <c r="G99" s="5"/>
      <c r="H99" s="6">
        <v>20</v>
      </c>
      <c r="I99" s="5">
        <v>30.303030303030305</v>
      </c>
      <c r="J99" s="5"/>
      <c r="K99" s="3" t="s">
        <v>96</v>
      </c>
      <c r="L99" s="16" t="s">
        <v>96</v>
      </c>
      <c r="M99" s="5"/>
    </row>
    <row r="100" spans="1:13" ht="14.1" customHeight="1" x14ac:dyDescent="0.25">
      <c r="A100" s="61" t="s">
        <v>41</v>
      </c>
      <c r="B100" s="6">
        <v>321</v>
      </c>
      <c r="C100" s="5">
        <v>5.0903901046622266</v>
      </c>
      <c r="D100" s="5"/>
      <c r="E100" s="6">
        <v>305</v>
      </c>
      <c r="F100" s="5">
        <v>4.8909557408595257</v>
      </c>
      <c r="G100" s="5"/>
      <c r="H100" s="6">
        <v>14</v>
      </c>
      <c r="I100" s="5">
        <v>21.212121212121211</v>
      </c>
      <c r="J100" s="5"/>
      <c r="K100" s="3">
        <v>2</v>
      </c>
      <c r="L100" s="16">
        <v>50</v>
      </c>
      <c r="M100" s="5"/>
    </row>
    <row r="101" spans="1:13" ht="14.1" customHeight="1" x14ac:dyDescent="0.25">
      <c r="A101" s="61" t="s">
        <v>42</v>
      </c>
      <c r="B101" s="6">
        <v>4</v>
      </c>
      <c r="C101" s="5">
        <v>6.3431652394544874E-2</v>
      </c>
      <c r="D101" s="5"/>
      <c r="E101" s="6">
        <v>3</v>
      </c>
      <c r="F101" s="5">
        <v>4.8107761385503531E-2</v>
      </c>
      <c r="G101" s="5"/>
      <c r="H101" s="6">
        <v>1</v>
      </c>
      <c r="I101" s="5">
        <v>1.5151515151515151</v>
      </c>
      <c r="J101" s="5"/>
      <c r="K101" s="3" t="s">
        <v>96</v>
      </c>
      <c r="L101" s="16" t="s">
        <v>96</v>
      </c>
      <c r="M101" s="5"/>
    </row>
    <row r="102" spans="1:13" ht="14.1" customHeight="1" x14ac:dyDescent="0.25">
      <c r="A102" s="61" t="s">
        <v>43</v>
      </c>
      <c r="B102" s="6">
        <v>51</v>
      </c>
      <c r="C102" s="5">
        <v>0.80875356803044718</v>
      </c>
      <c r="D102" s="5"/>
      <c r="E102" s="6">
        <v>40</v>
      </c>
      <c r="F102" s="5">
        <v>0.64143681847338041</v>
      </c>
      <c r="G102" s="5"/>
      <c r="H102" s="6">
        <v>9</v>
      </c>
      <c r="I102" s="5">
        <v>13.636363636363635</v>
      </c>
      <c r="J102" s="5"/>
      <c r="K102" s="3">
        <v>2</v>
      </c>
      <c r="L102" s="16">
        <v>50</v>
      </c>
      <c r="M102" s="5"/>
    </row>
    <row r="103" spans="1:13" ht="14.1" customHeight="1" x14ac:dyDescent="0.25">
      <c r="A103" s="61" t="s">
        <v>44</v>
      </c>
      <c r="B103" s="6">
        <v>265</v>
      </c>
      <c r="C103" s="5">
        <v>4.2023469711385975</v>
      </c>
      <c r="D103" s="5"/>
      <c r="E103" s="6">
        <v>243</v>
      </c>
      <c r="F103" s="5">
        <v>3.8967286722257857</v>
      </c>
      <c r="G103" s="5"/>
      <c r="H103" s="6">
        <v>22</v>
      </c>
      <c r="I103" s="5">
        <v>33.43333333333333</v>
      </c>
      <c r="J103" s="5"/>
      <c r="K103" s="3" t="s">
        <v>96</v>
      </c>
      <c r="L103" s="16" t="s">
        <v>96</v>
      </c>
      <c r="M103" s="5"/>
    </row>
    <row r="104" spans="1:13" ht="14.1" customHeight="1" x14ac:dyDescent="0.25">
      <c r="A104" s="61" t="s">
        <v>45</v>
      </c>
      <c r="B104" s="6">
        <v>39</v>
      </c>
      <c r="C104" s="5">
        <v>0.61845861084681253</v>
      </c>
      <c r="D104" s="5"/>
      <c r="E104" s="6">
        <v>39</v>
      </c>
      <c r="F104" s="5">
        <v>0.62540089801154586</v>
      </c>
      <c r="G104" s="5"/>
      <c r="H104" s="3" t="s">
        <v>96</v>
      </c>
      <c r="I104" s="3" t="s">
        <v>96</v>
      </c>
      <c r="J104" s="5"/>
      <c r="K104" s="3" t="s">
        <v>96</v>
      </c>
      <c r="L104" s="3" t="s">
        <v>96</v>
      </c>
      <c r="M104" s="5"/>
    </row>
    <row r="105" spans="1:13" ht="15.75" hidden="1" customHeight="1" x14ac:dyDescent="0.25">
      <c r="A105" s="61" t="s">
        <v>46</v>
      </c>
      <c r="B105" s="3" t="s">
        <v>96</v>
      </c>
      <c r="C105" s="16" t="s">
        <v>96</v>
      </c>
      <c r="D105" s="6"/>
      <c r="E105" s="3" t="s">
        <v>96</v>
      </c>
      <c r="F105" s="3" t="s">
        <v>96</v>
      </c>
      <c r="H105" s="3" t="s">
        <v>96</v>
      </c>
      <c r="I105" s="3" t="s">
        <v>96</v>
      </c>
      <c r="K105" s="3" t="s">
        <v>96</v>
      </c>
      <c r="L105" s="3" t="s">
        <v>96</v>
      </c>
    </row>
    <row r="106" spans="1:13" ht="25.5" customHeight="1" x14ac:dyDescent="0.25">
      <c r="A106" s="61" t="s">
        <v>47</v>
      </c>
      <c r="B106" s="6">
        <v>17</v>
      </c>
      <c r="C106" s="5">
        <v>0.26958452267681571</v>
      </c>
      <c r="D106" s="5"/>
      <c r="E106" s="97">
        <v>17</v>
      </c>
      <c r="F106" s="5">
        <v>0.27261064785118666</v>
      </c>
      <c r="G106" s="5"/>
      <c r="H106" s="3" t="s">
        <v>96</v>
      </c>
      <c r="I106" s="3" t="s">
        <v>96</v>
      </c>
      <c r="J106" s="5"/>
      <c r="K106" s="3" t="s">
        <v>96</v>
      </c>
      <c r="L106" s="3" t="s">
        <v>96</v>
      </c>
      <c r="M106" s="5"/>
    </row>
    <row r="107" spans="1:13" ht="14.1" customHeight="1" x14ac:dyDescent="0.25">
      <c r="A107" s="61"/>
      <c r="B107" s="6"/>
      <c r="C107" s="5"/>
      <c r="D107" s="5"/>
      <c r="E107" s="6"/>
      <c r="F107" s="5"/>
      <c r="G107" s="5"/>
      <c r="H107" s="6"/>
      <c r="I107" s="5"/>
      <c r="J107" s="5"/>
      <c r="K107" s="6"/>
      <c r="L107" s="5"/>
      <c r="M107" s="5"/>
    </row>
    <row r="108" spans="1:13" ht="14.1" customHeight="1" x14ac:dyDescent="0.25">
      <c r="A108" s="63" t="s">
        <v>15</v>
      </c>
      <c r="B108" s="9">
        <v>20999</v>
      </c>
      <c r="C108" s="15">
        <v>100</v>
      </c>
      <c r="D108" s="9"/>
      <c r="E108" s="9">
        <v>20559</v>
      </c>
      <c r="F108" s="15">
        <v>100</v>
      </c>
      <c r="G108" s="15"/>
      <c r="H108" s="9">
        <v>386</v>
      </c>
      <c r="I108" s="15">
        <v>100</v>
      </c>
      <c r="J108" s="9"/>
      <c r="K108" s="9">
        <v>54</v>
      </c>
      <c r="L108" s="15">
        <v>100</v>
      </c>
      <c r="M108" s="9"/>
    </row>
    <row r="109" spans="1:13" ht="14.1" customHeight="1" x14ac:dyDescent="0.25">
      <c r="A109" s="61" t="s">
        <v>40</v>
      </c>
      <c r="B109" s="6">
        <v>18400</v>
      </c>
      <c r="C109" s="5">
        <v>87.72322015334062</v>
      </c>
      <c r="D109" s="6"/>
      <c r="E109" s="6">
        <v>18293</v>
      </c>
      <c r="F109" s="5">
        <v>88.978063135366497</v>
      </c>
      <c r="G109" s="5"/>
      <c r="H109" s="6">
        <v>106</v>
      </c>
      <c r="I109" s="5">
        <v>27.461139896373055</v>
      </c>
      <c r="J109" s="6"/>
      <c r="K109" s="6">
        <v>1</v>
      </c>
      <c r="L109" s="5">
        <v>1.8518518518518516</v>
      </c>
      <c r="M109" s="6"/>
    </row>
    <row r="110" spans="1:13" ht="14.1" customHeight="1" x14ac:dyDescent="0.25">
      <c r="A110" s="61" t="s">
        <v>41</v>
      </c>
      <c r="B110" s="6">
        <v>609</v>
      </c>
      <c r="C110" s="5">
        <v>2.9001381018143721</v>
      </c>
      <c r="D110" s="6"/>
      <c r="E110" s="6">
        <v>521</v>
      </c>
      <c r="F110" s="5">
        <v>2.5341699499002868</v>
      </c>
      <c r="G110" s="5"/>
      <c r="H110" s="6">
        <v>70</v>
      </c>
      <c r="I110" s="5">
        <v>18.134715025906736</v>
      </c>
      <c r="J110" s="6"/>
      <c r="K110" s="6">
        <v>18</v>
      </c>
      <c r="L110" s="5">
        <v>33.233333333333327</v>
      </c>
      <c r="M110" s="6"/>
    </row>
    <row r="111" spans="1:13" ht="14.1" customHeight="1" x14ac:dyDescent="0.25">
      <c r="A111" s="61" t="s">
        <v>42</v>
      </c>
      <c r="B111" s="6">
        <v>21</v>
      </c>
      <c r="C111" s="5">
        <v>0.10000476213153006</v>
      </c>
      <c r="D111" s="6"/>
      <c r="E111" s="6">
        <v>16</v>
      </c>
      <c r="F111" s="5">
        <v>7.7824796925920522E-2</v>
      </c>
      <c r="G111" s="5"/>
      <c r="H111" s="6">
        <v>2</v>
      </c>
      <c r="I111" s="5">
        <v>0.5181347150259068</v>
      </c>
      <c r="J111" s="6"/>
      <c r="K111" s="6">
        <v>3</v>
      </c>
      <c r="L111" s="5">
        <v>5.5555555555555554</v>
      </c>
      <c r="M111" s="6"/>
    </row>
    <row r="112" spans="1:13" ht="14.1" customHeight="1" x14ac:dyDescent="0.25">
      <c r="A112" s="61" t="s">
        <v>43</v>
      </c>
      <c r="B112" s="6">
        <v>471</v>
      </c>
      <c r="C112" s="5">
        <v>2.2429639506643175</v>
      </c>
      <c r="D112" s="6"/>
      <c r="E112" s="6">
        <v>393</v>
      </c>
      <c r="F112" s="5">
        <v>1.9115715744929227</v>
      </c>
      <c r="G112" s="5"/>
      <c r="H112" s="6">
        <v>63</v>
      </c>
      <c r="I112" s="5">
        <v>16.321243523316063</v>
      </c>
      <c r="J112" s="6"/>
      <c r="K112" s="6">
        <v>15</v>
      </c>
      <c r="L112" s="5">
        <v>27.777777777777779</v>
      </c>
      <c r="M112" s="6"/>
    </row>
    <row r="113" spans="1:13" ht="14.1" customHeight="1" x14ac:dyDescent="0.25">
      <c r="A113" s="61" t="s">
        <v>44</v>
      </c>
      <c r="B113" s="6">
        <v>1414</v>
      </c>
      <c r="C113" s="5">
        <v>6.7336539835230251</v>
      </c>
      <c r="D113" s="6"/>
      <c r="E113" s="6">
        <v>1254</v>
      </c>
      <c r="F113" s="5">
        <v>6.0995184590690208</v>
      </c>
      <c r="G113" s="5"/>
      <c r="H113" s="6">
        <v>144</v>
      </c>
      <c r="I113" s="5">
        <v>37.305699481865283</v>
      </c>
      <c r="J113" s="6"/>
      <c r="K113" s="6">
        <v>16</v>
      </c>
      <c r="L113" s="5">
        <v>29.629629629629626</v>
      </c>
      <c r="M113" s="6"/>
    </row>
    <row r="114" spans="1:13" ht="14.1" customHeight="1" x14ac:dyDescent="0.25">
      <c r="A114" s="61" t="s">
        <v>45</v>
      </c>
      <c r="B114" s="6">
        <v>58</v>
      </c>
      <c r="C114" s="5">
        <v>0.27620362874422588</v>
      </c>
      <c r="D114" s="6"/>
      <c r="E114" s="6">
        <v>58</v>
      </c>
      <c r="F114" s="5">
        <v>0.28211488885646191</v>
      </c>
      <c r="G114" s="5"/>
      <c r="H114" s="3" t="s">
        <v>96</v>
      </c>
      <c r="I114" s="16" t="s">
        <v>96</v>
      </c>
      <c r="J114" s="6"/>
      <c r="K114" s="3" t="s">
        <v>96</v>
      </c>
      <c r="L114" s="16" t="s">
        <v>96</v>
      </c>
      <c r="M114" s="6"/>
    </row>
    <row r="115" spans="1:13" ht="14.1" hidden="1" customHeight="1" x14ac:dyDescent="0.25">
      <c r="A115" s="61" t="s">
        <v>46</v>
      </c>
      <c r="B115" s="3">
        <v>16</v>
      </c>
      <c r="C115" s="16">
        <v>7.6194104481165773E-2</v>
      </c>
      <c r="D115" s="6"/>
      <c r="E115" s="3">
        <v>14</v>
      </c>
      <c r="F115" s="16">
        <v>6.8096697310180448E-2</v>
      </c>
      <c r="G115" s="5"/>
      <c r="H115" s="3">
        <v>1</v>
      </c>
      <c r="I115" s="16">
        <v>0.2590673575129534</v>
      </c>
      <c r="J115" s="6"/>
      <c r="K115" s="3">
        <v>1</v>
      </c>
      <c r="L115" s="16">
        <v>1.8518518518518516</v>
      </c>
      <c r="M115" s="6"/>
    </row>
    <row r="116" spans="1:13" ht="14.1" customHeight="1" x14ac:dyDescent="0.25">
      <c r="A116" s="61" t="s">
        <v>47</v>
      </c>
      <c r="B116" s="6">
        <v>26</v>
      </c>
      <c r="C116" s="5">
        <v>0.12381541978189438</v>
      </c>
      <c r="D116" s="6"/>
      <c r="E116" s="6">
        <v>24</v>
      </c>
      <c r="F116" s="5">
        <v>0.11673719538888078</v>
      </c>
      <c r="G116" s="5"/>
      <c r="H116" s="3">
        <v>1</v>
      </c>
      <c r="I116" s="16">
        <v>0.2590673575129534</v>
      </c>
      <c r="J116" s="6"/>
      <c r="K116" s="6">
        <v>1</v>
      </c>
      <c r="L116" s="5">
        <v>1.8518518518518516</v>
      </c>
      <c r="M116" s="6"/>
    </row>
    <row r="117" spans="1:13" ht="14.1" customHeight="1" x14ac:dyDescent="0.25">
      <c r="A117" s="68"/>
      <c r="B117" s="6"/>
      <c r="C117" s="15"/>
      <c r="D117" s="15"/>
      <c r="E117" s="9"/>
      <c r="F117" s="15"/>
      <c r="G117" s="15"/>
      <c r="H117" s="9"/>
      <c r="I117" s="5"/>
      <c r="J117" s="15"/>
      <c r="K117" s="9"/>
      <c r="L117" s="15"/>
      <c r="M117" s="15"/>
    </row>
    <row r="118" spans="1:13" ht="14.1" customHeight="1" x14ac:dyDescent="0.25">
      <c r="A118" s="94" t="s">
        <v>14</v>
      </c>
      <c r="B118" s="95">
        <v>37329</v>
      </c>
      <c r="C118" s="96">
        <v>100</v>
      </c>
      <c r="D118" s="96"/>
      <c r="E118" s="95">
        <v>36654</v>
      </c>
      <c r="F118" s="96">
        <v>100</v>
      </c>
      <c r="G118" s="96"/>
      <c r="H118" s="95">
        <v>589</v>
      </c>
      <c r="I118" s="96">
        <v>100</v>
      </c>
      <c r="J118" s="96"/>
      <c r="K118" s="95">
        <v>86</v>
      </c>
      <c r="L118" s="96">
        <v>100</v>
      </c>
      <c r="M118" s="96"/>
    </row>
    <row r="119" spans="1:13" ht="14.1" customHeight="1" x14ac:dyDescent="0.25">
      <c r="A119" s="92" t="s">
        <v>40</v>
      </c>
      <c r="B119" s="97">
        <v>33508</v>
      </c>
      <c r="C119" s="98">
        <v>89.763990463178772</v>
      </c>
      <c r="D119" s="98"/>
      <c r="E119" s="97">
        <v>33359</v>
      </c>
      <c r="F119" s="98">
        <v>91.010530910678227</v>
      </c>
      <c r="G119" s="98"/>
      <c r="H119" s="97">
        <v>146</v>
      </c>
      <c r="I119" s="98">
        <v>24.787775891341258</v>
      </c>
      <c r="J119" s="98"/>
      <c r="K119" s="97">
        <v>3</v>
      </c>
      <c r="L119" s="98">
        <v>3.4883720930232558</v>
      </c>
      <c r="M119" s="98"/>
    </row>
    <row r="120" spans="1:13" ht="14.1" customHeight="1" x14ac:dyDescent="0.25">
      <c r="A120" s="92" t="s">
        <v>41</v>
      </c>
      <c r="B120" s="97">
        <v>1307</v>
      </c>
      <c r="C120" s="98">
        <v>3.5012992579495834</v>
      </c>
      <c r="D120" s="98"/>
      <c r="E120" s="97">
        <v>1092</v>
      </c>
      <c r="F120" s="98">
        <v>2.9792110001636929</v>
      </c>
      <c r="G120" s="98"/>
      <c r="H120" s="97">
        <v>163</v>
      </c>
      <c r="I120" s="98">
        <v>27.67402376910017</v>
      </c>
      <c r="J120" s="98"/>
      <c r="K120" s="97">
        <v>52</v>
      </c>
      <c r="L120" s="98">
        <v>60.465116279069761</v>
      </c>
      <c r="M120" s="98"/>
    </row>
    <row r="121" spans="1:13" ht="14.1" customHeight="1" x14ac:dyDescent="0.25">
      <c r="A121" s="92" t="s">
        <v>42</v>
      </c>
      <c r="B121" s="97">
        <v>34</v>
      </c>
      <c r="C121" s="98">
        <v>9.1082000589354117E-2</v>
      </c>
      <c r="D121" s="98"/>
      <c r="E121" s="97">
        <v>34</v>
      </c>
      <c r="F121" s="98">
        <v>9.2759316854913509E-2</v>
      </c>
      <c r="G121" s="98"/>
      <c r="H121" s="89" t="s">
        <v>96</v>
      </c>
      <c r="I121" s="90" t="s">
        <v>96</v>
      </c>
      <c r="J121" s="89"/>
      <c r="K121" s="89" t="s">
        <v>96</v>
      </c>
      <c r="L121" s="90" t="s">
        <v>96</v>
      </c>
      <c r="M121" s="98"/>
    </row>
    <row r="122" spans="1:13" ht="14.1" customHeight="1" x14ac:dyDescent="0.25">
      <c r="A122" s="92" t="s">
        <v>43</v>
      </c>
      <c r="B122" s="97">
        <v>339</v>
      </c>
      <c r="C122" s="98">
        <v>0.90814112352326604</v>
      </c>
      <c r="D122" s="98"/>
      <c r="E122" s="97">
        <v>283</v>
      </c>
      <c r="F122" s="98">
        <v>0.77208490205707425</v>
      </c>
      <c r="G122" s="98"/>
      <c r="H122" s="89">
        <v>49</v>
      </c>
      <c r="I122" s="90">
        <v>8.3191850594227503</v>
      </c>
      <c r="J122" s="89"/>
      <c r="K122" s="89">
        <v>7</v>
      </c>
      <c r="L122" s="90">
        <v>8.1395348837209305</v>
      </c>
      <c r="M122" s="98"/>
    </row>
    <row r="123" spans="1:13" ht="14.1" customHeight="1" x14ac:dyDescent="0.25">
      <c r="A123" s="92" t="s">
        <v>44</v>
      </c>
      <c r="B123" s="97">
        <v>2119</v>
      </c>
      <c r="C123" s="98">
        <v>5.6765517426129817</v>
      </c>
      <c r="D123" s="98"/>
      <c r="E123" s="97">
        <v>1866</v>
      </c>
      <c r="F123" s="98">
        <v>5.0908495662137829</v>
      </c>
      <c r="G123" s="98"/>
      <c r="H123" s="89">
        <v>229</v>
      </c>
      <c r="I123" s="90">
        <v>38.879456706281836</v>
      </c>
      <c r="J123" s="89"/>
      <c r="K123" s="89">
        <v>24</v>
      </c>
      <c r="L123" s="90">
        <v>27.906976744186046</v>
      </c>
      <c r="M123" s="98"/>
    </row>
    <row r="124" spans="1:13" ht="14.1" customHeight="1" x14ac:dyDescent="0.25">
      <c r="A124" s="92" t="s">
        <v>45</v>
      </c>
      <c r="B124" s="97">
        <v>16</v>
      </c>
      <c r="C124" s="90">
        <v>4.2862117924401935E-2</v>
      </c>
      <c r="D124" s="98"/>
      <c r="E124" s="97">
        <v>14</v>
      </c>
      <c r="F124" s="90">
        <v>3.8195012822611452E-2</v>
      </c>
      <c r="G124" s="98"/>
      <c r="H124" s="89">
        <v>2</v>
      </c>
      <c r="I124" s="90">
        <v>0.3395585738539898</v>
      </c>
      <c r="J124" s="89"/>
      <c r="K124" s="89" t="s">
        <v>96</v>
      </c>
      <c r="L124" s="90" t="s">
        <v>96</v>
      </c>
      <c r="M124" s="98"/>
    </row>
    <row r="125" spans="1:13" ht="9" hidden="1" customHeight="1" x14ac:dyDescent="0.25">
      <c r="A125" s="92" t="s">
        <v>46</v>
      </c>
      <c r="B125" s="97">
        <v>4</v>
      </c>
      <c r="C125" s="90">
        <v>1.0715529481100484E-2</v>
      </c>
      <c r="D125" s="98"/>
      <c r="E125" s="97">
        <v>4</v>
      </c>
      <c r="F125" s="90">
        <v>1.0912860806460414E-2</v>
      </c>
      <c r="G125" s="98"/>
      <c r="H125" s="89" t="s">
        <v>96</v>
      </c>
      <c r="I125" s="89" t="s">
        <v>96</v>
      </c>
      <c r="J125" s="89"/>
      <c r="K125" s="89" t="s">
        <v>96</v>
      </c>
      <c r="L125" s="90" t="s">
        <v>96</v>
      </c>
      <c r="M125" s="98"/>
    </row>
    <row r="126" spans="1:13" ht="14.1" customHeight="1" x14ac:dyDescent="0.25">
      <c r="A126" s="92" t="s">
        <v>47</v>
      </c>
      <c r="B126" s="97">
        <v>6</v>
      </c>
      <c r="C126" s="90">
        <v>1.6073294221650727E-2</v>
      </c>
      <c r="D126" s="98"/>
      <c r="E126" s="97">
        <v>6</v>
      </c>
      <c r="F126" s="90">
        <v>1.636929120969062E-2</v>
      </c>
      <c r="G126" s="98"/>
      <c r="H126" s="89" t="s">
        <v>96</v>
      </c>
      <c r="I126" s="89" t="s">
        <v>96</v>
      </c>
      <c r="J126" s="89"/>
      <c r="K126" s="89" t="s">
        <v>96</v>
      </c>
      <c r="L126" s="90" t="s">
        <v>96</v>
      </c>
      <c r="M126" s="98"/>
    </row>
    <row r="127" spans="1:13" ht="14.1" customHeight="1" x14ac:dyDescent="0.25">
      <c r="A127" s="68"/>
      <c r="B127" s="6"/>
      <c r="C127" s="15"/>
      <c r="D127" s="15"/>
      <c r="E127" s="9"/>
      <c r="F127" s="15"/>
      <c r="G127" s="15"/>
      <c r="H127" s="9"/>
      <c r="I127" s="15"/>
      <c r="J127" s="15"/>
      <c r="K127" s="9"/>
      <c r="L127" s="15"/>
      <c r="M127" s="15"/>
    </row>
    <row r="128" spans="1:13" ht="14.1" customHeight="1" x14ac:dyDescent="0.25">
      <c r="A128" s="94" t="s">
        <v>13</v>
      </c>
      <c r="B128" s="9">
        <v>50925</v>
      </c>
      <c r="C128" s="15">
        <v>100</v>
      </c>
      <c r="D128" s="15"/>
      <c r="E128" s="9">
        <v>50128</v>
      </c>
      <c r="F128" s="15">
        <v>100</v>
      </c>
      <c r="G128" s="15"/>
      <c r="H128" s="9">
        <v>703</v>
      </c>
      <c r="I128" s="15">
        <v>100</v>
      </c>
      <c r="J128" s="15"/>
      <c r="K128" s="9">
        <v>94</v>
      </c>
      <c r="L128" s="15">
        <v>100</v>
      </c>
      <c r="M128" s="15"/>
    </row>
    <row r="129" spans="1:13" ht="14.1" customHeight="1" x14ac:dyDescent="0.25">
      <c r="A129" s="61" t="s">
        <v>40</v>
      </c>
      <c r="B129" s="6">
        <v>45108</v>
      </c>
      <c r="C129" s="5">
        <v>88.47731958762887</v>
      </c>
      <c r="D129" s="5"/>
      <c r="E129" s="6">
        <v>44933</v>
      </c>
      <c r="F129" s="5">
        <v>89.636530481966176</v>
      </c>
      <c r="G129" s="5"/>
      <c r="H129" s="6">
        <v>170</v>
      </c>
      <c r="I129" s="5">
        <v>24.182076813655762</v>
      </c>
      <c r="J129" s="5"/>
      <c r="K129" s="6">
        <v>5</v>
      </c>
      <c r="L129" s="5">
        <v>5.3191489361702127</v>
      </c>
      <c r="M129" s="5"/>
    </row>
    <row r="130" spans="1:13" ht="14.1" customHeight="1" x14ac:dyDescent="0.25">
      <c r="A130" s="61" t="s">
        <v>41</v>
      </c>
      <c r="B130" s="6">
        <v>2327</v>
      </c>
      <c r="C130" s="5">
        <v>4.5694648993618063</v>
      </c>
      <c r="D130" s="5"/>
      <c r="E130" s="6">
        <v>2074</v>
      </c>
      <c r="F130" s="5">
        <v>4.1374082349186079</v>
      </c>
      <c r="G130" s="5"/>
      <c r="H130" s="6">
        <v>205</v>
      </c>
      <c r="I130" s="5">
        <v>29.160739687055475</v>
      </c>
      <c r="J130" s="5"/>
      <c r="K130" s="6">
        <v>48</v>
      </c>
      <c r="L130" s="5">
        <v>51.063829787234042</v>
      </c>
      <c r="M130" s="5"/>
    </row>
    <row r="131" spans="1:13" ht="14.1" customHeight="1" x14ac:dyDescent="0.25">
      <c r="A131" s="61" t="s">
        <v>42</v>
      </c>
      <c r="B131" s="6">
        <v>39</v>
      </c>
      <c r="C131" s="5">
        <v>7.6583210603829152E-2</v>
      </c>
      <c r="D131" s="5"/>
      <c r="E131" s="6">
        <v>37</v>
      </c>
      <c r="F131" s="5">
        <v>7.3811043728056178E-2</v>
      </c>
      <c r="G131" s="5"/>
      <c r="H131" s="6">
        <v>2</v>
      </c>
      <c r="I131" s="5">
        <v>0.28449502133712662</v>
      </c>
      <c r="J131" s="5"/>
      <c r="K131" s="3" t="s">
        <v>96</v>
      </c>
      <c r="L131" s="3" t="s">
        <v>96</v>
      </c>
      <c r="M131" s="3"/>
    </row>
    <row r="132" spans="1:13" ht="14.1" customHeight="1" x14ac:dyDescent="0.25">
      <c r="A132" s="61" t="s">
        <v>43</v>
      </c>
      <c r="B132" s="6">
        <v>671</v>
      </c>
      <c r="C132" s="5">
        <v>1.3176239567992145</v>
      </c>
      <c r="D132" s="5"/>
      <c r="E132" s="6">
        <v>561</v>
      </c>
      <c r="F132" s="5">
        <v>1.1191350143632302</v>
      </c>
      <c r="G132" s="5"/>
      <c r="H132" s="6">
        <v>94</v>
      </c>
      <c r="I132" s="5">
        <v>13.371266002844951</v>
      </c>
      <c r="J132" s="5"/>
      <c r="K132" s="6">
        <v>16</v>
      </c>
      <c r="L132" s="5">
        <v>17.021276595744681</v>
      </c>
      <c r="M132" s="5"/>
    </row>
    <row r="133" spans="1:13" ht="14.1" customHeight="1" x14ac:dyDescent="0.25">
      <c r="A133" s="61" t="s">
        <v>44</v>
      </c>
      <c r="B133" s="6">
        <v>2623</v>
      </c>
      <c r="C133" s="5">
        <v>5.1507118311242026</v>
      </c>
      <c r="D133" s="5"/>
      <c r="E133" s="6">
        <v>2374</v>
      </c>
      <c r="F133" s="5">
        <v>4.7358761570379828</v>
      </c>
      <c r="G133" s="5"/>
      <c r="H133" s="6">
        <v>230</v>
      </c>
      <c r="I133" s="5">
        <v>32.716927453769557</v>
      </c>
      <c r="J133" s="5"/>
      <c r="K133" s="6">
        <v>19</v>
      </c>
      <c r="L133" s="5">
        <v>20.212765957446805</v>
      </c>
      <c r="M133" s="5"/>
    </row>
    <row r="134" spans="1:13" ht="14.1" customHeight="1" x14ac:dyDescent="0.25">
      <c r="A134" s="61" t="s">
        <v>45</v>
      </c>
      <c r="B134" s="6">
        <v>95</v>
      </c>
      <c r="C134" s="5">
        <v>0.18654884634266078</v>
      </c>
      <c r="D134" s="5"/>
      <c r="E134" s="6">
        <v>92</v>
      </c>
      <c r="F134" s="5">
        <v>0.1835301627832748</v>
      </c>
      <c r="G134" s="5"/>
      <c r="H134" s="6">
        <v>1</v>
      </c>
      <c r="I134" s="5">
        <v>0.14224751066856331</v>
      </c>
      <c r="J134" s="5"/>
      <c r="K134" s="6">
        <v>2</v>
      </c>
      <c r="L134" s="5">
        <v>2.1276595744680851</v>
      </c>
      <c r="M134" s="5"/>
    </row>
    <row r="135" spans="1:13" ht="17.25" hidden="1" customHeight="1" x14ac:dyDescent="0.25">
      <c r="A135" s="61" t="s">
        <v>46</v>
      </c>
      <c r="B135" s="6">
        <v>39</v>
      </c>
      <c r="C135" s="5">
        <v>7.6583210603829152E-2</v>
      </c>
      <c r="D135" s="5"/>
      <c r="E135" s="6">
        <v>37</v>
      </c>
      <c r="F135" s="5">
        <v>7.3811043728056178E-2</v>
      </c>
      <c r="G135" s="5"/>
      <c r="H135" s="3" t="s">
        <v>96</v>
      </c>
      <c r="I135" s="16" t="s">
        <v>96</v>
      </c>
      <c r="J135" s="5"/>
      <c r="K135" s="6">
        <v>2</v>
      </c>
      <c r="L135" s="5">
        <v>2.1276595744680851</v>
      </c>
      <c r="M135" s="5"/>
    </row>
    <row r="136" spans="1:13" ht="14.1" customHeight="1" x14ac:dyDescent="0.25">
      <c r="A136" s="61" t="s">
        <v>47</v>
      </c>
      <c r="B136" s="6">
        <v>62</v>
      </c>
      <c r="C136" s="5">
        <v>0.1217476681394207</v>
      </c>
      <c r="D136" s="5"/>
      <c r="E136" s="6">
        <v>57</v>
      </c>
      <c r="F136" s="5">
        <v>0.11370890520268113</v>
      </c>
      <c r="G136" s="5"/>
      <c r="H136" s="3">
        <v>1</v>
      </c>
      <c r="I136" s="16">
        <v>0.14224751066856331</v>
      </c>
      <c r="J136" s="5"/>
      <c r="K136" s="6">
        <v>4</v>
      </c>
      <c r="L136" s="5">
        <v>4.2553191489361701</v>
      </c>
      <c r="M136" s="5"/>
    </row>
    <row r="137" spans="1:13" ht="14.1" customHeight="1" x14ac:dyDescent="0.25">
      <c r="A137" s="68"/>
      <c r="B137" s="6"/>
      <c r="C137" s="15"/>
      <c r="D137" s="15"/>
      <c r="E137" s="9"/>
      <c r="F137" s="15"/>
      <c r="G137" s="15"/>
      <c r="H137" s="9"/>
      <c r="I137" s="15"/>
      <c r="J137" s="15"/>
      <c r="K137" s="9"/>
      <c r="L137" s="15"/>
      <c r="M137" s="15"/>
    </row>
    <row r="138" spans="1:13" ht="14.1" customHeight="1" x14ac:dyDescent="0.25">
      <c r="A138" s="94" t="s">
        <v>12</v>
      </c>
      <c r="B138" s="9">
        <v>75046</v>
      </c>
      <c r="C138" s="15">
        <v>100</v>
      </c>
      <c r="D138" s="15"/>
      <c r="E138" s="9">
        <v>73551</v>
      </c>
      <c r="F138" s="15">
        <v>100</v>
      </c>
      <c r="G138" s="15"/>
      <c r="H138" s="9">
        <v>1288</v>
      </c>
      <c r="I138" s="15">
        <v>100</v>
      </c>
      <c r="J138" s="15"/>
      <c r="K138" s="9">
        <v>207</v>
      </c>
      <c r="L138" s="15">
        <v>100</v>
      </c>
      <c r="M138" s="15"/>
    </row>
    <row r="139" spans="1:13" ht="14.1" customHeight="1" x14ac:dyDescent="0.25">
      <c r="A139" s="61" t="s">
        <v>40</v>
      </c>
      <c r="B139" s="6">
        <v>65115</v>
      </c>
      <c r="C139" s="5">
        <v>86.766783039735628</v>
      </c>
      <c r="D139" s="5"/>
      <c r="E139" s="6">
        <v>64836</v>
      </c>
      <c r="F139" s="5">
        <v>88.251078843251605</v>
      </c>
      <c r="G139" s="5"/>
      <c r="H139" s="6">
        <v>264</v>
      </c>
      <c r="I139" s="5">
        <v>20.496894409937887</v>
      </c>
      <c r="J139" s="5"/>
      <c r="K139" s="6">
        <v>15</v>
      </c>
      <c r="L139" s="5">
        <v>7.2463768115942031</v>
      </c>
      <c r="M139" s="5"/>
    </row>
    <row r="140" spans="1:13" ht="14.1" customHeight="1" x14ac:dyDescent="0.25">
      <c r="A140" s="61" t="s">
        <v>41</v>
      </c>
      <c r="B140" s="6">
        <v>4940</v>
      </c>
      <c r="C140" s="5">
        <v>6.5826293206833144</v>
      </c>
      <c r="D140" s="5"/>
      <c r="E140" s="6">
        <v>4222</v>
      </c>
      <c r="F140" s="5">
        <v>5.7402346671017384</v>
      </c>
      <c r="G140" s="5"/>
      <c r="H140" s="6">
        <v>589</v>
      </c>
      <c r="I140" s="5">
        <v>45.629813664596277</v>
      </c>
      <c r="J140" s="5"/>
      <c r="K140" s="6">
        <v>129</v>
      </c>
      <c r="L140" s="5">
        <v>62.418840579710142</v>
      </c>
      <c r="M140" s="5"/>
    </row>
    <row r="141" spans="1:13" ht="14.1" customHeight="1" x14ac:dyDescent="0.25">
      <c r="A141" s="61" t="s">
        <v>42</v>
      </c>
      <c r="B141" s="6">
        <v>65</v>
      </c>
      <c r="C141" s="5">
        <v>8.6613543693201511E-2</v>
      </c>
      <c r="D141" s="5"/>
      <c r="E141" s="6">
        <v>63</v>
      </c>
      <c r="F141" s="5">
        <v>8.5654851735530446E-2</v>
      </c>
      <c r="G141" s="5"/>
      <c r="H141" s="6">
        <v>2</v>
      </c>
      <c r="I141" s="5">
        <v>0.15527950310559005</v>
      </c>
      <c r="J141" s="5"/>
      <c r="K141" s="3" t="s">
        <v>96</v>
      </c>
      <c r="L141" s="16" t="s">
        <v>96</v>
      </c>
      <c r="M141" s="5"/>
    </row>
    <row r="142" spans="1:13" ht="14.1" customHeight="1" x14ac:dyDescent="0.25">
      <c r="A142" s="61" t="s">
        <v>43</v>
      </c>
      <c r="B142" s="6">
        <v>737</v>
      </c>
      <c r="C142" s="5">
        <v>0.98206433387522318</v>
      </c>
      <c r="D142" s="5"/>
      <c r="E142" s="6">
        <v>615</v>
      </c>
      <c r="F142" s="5">
        <v>0.83615450503732103</v>
      </c>
      <c r="G142" s="5"/>
      <c r="H142" s="6">
        <v>95</v>
      </c>
      <c r="I142" s="5">
        <v>7.3757763975155282</v>
      </c>
      <c r="J142" s="5"/>
      <c r="K142" s="3">
        <v>27</v>
      </c>
      <c r="L142" s="16">
        <v>13.043478260869565</v>
      </c>
      <c r="M142" s="5"/>
    </row>
    <row r="143" spans="1:13" ht="14.1" customHeight="1" x14ac:dyDescent="0.25">
      <c r="A143" s="61" t="s">
        <v>44</v>
      </c>
      <c r="B143" s="6">
        <v>4147</v>
      </c>
      <c r="C143" s="5">
        <v>5.5259440876262556</v>
      </c>
      <c r="D143" s="5"/>
      <c r="E143" s="6">
        <v>3775</v>
      </c>
      <c r="F143" s="5">
        <v>5.1324931000258323</v>
      </c>
      <c r="G143" s="5"/>
      <c r="H143" s="6">
        <v>336</v>
      </c>
      <c r="I143" s="5">
        <v>26.086956521739129</v>
      </c>
      <c r="J143" s="5"/>
      <c r="K143" s="3">
        <v>36</v>
      </c>
      <c r="L143" s="16">
        <v>17.391304347826086</v>
      </c>
      <c r="M143" s="5"/>
    </row>
    <row r="144" spans="1:13" ht="14.1" customHeight="1" x14ac:dyDescent="0.25">
      <c r="A144" s="61" t="s">
        <v>45</v>
      </c>
      <c r="B144" s="6">
        <v>17</v>
      </c>
      <c r="C144" s="16">
        <v>2.2652772965914239E-2</v>
      </c>
      <c r="D144" s="5"/>
      <c r="E144" s="6">
        <v>17</v>
      </c>
      <c r="F144" s="16">
        <v>2.311321396038123E-2</v>
      </c>
      <c r="G144" s="5"/>
      <c r="H144" s="3" t="s">
        <v>96</v>
      </c>
      <c r="I144" s="3" t="s">
        <v>96</v>
      </c>
      <c r="J144" s="5"/>
      <c r="K144" s="3" t="s">
        <v>96</v>
      </c>
      <c r="L144" s="16" t="s">
        <v>96</v>
      </c>
      <c r="M144" s="5"/>
    </row>
    <row r="145" spans="1:13" ht="12.75" hidden="1" customHeight="1" x14ac:dyDescent="0.25">
      <c r="A145" s="61" t="s">
        <v>46</v>
      </c>
      <c r="B145" s="6">
        <v>8</v>
      </c>
      <c r="C145" s="16">
        <v>1.0660128454547878E-2</v>
      </c>
      <c r="D145" s="5"/>
      <c r="E145" s="6">
        <v>7</v>
      </c>
      <c r="F145" s="16">
        <v>9.5172057483922726E-3</v>
      </c>
      <c r="G145" s="5"/>
      <c r="H145" s="6">
        <v>1</v>
      </c>
      <c r="I145" s="5">
        <v>7.7639751552795025E-2</v>
      </c>
      <c r="J145" s="5"/>
      <c r="K145" s="3" t="s">
        <v>96</v>
      </c>
      <c r="L145" s="3" t="s">
        <v>96</v>
      </c>
      <c r="M145" s="5"/>
    </row>
    <row r="146" spans="1:13" ht="14.1" customHeight="1" x14ac:dyDescent="0.25">
      <c r="A146" s="61" t="s">
        <v>47</v>
      </c>
      <c r="B146" s="6">
        <v>25</v>
      </c>
      <c r="C146" s="16">
        <v>3.3312901420462115E-2</v>
      </c>
      <c r="D146" s="5"/>
      <c r="E146" s="6">
        <v>23</v>
      </c>
      <c r="F146" s="16">
        <v>3.127081888757461E-2</v>
      </c>
      <c r="G146" s="5"/>
      <c r="H146" s="6">
        <v>2</v>
      </c>
      <c r="I146" s="5">
        <v>0.15527950310559005</v>
      </c>
      <c r="J146" s="5"/>
      <c r="K146" s="3" t="s">
        <v>96</v>
      </c>
      <c r="L146" s="3" t="s">
        <v>96</v>
      </c>
      <c r="M146" s="5"/>
    </row>
    <row r="147" spans="1:13" ht="14.1" customHeight="1" x14ac:dyDescent="0.25">
      <c r="A147" s="68"/>
      <c r="B147" s="9"/>
      <c r="C147" s="15"/>
      <c r="D147" s="15"/>
      <c r="E147" s="9"/>
      <c r="F147" s="15"/>
      <c r="G147" s="15"/>
      <c r="H147" s="9"/>
      <c r="I147" s="15"/>
      <c r="J147" s="15"/>
      <c r="K147" s="9"/>
      <c r="L147" s="15"/>
      <c r="M147" s="15"/>
    </row>
    <row r="148" spans="1:13" ht="14.1" customHeight="1" x14ac:dyDescent="0.25">
      <c r="A148" s="63" t="s">
        <v>11</v>
      </c>
      <c r="B148" s="9">
        <v>44374</v>
      </c>
      <c r="C148" s="15">
        <v>100</v>
      </c>
      <c r="D148" s="9"/>
      <c r="E148" s="9">
        <v>43453</v>
      </c>
      <c r="F148" s="15">
        <v>100</v>
      </c>
      <c r="G148" s="15"/>
      <c r="H148" s="9">
        <v>783</v>
      </c>
      <c r="I148" s="15">
        <v>100</v>
      </c>
      <c r="J148" s="15"/>
      <c r="K148" s="9">
        <v>138</v>
      </c>
      <c r="L148" s="15">
        <v>100</v>
      </c>
      <c r="M148" s="15"/>
    </row>
    <row r="149" spans="1:13" ht="14.1" customHeight="1" x14ac:dyDescent="0.25">
      <c r="A149" s="61" t="s">
        <v>40</v>
      </c>
      <c r="B149" s="6">
        <v>39100</v>
      </c>
      <c r="C149" s="5">
        <v>88.21466173885608</v>
      </c>
      <c r="D149" s="5"/>
      <c r="E149" s="6">
        <v>38970</v>
      </c>
      <c r="F149" s="5">
        <v>89.683105884518909</v>
      </c>
      <c r="G149" s="5"/>
      <c r="H149" s="6">
        <v>123</v>
      </c>
      <c r="I149" s="5">
        <v>15.708812260536398</v>
      </c>
      <c r="J149" s="5"/>
      <c r="K149" s="6">
        <v>7</v>
      </c>
      <c r="L149" s="5">
        <v>5.0724637681159424</v>
      </c>
      <c r="M149" s="5"/>
    </row>
    <row r="150" spans="1:13" ht="14.1" customHeight="1" x14ac:dyDescent="0.25">
      <c r="A150" s="61" t="s">
        <v>41</v>
      </c>
      <c r="B150" s="6">
        <v>2039</v>
      </c>
      <c r="C150" s="5">
        <v>4.595033127507099</v>
      </c>
      <c r="D150" s="5"/>
      <c r="E150" s="6">
        <v>1682</v>
      </c>
      <c r="F150" s="5">
        <v>3.8708489632476466</v>
      </c>
      <c r="G150" s="5"/>
      <c r="H150" s="6">
        <v>280</v>
      </c>
      <c r="I150" s="5">
        <v>35.759897828863345</v>
      </c>
      <c r="J150" s="5"/>
      <c r="K150" s="6">
        <v>77</v>
      </c>
      <c r="L150" s="5">
        <v>55.797101449275367</v>
      </c>
      <c r="M150" s="5"/>
    </row>
    <row r="151" spans="1:13" ht="14.1" customHeight="1" x14ac:dyDescent="0.25">
      <c r="A151" s="61" t="s">
        <v>42</v>
      </c>
      <c r="B151" s="6">
        <v>36</v>
      </c>
      <c r="C151" s="5">
        <v>8.1128588813269037E-2</v>
      </c>
      <c r="D151" s="5"/>
      <c r="E151" s="6">
        <v>35</v>
      </c>
      <c r="F151" s="5">
        <v>8.0546797689457578E-2</v>
      </c>
      <c r="G151" s="5"/>
      <c r="H151" s="6">
        <v>1</v>
      </c>
      <c r="I151" s="5">
        <v>0.1277139208173691</v>
      </c>
      <c r="J151" s="5"/>
      <c r="K151" s="3" t="s">
        <v>96</v>
      </c>
      <c r="L151" s="16" t="s">
        <v>96</v>
      </c>
      <c r="M151" s="5"/>
    </row>
    <row r="152" spans="1:13" ht="14.1" customHeight="1" x14ac:dyDescent="0.25">
      <c r="A152" s="61" t="s">
        <v>43</v>
      </c>
      <c r="B152" s="6">
        <v>624</v>
      </c>
      <c r="C152" s="5">
        <v>1.4062288727633299</v>
      </c>
      <c r="D152" s="5"/>
      <c r="E152" s="6">
        <v>501</v>
      </c>
      <c r="F152" s="5">
        <v>1.1529698754976643</v>
      </c>
      <c r="G152" s="5"/>
      <c r="H152" s="6">
        <v>109</v>
      </c>
      <c r="I152" s="5">
        <v>13.92081736909323</v>
      </c>
      <c r="J152" s="5"/>
      <c r="K152" s="3">
        <v>14</v>
      </c>
      <c r="L152" s="16">
        <v>10.144927536231885</v>
      </c>
      <c r="M152" s="5"/>
    </row>
    <row r="153" spans="1:13" ht="14.1" customHeight="1" x14ac:dyDescent="0.25">
      <c r="A153" s="61" t="s">
        <v>44</v>
      </c>
      <c r="B153" s="6">
        <v>2537</v>
      </c>
      <c r="C153" s="5">
        <v>5.7173119394239871</v>
      </c>
      <c r="D153" s="5"/>
      <c r="E153" s="6">
        <v>2230</v>
      </c>
      <c r="F153" s="5">
        <v>5.1319816813568684</v>
      </c>
      <c r="G153" s="5"/>
      <c r="H153" s="6">
        <v>267</v>
      </c>
      <c r="I153" s="5">
        <v>34.099616858237546</v>
      </c>
      <c r="J153" s="5"/>
      <c r="K153" s="3">
        <v>40</v>
      </c>
      <c r="L153" s="16">
        <v>28.985507246376812</v>
      </c>
      <c r="M153" s="5"/>
    </row>
    <row r="154" spans="1:13" ht="14.1" customHeight="1" x14ac:dyDescent="0.25">
      <c r="A154" s="61" t="s">
        <v>45</v>
      </c>
      <c r="B154" s="6">
        <v>22</v>
      </c>
      <c r="C154" s="5">
        <v>4.9578582052553291E-2</v>
      </c>
      <c r="D154" s="5"/>
      <c r="E154" s="6">
        <v>21</v>
      </c>
      <c r="F154" s="5">
        <v>4.8328078613674545E-2</v>
      </c>
      <c r="G154" s="5"/>
      <c r="H154" s="6">
        <v>1</v>
      </c>
      <c r="I154" s="5">
        <v>0.1277139208173691</v>
      </c>
      <c r="J154" s="5"/>
      <c r="K154" s="3" t="s">
        <v>96</v>
      </c>
      <c r="L154" s="16" t="s">
        <v>96</v>
      </c>
      <c r="M154" s="5"/>
    </row>
    <row r="155" spans="1:13" ht="24.75" hidden="1" customHeight="1" x14ac:dyDescent="0.25">
      <c r="A155" s="61" t="s">
        <v>46</v>
      </c>
      <c r="B155" s="6">
        <v>7</v>
      </c>
      <c r="C155" s="5">
        <v>1.5775003380357869E-2</v>
      </c>
      <c r="D155" s="5"/>
      <c r="E155" s="6">
        <v>6</v>
      </c>
      <c r="F155" s="5">
        <v>1.380802246104987E-2</v>
      </c>
      <c r="G155" s="5"/>
      <c r="H155" s="6">
        <v>1</v>
      </c>
      <c r="I155" s="5">
        <v>0.1277139208173691</v>
      </c>
      <c r="J155" s="5"/>
      <c r="K155" s="3" t="s">
        <v>96</v>
      </c>
      <c r="L155" s="16" t="s">
        <v>96</v>
      </c>
      <c r="M155" s="5"/>
    </row>
    <row r="156" spans="1:13" ht="14.1" customHeight="1" x14ac:dyDescent="0.25">
      <c r="A156" s="61" t="s">
        <v>47</v>
      </c>
      <c r="B156" s="6">
        <v>16</v>
      </c>
      <c r="C156" s="5">
        <v>3.6057150583675132E-2</v>
      </c>
      <c r="D156" s="5"/>
      <c r="E156" s="6">
        <v>14</v>
      </c>
      <c r="F156" s="5">
        <v>3.2218719075783026E-2</v>
      </c>
      <c r="G156" s="5"/>
      <c r="H156" s="6">
        <v>2</v>
      </c>
      <c r="I156" s="5">
        <v>0.2554278416347382</v>
      </c>
      <c r="J156" s="5"/>
      <c r="K156" s="3" t="s">
        <v>96</v>
      </c>
      <c r="L156" s="16" t="s">
        <v>96</v>
      </c>
      <c r="M156" s="5"/>
    </row>
    <row r="157" spans="1:13" ht="14.1" customHeight="1" x14ac:dyDescent="0.25">
      <c r="A157" s="61"/>
      <c r="B157" s="9"/>
      <c r="C157" s="15"/>
      <c r="D157" s="15"/>
      <c r="E157" s="9"/>
      <c r="F157" s="15"/>
      <c r="G157" s="15"/>
      <c r="H157" s="9"/>
      <c r="I157" s="15"/>
      <c r="J157" s="15"/>
      <c r="K157" s="9"/>
      <c r="L157" s="15"/>
      <c r="M157" s="15"/>
    </row>
    <row r="158" spans="1:13" ht="14.1" customHeight="1" x14ac:dyDescent="0.25">
      <c r="A158" s="63" t="s">
        <v>71</v>
      </c>
      <c r="B158" s="9">
        <v>593130</v>
      </c>
      <c r="C158" s="15">
        <v>100.00910424358909</v>
      </c>
      <c r="D158" s="15"/>
      <c r="E158" s="9">
        <v>574363</v>
      </c>
      <c r="F158" s="15">
        <v>100</v>
      </c>
      <c r="G158" s="15"/>
      <c r="H158" s="9">
        <v>15160</v>
      </c>
      <c r="I158" s="96">
        <v>100</v>
      </c>
      <c r="J158" s="96"/>
      <c r="K158" s="95">
        <v>3607</v>
      </c>
      <c r="L158" s="96">
        <v>100</v>
      </c>
      <c r="M158" s="15"/>
    </row>
    <row r="159" spans="1:13" ht="14.1" customHeight="1" x14ac:dyDescent="0.25">
      <c r="A159" s="61" t="s">
        <v>40</v>
      </c>
      <c r="B159" s="6">
        <v>470995</v>
      </c>
      <c r="C159" s="5">
        <v>79.408392763812316</v>
      </c>
      <c r="D159" s="5"/>
      <c r="E159" s="6">
        <v>469241</v>
      </c>
      <c r="F159" s="5">
        <v>81.797637208524918</v>
      </c>
      <c r="G159" s="5"/>
      <c r="H159" s="6">
        <v>1692</v>
      </c>
      <c r="I159" s="5">
        <v>11.160949868073878</v>
      </c>
      <c r="J159" s="5"/>
      <c r="K159" s="6">
        <v>62</v>
      </c>
      <c r="L159" s="5">
        <v>1.7188799556418075</v>
      </c>
      <c r="M159" s="5"/>
    </row>
    <row r="160" spans="1:13" ht="14.1" customHeight="1" x14ac:dyDescent="0.25">
      <c r="A160" s="61" t="s">
        <v>41</v>
      </c>
      <c r="B160" s="6">
        <v>71658</v>
      </c>
      <c r="C160" s="5">
        <v>12.081331242729251</v>
      </c>
      <c r="D160" s="5"/>
      <c r="E160" s="6">
        <v>59813</v>
      </c>
      <c r="F160" s="5">
        <v>10.413797546151127</v>
      </c>
      <c r="G160" s="5"/>
      <c r="H160" s="6">
        <v>8963</v>
      </c>
      <c r="I160" s="5">
        <v>59.122691292875984</v>
      </c>
      <c r="J160" s="5"/>
      <c r="K160" s="6">
        <v>2882</v>
      </c>
      <c r="L160" s="5">
        <v>80.000194067091769</v>
      </c>
      <c r="M160" s="5"/>
    </row>
    <row r="161" spans="1:13" ht="14.1" customHeight="1" x14ac:dyDescent="0.25">
      <c r="A161" s="61" t="s">
        <v>42</v>
      </c>
      <c r="B161" s="6">
        <v>1371</v>
      </c>
      <c r="C161" s="5">
        <v>0.2311466289009155</v>
      </c>
      <c r="D161" s="5"/>
      <c r="E161" s="6">
        <v>1303</v>
      </c>
      <c r="F161" s="5">
        <v>0.22686001709720161</v>
      </c>
      <c r="G161" s="5"/>
      <c r="H161" s="6">
        <v>60</v>
      </c>
      <c r="I161" s="5">
        <v>0.39577836411609502</v>
      </c>
      <c r="J161" s="5"/>
      <c r="K161" s="6">
        <v>8</v>
      </c>
      <c r="L161" s="5">
        <v>0.22179096201829776</v>
      </c>
      <c r="M161" s="5"/>
    </row>
    <row r="162" spans="1:13" ht="14.1" customHeight="1" x14ac:dyDescent="0.25">
      <c r="A162" s="61" t="s">
        <v>43</v>
      </c>
      <c r="B162" s="6">
        <v>6872</v>
      </c>
      <c r="C162" s="5">
        <v>1.1585992952641073</v>
      </c>
      <c r="D162" s="5"/>
      <c r="E162" s="6">
        <v>5644</v>
      </c>
      <c r="F162" s="5">
        <v>0.98265382693523085</v>
      </c>
      <c r="G162" s="5"/>
      <c r="H162" s="6">
        <v>944</v>
      </c>
      <c r="I162" s="5">
        <v>6.2269129287598943</v>
      </c>
      <c r="J162" s="5"/>
      <c r="K162" s="6">
        <v>284</v>
      </c>
      <c r="L162" s="5">
        <v>7.8735791516495706</v>
      </c>
      <c r="M162" s="5"/>
    </row>
    <row r="163" spans="1:13" ht="14.1" customHeight="1" x14ac:dyDescent="0.25">
      <c r="A163" s="61" t="s">
        <v>44</v>
      </c>
      <c r="B163" s="6">
        <v>41678</v>
      </c>
      <c r="C163" s="5">
        <v>7.02679007974643</v>
      </c>
      <c r="D163" s="5"/>
      <c r="E163" s="6">
        <v>37912</v>
      </c>
      <c r="F163" s="5">
        <v>6.6007037361389926</v>
      </c>
      <c r="G163" s="5"/>
      <c r="H163" s="6">
        <v>3451</v>
      </c>
      <c r="I163" s="5">
        <v>22.763852242744061</v>
      </c>
      <c r="J163" s="5"/>
      <c r="K163" s="6">
        <v>315</v>
      </c>
      <c r="L163" s="5">
        <v>8.733019129470474</v>
      </c>
      <c r="M163" s="5"/>
    </row>
    <row r="164" spans="1:13" ht="14.1" customHeight="1" x14ac:dyDescent="0.25">
      <c r="A164" s="61" t="s">
        <v>45</v>
      </c>
      <c r="B164" s="6">
        <v>171</v>
      </c>
      <c r="C164" s="5">
        <v>2.8830104698801273E-2</v>
      </c>
      <c r="D164" s="5"/>
      <c r="E164" s="6">
        <v>164</v>
      </c>
      <c r="F164" s="5">
        <v>2.8553371300031511E-2</v>
      </c>
      <c r="G164" s="5"/>
      <c r="H164" s="6">
        <v>3</v>
      </c>
      <c r="I164" s="5">
        <v>1.9788918205804747E-2</v>
      </c>
      <c r="J164" s="5"/>
      <c r="K164" s="6">
        <v>4</v>
      </c>
      <c r="L164" s="5">
        <v>0.11089548100914888</v>
      </c>
      <c r="M164" s="5"/>
    </row>
    <row r="165" spans="1:13" ht="11.25" hidden="1" customHeight="1" x14ac:dyDescent="0.25">
      <c r="A165" s="61" t="s">
        <v>46</v>
      </c>
      <c r="B165" s="6">
        <v>54</v>
      </c>
      <c r="C165" s="5">
        <v>9.1042435890951404E-3</v>
      </c>
      <c r="D165" s="5"/>
      <c r="E165" s="6">
        <v>48</v>
      </c>
      <c r="F165" s="5">
        <v>8.3570842829360538E-3</v>
      </c>
      <c r="G165" s="5"/>
      <c r="H165" s="6">
        <v>5</v>
      </c>
      <c r="I165" s="5">
        <v>3.2981530343007916E-2</v>
      </c>
      <c r="J165" s="5"/>
      <c r="K165" s="6">
        <v>1</v>
      </c>
      <c r="L165" s="5">
        <v>2.8066236317709797E-2</v>
      </c>
      <c r="M165" s="5"/>
    </row>
    <row r="166" spans="1:13" ht="14.1" customHeight="1" x14ac:dyDescent="0.25">
      <c r="A166" s="61" t="s">
        <v>47</v>
      </c>
      <c r="B166" s="6">
        <v>385</v>
      </c>
      <c r="C166" s="5">
        <v>6.4909884848178306E-2</v>
      </c>
      <c r="D166" s="5"/>
      <c r="E166" s="6">
        <v>286</v>
      </c>
      <c r="F166" s="5">
        <v>4.9794293852493975E-2</v>
      </c>
      <c r="G166" s="5"/>
      <c r="H166" s="6">
        <v>47</v>
      </c>
      <c r="I166" s="5">
        <v>0.31002638522427439</v>
      </c>
      <c r="J166" s="5"/>
      <c r="K166" s="6">
        <v>52</v>
      </c>
      <c r="L166" s="5">
        <v>1.4416412531189355</v>
      </c>
      <c r="M166" s="5"/>
    </row>
    <row r="167" spans="1:13" ht="14.1" customHeight="1" x14ac:dyDescent="0.25">
      <c r="A167" s="68"/>
      <c r="B167" s="9"/>
      <c r="C167" s="15"/>
      <c r="D167" s="15"/>
      <c r="E167" s="9"/>
      <c r="F167" s="15"/>
      <c r="G167" s="15"/>
      <c r="H167" s="9"/>
      <c r="I167" s="15"/>
      <c r="J167" s="15"/>
      <c r="K167" s="9"/>
      <c r="L167" s="15"/>
      <c r="M167" s="15"/>
    </row>
    <row r="168" spans="1:13" ht="14.1" customHeight="1" x14ac:dyDescent="0.25">
      <c r="A168" s="63" t="s">
        <v>10</v>
      </c>
      <c r="B168" s="9">
        <v>26771</v>
      </c>
      <c r="C168" s="15">
        <v>100</v>
      </c>
      <c r="D168" s="15"/>
      <c r="E168" s="9">
        <v>26057</v>
      </c>
      <c r="F168" s="15">
        <v>100</v>
      </c>
      <c r="G168" s="15"/>
      <c r="H168" s="9">
        <v>604</v>
      </c>
      <c r="I168" s="15">
        <v>100</v>
      </c>
      <c r="J168" s="15"/>
      <c r="K168" s="9">
        <v>110</v>
      </c>
      <c r="L168" s="15">
        <v>100</v>
      </c>
      <c r="M168" s="15"/>
    </row>
    <row r="169" spans="1:13" ht="14.1" customHeight="1" x14ac:dyDescent="0.25">
      <c r="A169" s="61" t="s">
        <v>40</v>
      </c>
      <c r="B169" s="6">
        <v>23232</v>
      </c>
      <c r="C169" s="5">
        <v>86.880471405625485</v>
      </c>
      <c r="D169" s="5"/>
      <c r="E169" s="6">
        <v>23119</v>
      </c>
      <c r="F169" s="5">
        <v>88.724718885520204</v>
      </c>
      <c r="G169" s="5"/>
      <c r="H169" s="6">
        <v>110</v>
      </c>
      <c r="I169" s="5">
        <v>18.211920529801322</v>
      </c>
      <c r="J169" s="5"/>
      <c r="K169" s="6">
        <v>3</v>
      </c>
      <c r="L169" s="5">
        <v>2.7272727272727271</v>
      </c>
      <c r="M169" s="5"/>
    </row>
    <row r="170" spans="1:13" ht="14.1" customHeight="1" x14ac:dyDescent="0.25">
      <c r="A170" s="61" t="s">
        <v>41</v>
      </c>
      <c r="B170" s="6">
        <v>813</v>
      </c>
      <c r="C170" s="5">
        <v>3.0368682529602928</v>
      </c>
      <c r="D170" s="5"/>
      <c r="E170" s="6">
        <v>618</v>
      </c>
      <c r="F170" s="5">
        <v>2.3717235291860153</v>
      </c>
      <c r="G170" s="5"/>
      <c r="H170" s="6">
        <v>139</v>
      </c>
      <c r="I170" s="5">
        <v>23.013245033112582</v>
      </c>
      <c r="J170" s="5"/>
      <c r="K170" s="6">
        <v>56</v>
      </c>
      <c r="L170" s="5">
        <v>51.009090909090908</v>
      </c>
      <c r="M170" s="5"/>
    </row>
    <row r="171" spans="1:13" ht="14.1" customHeight="1" x14ac:dyDescent="0.25">
      <c r="A171" s="61" t="s">
        <v>42</v>
      </c>
      <c r="B171" s="6">
        <v>9</v>
      </c>
      <c r="C171" s="5">
        <v>3.3618467744947887E-2</v>
      </c>
      <c r="D171" s="5"/>
      <c r="E171" s="6">
        <v>7</v>
      </c>
      <c r="F171" s="5">
        <v>2.6864182369420883E-2</v>
      </c>
      <c r="G171" s="5"/>
      <c r="H171" s="6">
        <v>2</v>
      </c>
      <c r="I171" s="5">
        <v>0.33112582781456956</v>
      </c>
      <c r="J171" s="5"/>
      <c r="K171" s="89" t="s">
        <v>96</v>
      </c>
      <c r="L171" s="90" t="s">
        <v>96</v>
      </c>
      <c r="M171" s="5"/>
    </row>
    <row r="172" spans="1:13" ht="14.1" customHeight="1" x14ac:dyDescent="0.25">
      <c r="A172" s="61" t="s">
        <v>43</v>
      </c>
      <c r="B172" s="6">
        <v>440</v>
      </c>
      <c r="C172" s="5">
        <v>1.6435695341974526</v>
      </c>
      <c r="D172" s="5"/>
      <c r="E172" s="6">
        <v>335</v>
      </c>
      <c r="F172" s="5">
        <v>1.2856430133937138</v>
      </c>
      <c r="G172" s="5"/>
      <c r="H172" s="6">
        <v>92</v>
      </c>
      <c r="I172" s="5">
        <v>15.231788079470199</v>
      </c>
      <c r="J172" s="5"/>
      <c r="K172" s="89">
        <v>13</v>
      </c>
      <c r="L172" s="90">
        <v>11.818181818181818</v>
      </c>
      <c r="M172" s="5"/>
    </row>
    <row r="173" spans="1:13" ht="14.1" customHeight="1" x14ac:dyDescent="0.25">
      <c r="A173" s="61" t="s">
        <v>44</v>
      </c>
      <c r="B173" s="6">
        <v>2229</v>
      </c>
      <c r="C173" s="5">
        <v>8.326173844832093</v>
      </c>
      <c r="D173" s="5"/>
      <c r="E173" s="6">
        <v>1932</v>
      </c>
      <c r="F173" s="5">
        <v>7.4145143339601649</v>
      </c>
      <c r="G173" s="5"/>
      <c r="H173" s="6">
        <v>260</v>
      </c>
      <c r="I173" s="5">
        <v>43.14635761589404</v>
      </c>
      <c r="J173" s="5"/>
      <c r="K173" s="89">
        <v>37</v>
      </c>
      <c r="L173" s="90">
        <v>33.636363636363633</v>
      </c>
      <c r="M173" s="5"/>
    </row>
    <row r="174" spans="1:13" ht="14.1" customHeight="1" x14ac:dyDescent="0.25">
      <c r="A174" s="61" t="s">
        <v>45</v>
      </c>
      <c r="B174" s="6">
        <v>25</v>
      </c>
      <c r="C174" s="5">
        <v>9.338463262485526E-2</v>
      </c>
      <c r="D174" s="5"/>
      <c r="E174" s="6">
        <v>25</v>
      </c>
      <c r="F174" s="5">
        <v>9.5943508462217442E-2</v>
      </c>
      <c r="G174" s="5"/>
      <c r="H174" s="89" t="s">
        <v>96</v>
      </c>
      <c r="I174" s="89" t="s">
        <v>96</v>
      </c>
      <c r="J174" s="5"/>
      <c r="K174" s="89" t="s">
        <v>96</v>
      </c>
      <c r="L174" s="90" t="s">
        <v>96</v>
      </c>
      <c r="M174" s="5"/>
    </row>
    <row r="175" spans="1:13" ht="13.5" hidden="1" customHeight="1" x14ac:dyDescent="0.25">
      <c r="A175" s="61" t="s">
        <v>46</v>
      </c>
      <c r="B175" s="6">
        <v>9</v>
      </c>
      <c r="C175" s="5">
        <v>3.3618467744947887E-2</v>
      </c>
      <c r="D175" s="5"/>
      <c r="E175" s="6">
        <v>7</v>
      </c>
      <c r="F175" s="5">
        <v>2.6864182369420883E-2</v>
      </c>
      <c r="G175" s="5"/>
      <c r="H175" s="6">
        <v>1</v>
      </c>
      <c r="I175" s="5">
        <v>0.16556291390728478</v>
      </c>
      <c r="J175" s="5"/>
      <c r="K175" s="89">
        <v>1</v>
      </c>
      <c r="L175" s="90">
        <v>0.90909090909090906</v>
      </c>
      <c r="M175" s="5"/>
    </row>
    <row r="176" spans="1:13" ht="14.1" customHeight="1" x14ac:dyDescent="0.25">
      <c r="A176" s="61" t="s">
        <v>47</v>
      </c>
      <c r="B176" s="6">
        <v>23</v>
      </c>
      <c r="C176" s="5">
        <v>8.5913862014866824E-2</v>
      </c>
      <c r="D176" s="5"/>
      <c r="E176" s="6">
        <v>21</v>
      </c>
      <c r="F176" s="5">
        <v>8.0592547108262649E-2</v>
      </c>
      <c r="G176" s="5"/>
      <c r="H176" s="6">
        <v>1</v>
      </c>
      <c r="I176" s="5">
        <v>0.16556291390728478</v>
      </c>
      <c r="J176" s="5"/>
      <c r="K176" s="89">
        <v>1</v>
      </c>
      <c r="L176" s="90">
        <v>0.90909090909090906</v>
      </c>
      <c r="M176" s="5"/>
    </row>
    <row r="177" spans="1:13" ht="14.1" customHeight="1" x14ac:dyDescent="0.25">
      <c r="A177" s="68"/>
      <c r="B177" s="9"/>
      <c r="C177" s="15"/>
      <c r="D177" s="15"/>
      <c r="E177" s="9"/>
      <c r="F177" s="15"/>
      <c r="G177" s="15"/>
      <c r="H177" s="9"/>
      <c r="I177" s="15"/>
      <c r="J177" s="15"/>
      <c r="K177" s="9"/>
      <c r="L177" s="15"/>
      <c r="M177" s="15"/>
    </row>
    <row r="178" spans="1:13" ht="14.1" customHeight="1" x14ac:dyDescent="0.25">
      <c r="A178" s="63" t="s">
        <v>9</v>
      </c>
      <c r="B178" s="9">
        <v>9280</v>
      </c>
      <c r="C178" s="15">
        <v>100</v>
      </c>
      <c r="D178" s="15"/>
      <c r="E178" s="9">
        <v>8962</v>
      </c>
      <c r="F178" s="15">
        <v>100</v>
      </c>
      <c r="G178" s="15"/>
      <c r="H178" s="9">
        <v>270</v>
      </c>
      <c r="I178" s="15">
        <v>100</v>
      </c>
      <c r="J178" s="15"/>
      <c r="K178" s="9">
        <v>48</v>
      </c>
      <c r="L178" s="15">
        <v>100</v>
      </c>
      <c r="M178" s="15"/>
    </row>
    <row r="179" spans="1:13" ht="14.1" customHeight="1" x14ac:dyDescent="0.25">
      <c r="A179" s="61" t="s">
        <v>40</v>
      </c>
      <c r="B179" s="6">
        <v>8033</v>
      </c>
      <c r="C179" s="5">
        <v>86.462500000000006</v>
      </c>
      <c r="D179" s="5"/>
      <c r="E179" s="6">
        <v>7959</v>
      </c>
      <c r="F179" s="5">
        <v>88.808301718366437</v>
      </c>
      <c r="G179" s="5"/>
      <c r="H179" s="6">
        <v>64</v>
      </c>
      <c r="I179" s="5">
        <v>23.703703703703706</v>
      </c>
      <c r="J179" s="5"/>
      <c r="K179" s="6">
        <v>10</v>
      </c>
      <c r="L179" s="5">
        <v>20.833333333333336</v>
      </c>
      <c r="M179" s="5"/>
    </row>
    <row r="180" spans="1:13" ht="14.1" customHeight="1" x14ac:dyDescent="0.25">
      <c r="A180" s="61" t="s">
        <v>41</v>
      </c>
      <c r="B180" s="6">
        <v>332</v>
      </c>
      <c r="C180" s="5">
        <v>3.577586206896552</v>
      </c>
      <c r="D180" s="5"/>
      <c r="E180" s="6">
        <v>258</v>
      </c>
      <c r="F180" s="5">
        <v>2.8788216915866993</v>
      </c>
      <c r="G180" s="5"/>
      <c r="H180" s="6">
        <v>59</v>
      </c>
      <c r="I180" s="5">
        <v>21.851851851851851</v>
      </c>
      <c r="J180" s="5"/>
      <c r="K180" s="6">
        <v>15</v>
      </c>
      <c r="L180" s="5">
        <v>31.15</v>
      </c>
      <c r="M180" s="5"/>
    </row>
    <row r="181" spans="1:13" ht="14.1" customHeight="1" x14ac:dyDescent="0.25">
      <c r="A181" s="61" t="s">
        <v>42</v>
      </c>
      <c r="B181" s="6">
        <v>6</v>
      </c>
      <c r="C181" s="5">
        <v>6.4655172413793108E-2</v>
      </c>
      <c r="D181" s="5"/>
      <c r="E181" s="6">
        <v>6</v>
      </c>
      <c r="F181" s="5">
        <v>6.6949341664806969E-2</v>
      </c>
      <c r="G181" s="5"/>
      <c r="H181" s="3" t="s">
        <v>96</v>
      </c>
      <c r="I181" s="16" t="s">
        <v>96</v>
      </c>
      <c r="J181" s="5"/>
      <c r="K181" s="3" t="s">
        <v>96</v>
      </c>
      <c r="L181" s="16" t="s">
        <v>96</v>
      </c>
      <c r="M181" s="5"/>
    </row>
    <row r="182" spans="1:13" ht="14.1" customHeight="1" x14ac:dyDescent="0.25">
      <c r="A182" s="61" t="s">
        <v>43</v>
      </c>
      <c r="B182" s="6">
        <v>130</v>
      </c>
      <c r="C182" s="5">
        <v>1.4008620689655173</v>
      </c>
      <c r="D182" s="5"/>
      <c r="E182" s="6">
        <v>90</v>
      </c>
      <c r="F182" s="5">
        <v>1.0042401249721045</v>
      </c>
      <c r="G182" s="5"/>
      <c r="H182" s="3">
        <v>31</v>
      </c>
      <c r="I182" s="16">
        <v>11.481481481481481</v>
      </c>
      <c r="J182" s="5"/>
      <c r="K182" s="3">
        <v>9</v>
      </c>
      <c r="L182" s="16">
        <v>18.75</v>
      </c>
      <c r="M182" s="5"/>
    </row>
    <row r="183" spans="1:13" ht="14.1" customHeight="1" x14ac:dyDescent="0.25">
      <c r="A183" s="61" t="s">
        <v>44</v>
      </c>
      <c r="B183" s="6">
        <v>767</v>
      </c>
      <c r="C183" s="5">
        <v>8.2650862068965516</v>
      </c>
      <c r="D183" s="5"/>
      <c r="E183" s="6">
        <v>638</v>
      </c>
      <c r="F183" s="5">
        <v>7.1189466636911405</v>
      </c>
      <c r="G183" s="5"/>
      <c r="H183" s="3">
        <v>115</v>
      </c>
      <c r="I183" s="16">
        <v>42.492592592592594</v>
      </c>
      <c r="J183" s="5"/>
      <c r="K183" s="3">
        <v>14</v>
      </c>
      <c r="L183" s="16">
        <v>29.166666666666668</v>
      </c>
      <c r="M183" s="5"/>
    </row>
    <row r="184" spans="1:13" ht="14.1" customHeight="1" x14ac:dyDescent="0.25">
      <c r="A184" s="61" t="s">
        <v>45</v>
      </c>
      <c r="B184" s="6">
        <v>9</v>
      </c>
      <c r="C184" s="5">
        <v>9.6982758620689655E-2</v>
      </c>
      <c r="D184" s="5"/>
      <c r="E184" s="6">
        <v>9</v>
      </c>
      <c r="F184" s="5">
        <v>0.10042401249721045</v>
      </c>
      <c r="G184" s="5"/>
      <c r="H184" s="3" t="s">
        <v>96</v>
      </c>
      <c r="I184" s="16" t="s">
        <v>96</v>
      </c>
      <c r="J184" s="5"/>
      <c r="K184" s="3" t="s">
        <v>96</v>
      </c>
      <c r="L184" s="3" t="s">
        <v>96</v>
      </c>
      <c r="M184" s="5"/>
    </row>
    <row r="185" spans="1:13" ht="20.25" hidden="1" customHeight="1" x14ac:dyDescent="0.25">
      <c r="A185" s="92" t="s">
        <v>46</v>
      </c>
      <c r="B185" s="6">
        <v>1</v>
      </c>
      <c r="C185" s="5">
        <v>1.0775862068965518E-2</v>
      </c>
      <c r="D185" s="5"/>
      <c r="E185" s="3" t="s">
        <v>96</v>
      </c>
      <c r="F185" s="3" t="s">
        <v>96</v>
      </c>
      <c r="G185" s="5"/>
      <c r="H185" s="6">
        <v>1</v>
      </c>
      <c r="I185" s="5">
        <v>0.37037037037037041</v>
      </c>
      <c r="J185" s="5"/>
      <c r="K185" s="3" t="s">
        <v>96</v>
      </c>
      <c r="L185" s="3" t="s">
        <v>96</v>
      </c>
      <c r="M185" s="5"/>
    </row>
    <row r="186" spans="1:13" ht="14.1" customHeight="1" x14ac:dyDescent="0.25">
      <c r="A186" s="92" t="s">
        <v>47</v>
      </c>
      <c r="B186" s="6">
        <v>3</v>
      </c>
      <c r="C186" s="5">
        <v>3.2327586206896554E-2</v>
      </c>
      <c r="D186" s="5"/>
      <c r="E186" s="6">
        <v>2</v>
      </c>
      <c r="F186" s="5">
        <v>2.231644722160232E-2</v>
      </c>
      <c r="G186" s="5"/>
      <c r="H186" s="6">
        <v>1</v>
      </c>
      <c r="I186" s="5">
        <v>0.37037037037037041</v>
      </c>
      <c r="J186" s="5"/>
      <c r="K186" s="3" t="s">
        <v>96</v>
      </c>
      <c r="L186" s="3" t="s">
        <v>96</v>
      </c>
      <c r="M186" s="5"/>
    </row>
    <row r="187" spans="1:13" ht="14.1" customHeight="1" x14ac:dyDescent="0.25">
      <c r="A187" s="68"/>
      <c r="B187" s="9"/>
      <c r="C187" s="15"/>
      <c r="D187" s="15"/>
      <c r="E187" s="9"/>
      <c r="F187" s="15"/>
      <c r="G187" s="15"/>
      <c r="H187" s="9"/>
      <c r="I187" s="15"/>
      <c r="J187" s="15"/>
      <c r="K187" s="9"/>
      <c r="L187" s="15"/>
      <c r="M187" s="15"/>
    </row>
    <row r="188" spans="1:13" ht="14.1" customHeight="1" x14ac:dyDescent="0.25">
      <c r="A188" s="63" t="s">
        <v>8</v>
      </c>
      <c r="B188" s="9">
        <v>7567</v>
      </c>
      <c r="C188" s="15">
        <v>100</v>
      </c>
      <c r="D188" s="15"/>
      <c r="E188" s="9">
        <v>7415</v>
      </c>
      <c r="F188" s="15">
        <v>100</v>
      </c>
      <c r="G188" s="15"/>
      <c r="H188" s="9">
        <v>141</v>
      </c>
      <c r="I188" s="15">
        <v>100</v>
      </c>
      <c r="J188" s="15"/>
      <c r="K188" s="9">
        <v>11</v>
      </c>
      <c r="L188" s="15">
        <v>100</v>
      </c>
      <c r="M188" s="15"/>
    </row>
    <row r="189" spans="1:13" ht="14.1" customHeight="1" x14ac:dyDescent="0.25">
      <c r="A189" s="61" t="s">
        <v>40</v>
      </c>
      <c r="B189" s="6">
        <v>6354</v>
      </c>
      <c r="C189" s="5">
        <v>83.869869168759081</v>
      </c>
      <c r="D189" s="5"/>
      <c r="E189" s="6">
        <v>6340</v>
      </c>
      <c r="F189" s="5">
        <v>85.502360080917057</v>
      </c>
      <c r="G189" s="5"/>
      <c r="H189" s="6">
        <v>14</v>
      </c>
      <c r="I189" s="5">
        <v>9.9290780141843982</v>
      </c>
      <c r="J189" s="5"/>
      <c r="K189" s="3" t="s">
        <v>96</v>
      </c>
      <c r="L189" s="16" t="s">
        <v>96</v>
      </c>
      <c r="M189" s="5"/>
    </row>
    <row r="190" spans="1:13" ht="14.1" customHeight="1" x14ac:dyDescent="0.25">
      <c r="A190" s="61" t="s">
        <v>41</v>
      </c>
      <c r="B190" s="6">
        <v>201</v>
      </c>
      <c r="C190" s="5">
        <v>2.6562706488700938</v>
      </c>
      <c r="D190" s="5"/>
      <c r="E190" s="6">
        <v>173</v>
      </c>
      <c r="F190" s="5">
        <v>2.3331085637221847</v>
      </c>
      <c r="G190" s="5"/>
      <c r="H190" s="6">
        <v>26</v>
      </c>
      <c r="I190" s="5">
        <v>18.439716312056735</v>
      </c>
      <c r="J190" s="5"/>
      <c r="K190" s="3">
        <v>2</v>
      </c>
      <c r="L190" s="16">
        <v>18.181818181818183</v>
      </c>
      <c r="M190" s="5"/>
    </row>
    <row r="191" spans="1:13" ht="14.1" customHeight="1" x14ac:dyDescent="0.25">
      <c r="A191" s="61" t="s">
        <v>42</v>
      </c>
      <c r="B191" s="6">
        <v>13</v>
      </c>
      <c r="C191" s="5">
        <v>0.17179859918065285</v>
      </c>
      <c r="D191" s="5"/>
      <c r="E191" s="6">
        <v>12</v>
      </c>
      <c r="F191" s="5">
        <v>0.16183412002697234</v>
      </c>
      <c r="G191" s="5"/>
      <c r="H191" s="6">
        <v>1</v>
      </c>
      <c r="I191" s="5">
        <v>0.70921985815602839</v>
      </c>
      <c r="J191" s="5"/>
      <c r="K191" s="3" t="s">
        <v>96</v>
      </c>
      <c r="L191" s="16" t="s">
        <v>96</v>
      </c>
      <c r="M191" s="5"/>
    </row>
    <row r="192" spans="1:13" ht="14.1" customHeight="1" x14ac:dyDescent="0.25">
      <c r="A192" s="61" t="s">
        <v>43</v>
      </c>
      <c r="B192" s="6">
        <v>183</v>
      </c>
      <c r="C192" s="5">
        <v>2.4183956653891898</v>
      </c>
      <c r="D192" s="5"/>
      <c r="E192" s="6">
        <v>153</v>
      </c>
      <c r="F192" s="5">
        <v>2.0633850303438974</v>
      </c>
      <c r="G192" s="5"/>
      <c r="H192" s="6">
        <v>27</v>
      </c>
      <c r="I192" s="5">
        <v>19.148936170212767</v>
      </c>
      <c r="J192" s="5"/>
      <c r="K192" s="3">
        <v>3</v>
      </c>
      <c r="L192" s="16">
        <v>27.27272727272727</v>
      </c>
      <c r="M192" s="5"/>
    </row>
    <row r="193" spans="1:13" ht="14.1" customHeight="1" x14ac:dyDescent="0.25">
      <c r="A193" s="61" t="s">
        <v>44</v>
      </c>
      <c r="B193" s="6">
        <v>792</v>
      </c>
      <c r="C193" s="5">
        <v>10.466499273159773</v>
      </c>
      <c r="D193" s="5"/>
      <c r="E193" s="6">
        <v>713</v>
      </c>
      <c r="F193" s="5">
        <v>9.6156439649359413</v>
      </c>
      <c r="G193" s="5"/>
      <c r="H193" s="6">
        <v>73</v>
      </c>
      <c r="I193" s="5">
        <v>51.873049645390068</v>
      </c>
      <c r="J193" s="5"/>
      <c r="K193" s="3">
        <v>6</v>
      </c>
      <c r="L193" s="16">
        <v>54.54545454545454</v>
      </c>
      <c r="M193" s="5"/>
    </row>
    <row r="194" spans="1:13" ht="14.1" customHeight="1" x14ac:dyDescent="0.25">
      <c r="A194" s="61" t="s">
        <v>45</v>
      </c>
      <c r="B194" s="6">
        <v>11</v>
      </c>
      <c r="C194" s="5">
        <v>0.1453680454605524</v>
      </c>
      <c r="D194" s="5"/>
      <c r="E194" s="6">
        <v>11</v>
      </c>
      <c r="F194" s="5">
        <v>0.14834794335805798</v>
      </c>
      <c r="G194" s="5"/>
      <c r="H194" s="3" t="s">
        <v>96</v>
      </c>
      <c r="I194" s="3" t="s">
        <v>96</v>
      </c>
      <c r="J194" s="5"/>
      <c r="K194" s="3" t="s">
        <v>96</v>
      </c>
      <c r="L194" s="3" t="s">
        <v>96</v>
      </c>
      <c r="M194" s="5"/>
    </row>
    <row r="195" spans="1:13" ht="22.5" hidden="1" customHeight="1" x14ac:dyDescent="0.25">
      <c r="A195" s="61" t="s">
        <v>46</v>
      </c>
      <c r="B195" s="6">
        <v>4</v>
      </c>
      <c r="C195" s="5">
        <v>5.2861107440200873E-2</v>
      </c>
      <c r="D195" s="5"/>
      <c r="E195" s="6">
        <v>4</v>
      </c>
      <c r="F195" s="5">
        <v>5.3944706675657456E-2</v>
      </c>
      <c r="G195" s="5"/>
      <c r="H195" s="3" t="s">
        <v>96</v>
      </c>
      <c r="I195" s="3" t="s">
        <v>96</v>
      </c>
      <c r="J195" s="5"/>
      <c r="K195" s="3" t="s">
        <v>96</v>
      </c>
      <c r="L195" s="3" t="s">
        <v>96</v>
      </c>
      <c r="M195" s="5"/>
    </row>
    <row r="196" spans="1:13" ht="14.1" customHeight="1" x14ac:dyDescent="0.25">
      <c r="A196" s="61" t="s">
        <v>47</v>
      </c>
      <c r="B196" s="6">
        <v>13</v>
      </c>
      <c r="C196" s="5">
        <v>0.17179859918065282</v>
      </c>
      <c r="D196" s="5"/>
      <c r="E196" s="6">
        <v>13</v>
      </c>
      <c r="F196" s="5">
        <v>0.17532029669588672</v>
      </c>
      <c r="G196" s="5"/>
      <c r="H196" s="3" t="s">
        <v>96</v>
      </c>
      <c r="I196" s="3" t="s">
        <v>96</v>
      </c>
      <c r="J196" s="5"/>
      <c r="K196" s="3" t="s">
        <v>96</v>
      </c>
      <c r="L196" s="3" t="s">
        <v>96</v>
      </c>
      <c r="M196" s="5"/>
    </row>
    <row r="197" spans="1:13" ht="14.1" customHeight="1" x14ac:dyDescent="0.25">
      <c r="A197" s="68"/>
      <c r="B197" s="9"/>
      <c r="C197" s="15"/>
      <c r="D197" s="15"/>
      <c r="E197" s="9"/>
      <c r="F197" s="15"/>
      <c r="G197" s="15"/>
      <c r="H197" s="9"/>
      <c r="I197" s="15"/>
      <c r="J197" s="15"/>
      <c r="K197" s="9"/>
      <c r="L197" s="15"/>
      <c r="M197" s="15"/>
    </row>
    <row r="198" spans="1:13" ht="14.1" customHeight="1" x14ac:dyDescent="0.25">
      <c r="A198" s="63" t="s">
        <v>7</v>
      </c>
      <c r="B198" s="9">
        <v>7546</v>
      </c>
      <c r="C198" s="15">
        <v>100</v>
      </c>
      <c r="D198" s="15"/>
      <c r="E198" s="9">
        <v>7421</v>
      </c>
      <c r="F198" s="15">
        <v>100</v>
      </c>
      <c r="G198" s="15"/>
      <c r="H198" s="9">
        <v>119</v>
      </c>
      <c r="I198" s="15">
        <v>100</v>
      </c>
      <c r="J198" s="15"/>
      <c r="K198" s="9">
        <v>6</v>
      </c>
      <c r="L198" s="15">
        <v>100</v>
      </c>
      <c r="M198" s="15"/>
    </row>
    <row r="199" spans="1:13" ht="14.1" customHeight="1" x14ac:dyDescent="0.25">
      <c r="A199" s="61" t="s">
        <v>40</v>
      </c>
      <c r="B199" s="6">
        <v>6655</v>
      </c>
      <c r="C199" s="5">
        <v>88.092419825072895</v>
      </c>
      <c r="D199" s="5"/>
      <c r="E199" s="6">
        <v>6627</v>
      </c>
      <c r="F199" s="5">
        <v>89.30063333782509</v>
      </c>
      <c r="G199" s="5"/>
      <c r="H199" s="6">
        <v>28</v>
      </c>
      <c r="I199" s="5">
        <v>23.52941176470588</v>
      </c>
      <c r="J199" s="5"/>
      <c r="K199" s="3" t="s">
        <v>96</v>
      </c>
      <c r="L199" s="16" t="s">
        <v>96</v>
      </c>
      <c r="M199" s="5"/>
    </row>
    <row r="200" spans="1:13" ht="14.1" customHeight="1" x14ac:dyDescent="0.25">
      <c r="A200" s="61" t="s">
        <v>41</v>
      </c>
      <c r="B200" s="6">
        <v>419</v>
      </c>
      <c r="C200" s="5">
        <v>5.5526106546514704</v>
      </c>
      <c r="D200" s="5"/>
      <c r="E200" s="6">
        <v>370</v>
      </c>
      <c r="F200" s="5">
        <v>4.9858509634820107</v>
      </c>
      <c r="G200" s="5"/>
      <c r="H200" s="6">
        <v>45</v>
      </c>
      <c r="I200" s="5">
        <v>37.91512605042017</v>
      </c>
      <c r="J200" s="5"/>
      <c r="K200" s="3">
        <v>4</v>
      </c>
      <c r="L200" s="16">
        <v>66.666666666666657</v>
      </c>
      <c r="M200" s="5"/>
    </row>
    <row r="201" spans="1:13" ht="14.1" customHeight="1" x14ac:dyDescent="0.25">
      <c r="A201" s="61" t="s">
        <v>42</v>
      </c>
      <c r="B201" s="6">
        <v>2</v>
      </c>
      <c r="C201" s="5">
        <v>2.6504108136761195E-2</v>
      </c>
      <c r="D201" s="5"/>
      <c r="E201" s="6">
        <v>2</v>
      </c>
      <c r="F201" s="5">
        <v>2.6950545748551408E-2</v>
      </c>
      <c r="G201" s="5"/>
      <c r="H201" s="3" t="s">
        <v>96</v>
      </c>
      <c r="I201" s="3" t="s">
        <v>96</v>
      </c>
      <c r="J201" s="5"/>
      <c r="K201" s="3" t="s">
        <v>96</v>
      </c>
      <c r="L201" s="16" t="s">
        <v>96</v>
      </c>
      <c r="M201" s="5"/>
    </row>
    <row r="202" spans="1:13" ht="14.1" customHeight="1" x14ac:dyDescent="0.25">
      <c r="A202" s="61" t="s">
        <v>43</v>
      </c>
      <c r="B202" s="6">
        <v>97</v>
      </c>
      <c r="C202" s="5">
        <v>1.285449244632918</v>
      </c>
      <c r="D202" s="5"/>
      <c r="E202" s="6">
        <v>83</v>
      </c>
      <c r="F202" s="5">
        <v>1.1184476485648833</v>
      </c>
      <c r="G202" s="5"/>
      <c r="H202" s="6">
        <v>12</v>
      </c>
      <c r="I202" s="5">
        <v>10.084033613445378</v>
      </c>
      <c r="J202" s="5"/>
      <c r="K202" s="3">
        <v>2</v>
      </c>
      <c r="L202" s="16">
        <v>33.333333333333329</v>
      </c>
      <c r="M202" s="5"/>
    </row>
    <row r="203" spans="1:13" ht="14.1" customHeight="1" x14ac:dyDescent="0.25">
      <c r="A203" s="61" t="s">
        <v>44</v>
      </c>
      <c r="B203" s="6">
        <v>348</v>
      </c>
      <c r="C203" s="5">
        <v>4.6117148157964483</v>
      </c>
      <c r="D203" s="5"/>
      <c r="E203" s="6">
        <v>316</v>
      </c>
      <c r="F203" s="5">
        <v>4.2581862282711231</v>
      </c>
      <c r="G203" s="5"/>
      <c r="H203" s="6">
        <v>32</v>
      </c>
      <c r="I203" s="5">
        <v>26.890756302521009</v>
      </c>
      <c r="J203" s="5"/>
      <c r="K203" s="3" t="s">
        <v>96</v>
      </c>
      <c r="L203" s="16" t="s">
        <v>96</v>
      </c>
      <c r="M203" s="5"/>
    </row>
    <row r="204" spans="1:13" ht="14.1" customHeight="1" x14ac:dyDescent="0.25">
      <c r="A204" s="61" t="s">
        <v>45</v>
      </c>
      <c r="B204" s="6">
        <v>12</v>
      </c>
      <c r="C204" s="5">
        <v>0.15902464882056719</v>
      </c>
      <c r="D204" s="5"/>
      <c r="E204" s="6">
        <v>11</v>
      </c>
      <c r="F204" s="5">
        <v>0.14822800161703276</v>
      </c>
      <c r="G204" s="5"/>
      <c r="H204" s="6">
        <v>1</v>
      </c>
      <c r="I204" s="5">
        <v>0.84033613445378152</v>
      </c>
      <c r="J204" s="5"/>
      <c r="K204" s="3" t="s">
        <v>96</v>
      </c>
      <c r="L204" s="16" t="s">
        <v>96</v>
      </c>
      <c r="M204" s="5"/>
    </row>
    <row r="205" spans="1:13" ht="18.75" hidden="1" customHeight="1" x14ac:dyDescent="0.25">
      <c r="A205" s="61" t="s">
        <v>46</v>
      </c>
      <c r="B205" s="6">
        <v>8</v>
      </c>
      <c r="C205" s="5">
        <v>0.10601643254704478</v>
      </c>
      <c r="D205" s="5"/>
      <c r="E205" s="6">
        <v>7</v>
      </c>
      <c r="F205" s="5">
        <v>9.4326910119929927E-2</v>
      </c>
      <c r="G205" s="5"/>
      <c r="H205" s="6">
        <v>1</v>
      </c>
      <c r="I205" s="5">
        <v>0.84033613445378152</v>
      </c>
      <c r="J205" s="5"/>
      <c r="K205" s="3" t="s">
        <v>96</v>
      </c>
      <c r="L205" s="16" t="s">
        <v>96</v>
      </c>
      <c r="M205" s="5"/>
    </row>
    <row r="206" spans="1:13" ht="14.1" customHeight="1" x14ac:dyDescent="0.25">
      <c r="A206" s="61" t="s">
        <v>47</v>
      </c>
      <c r="B206" s="6">
        <v>13</v>
      </c>
      <c r="C206" s="5">
        <v>0.17227670288894775</v>
      </c>
      <c r="D206" s="5"/>
      <c r="E206" s="6">
        <v>12</v>
      </c>
      <c r="F206" s="5">
        <v>0.16170327449130845</v>
      </c>
      <c r="G206" s="5"/>
      <c r="H206" s="6">
        <v>1</v>
      </c>
      <c r="I206" s="5">
        <v>0.84033613445378152</v>
      </c>
      <c r="J206" s="5"/>
      <c r="K206" s="3" t="s">
        <v>96</v>
      </c>
      <c r="L206" s="3" t="s">
        <v>96</v>
      </c>
      <c r="M206" s="5"/>
    </row>
    <row r="207" spans="1:13" ht="14.1" customHeight="1" x14ac:dyDescent="0.25">
      <c r="A207" s="61"/>
      <c r="B207" s="9"/>
      <c r="C207" s="15"/>
      <c r="D207" s="15"/>
      <c r="E207" s="9"/>
      <c r="F207" s="15"/>
      <c r="G207" s="15"/>
      <c r="H207" s="9"/>
      <c r="I207" s="15"/>
      <c r="J207" s="15"/>
      <c r="K207" s="9"/>
      <c r="L207" s="15"/>
      <c r="M207" s="15"/>
    </row>
    <row r="208" spans="1:13" ht="14.1" customHeight="1" x14ac:dyDescent="0.25">
      <c r="A208" s="63" t="s">
        <v>6</v>
      </c>
      <c r="B208" s="9">
        <v>60322</v>
      </c>
      <c r="C208" s="15">
        <v>100</v>
      </c>
      <c r="D208" s="15"/>
      <c r="E208" s="9">
        <v>59479</v>
      </c>
      <c r="F208" s="15">
        <v>100</v>
      </c>
      <c r="G208" s="15"/>
      <c r="H208" s="9">
        <v>715</v>
      </c>
      <c r="I208" s="15">
        <v>100</v>
      </c>
      <c r="J208" s="15"/>
      <c r="K208" s="9">
        <v>128</v>
      </c>
      <c r="L208" s="15">
        <v>100</v>
      </c>
      <c r="M208" s="15"/>
    </row>
    <row r="209" spans="1:13" ht="14.1" customHeight="1" x14ac:dyDescent="0.25">
      <c r="A209" s="61" t="s">
        <v>40</v>
      </c>
      <c r="B209" s="6">
        <v>55146</v>
      </c>
      <c r="C209" s="5">
        <v>91.519382646463967</v>
      </c>
      <c r="D209" s="5"/>
      <c r="E209" s="6">
        <v>54964</v>
      </c>
      <c r="F209" s="5">
        <v>92.509085559609261</v>
      </c>
      <c r="G209" s="5"/>
      <c r="H209" s="6">
        <v>175</v>
      </c>
      <c r="I209" s="5">
        <v>24.475524475524477</v>
      </c>
      <c r="J209" s="5"/>
      <c r="K209" s="6">
        <v>7</v>
      </c>
      <c r="L209" s="5">
        <v>5.46875</v>
      </c>
      <c r="M209" s="5"/>
    </row>
    <row r="210" spans="1:13" ht="14.1" customHeight="1" x14ac:dyDescent="0.25">
      <c r="A210" s="61" t="s">
        <v>41</v>
      </c>
      <c r="B210" s="6">
        <v>1357</v>
      </c>
      <c r="C210" s="5">
        <v>2.2495938463578793</v>
      </c>
      <c r="D210" s="5"/>
      <c r="E210" s="6">
        <v>1143</v>
      </c>
      <c r="F210" s="5">
        <v>1.9216866457068882</v>
      </c>
      <c r="G210" s="5"/>
      <c r="H210" s="6">
        <v>157</v>
      </c>
      <c r="I210" s="5">
        <v>21.958041958041957</v>
      </c>
      <c r="J210" s="5"/>
      <c r="K210" s="6">
        <v>57</v>
      </c>
      <c r="L210" s="5">
        <v>44.431249999999999</v>
      </c>
      <c r="M210" s="5"/>
    </row>
    <row r="211" spans="1:13" ht="14.1" customHeight="1" x14ac:dyDescent="0.25">
      <c r="A211" s="61" t="s">
        <v>42</v>
      </c>
      <c r="B211" s="6">
        <v>47</v>
      </c>
      <c r="C211" s="5">
        <v>7.7915188488445336E-2</v>
      </c>
      <c r="D211" s="5"/>
      <c r="E211" s="6">
        <v>44</v>
      </c>
      <c r="F211" s="5">
        <v>7.397568889860287E-2</v>
      </c>
      <c r="G211" s="5"/>
      <c r="H211" s="6">
        <v>2</v>
      </c>
      <c r="I211" s="5">
        <v>0.27972027972027974</v>
      </c>
      <c r="J211" s="5"/>
      <c r="K211" s="6">
        <v>1</v>
      </c>
      <c r="L211" s="5">
        <v>0.78125</v>
      </c>
      <c r="M211" s="5"/>
    </row>
    <row r="212" spans="1:13" ht="14.1" customHeight="1" x14ac:dyDescent="0.25">
      <c r="A212" s="61" t="s">
        <v>43</v>
      </c>
      <c r="B212" s="6">
        <v>764</v>
      </c>
      <c r="C212" s="5">
        <v>1.2665362554291966</v>
      </c>
      <c r="D212" s="5"/>
      <c r="E212" s="6">
        <v>631</v>
      </c>
      <c r="F212" s="5">
        <v>1.0608786294322365</v>
      </c>
      <c r="G212" s="5"/>
      <c r="H212" s="6">
        <v>106</v>
      </c>
      <c r="I212" s="5">
        <v>14.825174825174825</v>
      </c>
      <c r="J212" s="5"/>
      <c r="K212" s="6">
        <v>27</v>
      </c>
      <c r="L212" s="5">
        <v>21.09375</v>
      </c>
      <c r="M212" s="5"/>
    </row>
    <row r="213" spans="1:13" ht="14.1" customHeight="1" x14ac:dyDescent="0.25">
      <c r="A213" s="61" t="s">
        <v>44</v>
      </c>
      <c r="B213" s="6">
        <v>2950</v>
      </c>
      <c r="C213" s="5">
        <v>4.8904214051258252</v>
      </c>
      <c r="D213" s="5"/>
      <c r="E213" s="6">
        <v>2644</v>
      </c>
      <c r="F213" s="5">
        <v>4.4452663965433183</v>
      </c>
      <c r="G213" s="5"/>
      <c r="H213" s="6">
        <v>272</v>
      </c>
      <c r="I213" s="5">
        <v>38.04195804195804</v>
      </c>
      <c r="J213" s="5"/>
      <c r="K213" s="6">
        <v>34</v>
      </c>
      <c r="L213" s="5">
        <v>26.5625</v>
      </c>
      <c r="M213" s="5"/>
    </row>
    <row r="214" spans="1:13" ht="14.1" customHeight="1" x14ac:dyDescent="0.25">
      <c r="A214" s="61" t="s">
        <v>45</v>
      </c>
      <c r="B214" s="6">
        <v>30</v>
      </c>
      <c r="C214" s="5">
        <v>4.9733099035177884E-2</v>
      </c>
      <c r="D214" s="5"/>
      <c r="E214" s="6">
        <v>26</v>
      </c>
      <c r="F214" s="5">
        <v>4.3712907076447149E-2</v>
      </c>
      <c r="G214" s="5"/>
      <c r="H214" s="6">
        <v>2</v>
      </c>
      <c r="I214" s="5">
        <v>0.27972027972027974</v>
      </c>
      <c r="J214" s="5"/>
      <c r="K214" s="6">
        <v>2</v>
      </c>
      <c r="L214" s="5">
        <v>1.5625</v>
      </c>
      <c r="M214" s="5"/>
    </row>
    <row r="215" spans="1:13" ht="18" hidden="1" customHeight="1" x14ac:dyDescent="0.25">
      <c r="A215" s="61" t="s">
        <v>46</v>
      </c>
      <c r="B215" s="6">
        <v>11</v>
      </c>
      <c r="C215" s="5">
        <v>1.8235469646231888E-2</v>
      </c>
      <c r="D215" s="5"/>
      <c r="E215" s="6">
        <v>10</v>
      </c>
      <c r="F215" s="5">
        <v>1.6812656567864289E-2</v>
      </c>
      <c r="G215" s="5"/>
      <c r="H215" s="6">
        <v>1</v>
      </c>
      <c r="I215" s="5">
        <v>0.13986013986013987</v>
      </c>
      <c r="J215" s="5"/>
      <c r="K215" s="3" t="s">
        <v>96</v>
      </c>
      <c r="L215" s="3" t="s">
        <v>96</v>
      </c>
      <c r="M215" s="5"/>
    </row>
    <row r="216" spans="1:13" ht="14.1" customHeight="1" x14ac:dyDescent="0.25">
      <c r="A216" s="61" t="s">
        <v>47</v>
      </c>
      <c r="B216" s="6">
        <v>28</v>
      </c>
      <c r="C216" s="5">
        <v>4.641755909949935E-2</v>
      </c>
      <c r="D216" s="5"/>
      <c r="E216" s="6">
        <v>27</v>
      </c>
      <c r="F216" s="5">
        <v>4.5394172733233581E-2</v>
      </c>
      <c r="G216" s="5"/>
      <c r="H216" s="6">
        <v>1</v>
      </c>
      <c r="I216" s="5">
        <v>0.13986013986013987</v>
      </c>
      <c r="J216" s="5"/>
      <c r="K216" s="3" t="s">
        <v>96</v>
      </c>
      <c r="L216" s="3" t="s">
        <v>96</v>
      </c>
      <c r="M216" s="5"/>
    </row>
    <row r="217" spans="1:13" ht="14.1" customHeight="1" x14ac:dyDescent="0.25">
      <c r="A217" s="68"/>
      <c r="B217" s="9"/>
      <c r="C217" s="15"/>
      <c r="D217" s="15"/>
      <c r="E217" s="9"/>
      <c r="F217" s="15"/>
      <c r="G217" s="15"/>
      <c r="H217" s="9"/>
      <c r="I217" s="15"/>
      <c r="J217" s="15"/>
      <c r="K217" s="9"/>
      <c r="L217" s="15"/>
      <c r="M217" s="15"/>
    </row>
    <row r="218" spans="1:13" ht="14.1" customHeight="1" x14ac:dyDescent="0.25">
      <c r="A218" s="63" t="s">
        <v>5</v>
      </c>
      <c r="B218" s="9">
        <v>32371</v>
      </c>
      <c r="C218" s="15">
        <v>100</v>
      </c>
      <c r="D218" s="15"/>
      <c r="E218" s="9">
        <v>31622</v>
      </c>
      <c r="F218" s="15">
        <v>100</v>
      </c>
      <c r="G218" s="15"/>
      <c r="H218" s="9">
        <v>652</v>
      </c>
      <c r="I218" s="15">
        <v>100</v>
      </c>
      <c r="J218" s="15"/>
      <c r="K218" s="9">
        <v>97</v>
      </c>
      <c r="L218" s="15">
        <v>100</v>
      </c>
      <c r="M218" s="15"/>
    </row>
    <row r="219" spans="1:13" ht="14.1" customHeight="1" x14ac:dyDescent="0.25">
      <c r="A219" s="61" t="s">
        <v>40</v>
      </c>
      <c r="B219" s="6">
        <v>27549</v>
      </c>
      <c r="C219" s="5">
        <v>85.103951067313332</v>
      </c>
      <c r="D219" s="5"/>
      <c r="E219" s="6">
        <v>27371</v>
      </c>
      <c r="F219" s="5">
        <v>86.556827525140719</v>
      </c>
      <c r="G219" s="5"/>
      <c r="H219" s="6">
        <v>164</v>
      </c>
      <c r="I219" s="5">
        <v>25.153374233128833</v>
      </c>
      <c r="J219" s="5"/>
      <c r="K219" s="6">
        <v>14</v>
      </c>
      <c r="L219" s="5">
        <v>14.432989690721648</v>
      </c>
      <c r="M219" s="5"/>
    </row>
    <row r="220" spans="1:13" ht="14.1" customHeight="1" x14ac:dyDescent="0.25">
      <c r="A220" s="61" t="s">
        <v>41</v>
      </c>
      <c r="B220" s="6">
        <v>1482</v>
      </c>
      <c r="C220" s="5">
        <v>4.5781718204565811</v>
      </c>
      <c r="D220" s="5"/>
      <c r="E220" s="6">
        <v>1315</v>
      </c>
      <c r="F220" s="5">
        <v>4.1584972487508693</v>
      </c>
      <c r="G220" s="5"/>
      <c r="H220" s="6">
        <v>137</v>
      </c>
      <c r="I220" s="5">
        <v>21.012269938650306</v>
      </c>
      <c r="J220" s="5"/>
      <c r="K220" s="6">
        <v>30</v>
      </c>
      <c r="L220" s="5">
        <v>31.027835051546393</v>
      </c>
      <c r="M220" s="5"/>
    </row>
    <row r="221" spans="1:13" ht="14.1" customHeight="1" x14ac:dyDescent="0.25">
      <c r="A221" s="61" t="s">
        <v>42</v>
      </c>
      <c r="B221" s="6">
        <v>12</v>
      </c>
      <c r="C221" s="5">
        <v>3.7070217169688918E-2</v>
      </c>
      <c r="D221" s="5"/>
      <c r="E221" s="6">
        <v>9</v>
      </c>
      <c r="F221" s="5">
        <v>2.8461197900196064E-2</v>
      </c>
      <c r="G221" s="5"/>
      <c r="H221" s="6">
        <v>3</v>
      </c>
      <c r="I221" s="5">
        <v>0.46012269938650308</v>
      </c>
      <c r="J221" s="5"/>
      <c r="K221" s="3" t="s">
        <v>96</v>
      </c>
      <c r="L221" s="16" t="s">
        <v>96</v>
      </c>
      <c r="M221" s="5"/>
    </row>
    <row r="222" spans="1:13" ht="14.1" customHeight="1" x14ac:dyDescent="0.25">
      <c r="A222" s="61" t="s">
        <v>43</v>
      </c>
      <c r="B222" s="6">
        <v>829</v>
      </c>
      <c r="C222" s="5">
        <v>2.5609341694726764</v>
      </c>
      <c r="D222" s="5"/>
      <c r="E222" s="6">
        <v>696</v>
      </c>
      <c r="F222" s="5">
        <v>2.2009993042818294</v>
      </c>
      <c r="G222" s="5"/>
      <c r="H222" s="6">
        <v>114</v>
      </c>
      <c r="I222" s="5">
        <v>17.484662576687114</v>
      </c>
      <c r="J222" s="5"/>
      <c r="K222" s="3">
        <v>19</v>
      </c>
      <c r="L222" s="16">
        <v>19.587628865979383</v>
      </c>
      <c r="M222" s="5"/>
    </row>
    <row r="223" spans="1:13" ht="14.1" customHeight="1" x14ac:dyDescent="0.25">
      <c r="A223" s="61" t="s">
        <v>44</v>
      </c>
      <c r="B223" s="6">
        <v>2335</v>
      </c>
      <c r="C223" s="5">
        <v>7.2132464242686352</v>
      </c>
      <c r="D223" s="5"/>
      <c r="E223" s="6">
        <v>2069</v>
      </c>
      <c r="F223" s="5">
        <v>6.5429131617228506</v>
      </c>
      <c r="G223" s="5"/>
      <c r="H223" s="6">
        <v>233</v>
      </c>
      <c r="I223" s="5">
        <v>35.636196319018403</v>
      </c>
      <c r="J223" s="5"/>
      <c r="K223" s="3">
        <v>33</v>
      </c>
      <c r="L223" s="16">
        <v>34.020618556701031</v>
      </c>
      <c r="M223" s="5"/>
    </row>
    <row r="224" spans="1:13" ht="14.1" customHeight="1" x14ac:dyDescent="0.25">
      <c r="A224" s="61" t="s">
        <v>45</v>
      </c>
      <c r="B224" s="6">
        <v>123</v>
      </c>
      <c r="C224" s="5">
        <v>0.37996972598931145</v>
      </c>
      <c r="D224" s="5"/>
      <c r="E224" s="6">
        <v>123</v>
      </c>
      <c r="F224" s="5">
        <v>0.38896970463601288</v>
      </c>
      <c r="G224" s="5"/>
      <c r="H224" s="3" t="s">
        <v>96</v>
      </c>
      <c r="I224" s="3" t="s">
        <v>96</v>
      </c>
      <c r="J224" s="3"/>
      <c r="K224" s="3" t="s">
        <v>96</v>
      </c>
      <c r="L224" s="16" t="s">
        <v>96</v>
      </c>
      <c r="M224" s="5"/>
    </row>
    <row r="225" spans="1:13" ht="11.25" hidden="1" customHeight="1" x14ac:dyDescent="0.25">
      <c r="A225" s="61" t="s">
        <v>46</v>
      </c>
      <c r="B225" s="6">
        <v>23</v>
      </c>
      <c r="C225" s="5">
        <v>7.1051249575237091E-2</v>
      </c>
      <c r="D225" s="5"/>
      <c r="E225" s="6">
        <v>22</v>
      </c>
      <c r="F225" s="5">
        <v>6.957181708936816E-2</v>
      </c>
      <c r="G225" s="5"/>
      <c r="H225" s="6">
        <v>1</v>
      </c>
      <c r="I225" s="5">
        <v>0.15337423312883436</v>
      </c>
      <c r="J225" s="5"/>
      <c r="K225" s="3" t="s">
        <v>96</v>
      </c>
      <c r="L225" s="16" t="s">
        <v>96</v>
      </c>
      <c r="M225" s="5"/>
    </row>
    <row r="226" spans="1:13" ht="14.1" customHeight="1" x14ac:dyDescent="0.25">
      <c r="A226" s="61" t="s">
        <v>47</v>
      </c>
      <c r="B226" s="6">
        <v>41</v>
      </c>
      <c r="C226" s="5">
        <v>0.12665657532977048</v>
      </c>
      <c r="D226" s="5"/>
      <c r="E226" s="6">
        <v>39</v>
      </c>
      <c r="F226" s="5">
        <v>0.12333185756751629</v>
      </c>
      <c r="G226" s="5"/>
      <c r="H226" s="6">
        <v>1</v>
      </c>
      <c r="I226" s="5">
        <v>0.15337423312883436</v>
      </c>
      <c r="J226" s="5"/>
      <c r="K226" s="3">
        <v>1</v>
      </c>
      <c r="L226" s="16">
        <v>1.0309278350515463</v>
      </c>
      <c r="M226" s="5"/>
    </row>
    <row r="227" spans="1:13" ht="14.1" customHeight="1" x14ac:dyDescent="0.25">
      <c r="A227" s="68"/>
      <c r="B227" s="9"/>
      <c r="C227" s="15"/>
      <c r="D227" s="15"/>
      <c r="E227" s="9"/>
      <c r="F227" s="15"/>
      <c r="G227" s="15"/>
      <c r="H227" s="9"/>
      <c r="I227" s="15"/>
      <c r="J227" s="15"/>
      <c r="K227" s="9"/>
      <c r="L227" s="15"/>
      <c r="M227" s="15"/>
    </row>
    <row r="228" spans="1:13" ht="14.1" customHeight="1" x14ac:dyDescent="0.25">
      <c r="A228" s="63" t="s">
        <v>4</v>
      </c>
      <c r="B228" s="9">
        <v>27693</v>
      </c>
      <c r="C228" s="15">
        <v>100</v>
      </c>
      <c r="D228" s="15"/>
      <c r="E228" s="9">
        <v>26943</v>
      </c>
      <c r="F228" s="15">
        <v>100</v>
      </c>
      <c r="G228" s="15"/>
      <c r="H228" s="9">
        <v>636</v>
      </c>
      <c r="I228" s="15">
        <v>100</v>
      </c>
      <c r="J228" s="15"/>
      <c r="K228" s="9">
        <v>114</v>
      </c>
      <c r="L228" s="15">
        <v>100</v>
      </c>
      <c r="M228" s="15"/>
    </row>
    <row r="229" spans="1:13" ht="14.1" customHeight="1" x14ac:dyDescent="0.25">
      <c r="A229" s="61" t="s">
        <v>40</v>
      </c>
      <c r="B229" s="6">
        <v>23677</v>
      </c>
      <c r="C229" s="5">
        <v>85.49814032426967</v>
      </c>
      <c r="D229" s="5"/>
      <c r="E229" s="6">
        <v>23559</v>
      </c>
      <c r="F229" s="5">
        <v>87.440151430798352</v>
      </c>
      <c r="G229" s="5"/>
      <c r="H229" s="6">
        <v>114</v>
      </c>
      <c r="I229" s="5">
        <v>17.924528301886792</v>
      </c>
      <c r="J229" s="5"/>
      <c r="K229" s="6">
        <v>4</v>
      </c>
      <c r="L229" s="5">
        <v>3.5087719298245612</v>
      </c>
      <c r="M229" s="5"/>
    </row>
    <row r="230" spans="1:13" ht="14.1" customHeight="1" x14ac:dyDescent="0.25">
      <c r="A230" s="61" t="s">
        <v>41</v>
      </c>
      <c r="B230" s="6">
        <v>1799</v>
      </c>
      <c r="C230" s="5">
        <v>6.496226483226808</v>
      </c>
      <c r="D230" s="5"/>
      <c r="E230" s="6">
        <v>1500</v>
      </c>
      <c r="F230" s="5">
        <v>5.567308762943993</v>
      </c>
      <c r="G230" s="5"/>
      <c r="H230" s="6">
        <v>238</v>
      </c>
      <c r="I230" s="5">
        <v>37.521383647798743</v>
      </c>
      <c r="J230" s="5"/>
      <c r="K230" s="6">
        <v>61</v>
      </c>
      <c r="L230" s="5">
        <v>53.40877192982456</v>
      </c>
      <c r="M230" s="5"/>
    </row>
    <row r="231" spans="1:13" ht="14.1" customHeight="1" x14ac:dyDescent="0.25">
      <c r="A231" s="61" t="s">
        <v>42</v>
      </c>
      <c r="B231" s="6">
        <v>20</v>
      </c>
      <c r="C231" s="5">
        <v>7.222041671180443E-2</v>
      </c>
      <c r="D231" s="5"/>
      <c r="E231" s="6">
        <v>18</v>
      </c>
      <c r="F231" s="5">
        <v>6.6807705155327912E-2</v>
      </c>
      <c r="G231" s="5"/>
      <c r="H231" s="6">
        <v>2</v>
      </c>
      <c r="I231" s="5">
        <v>0.31446540880503149</v>
      </c>
      <c r="J231" s="5"/>
      <c r="K231" s="3" t="s">
        <v>96</v>
      </c>
      <c r="L231" s="3" t="s">
        <v>96</v>
      </c>
      <c r="M231" s="5"/>
    </row>
    <row r="232" spans="1:13" ht="14.1" customHeight="1" x14ac:dyDescent="0.25">
      <c r="A232" s="61" t="s">
        <v>43</v>
      </c>
      <c r="B232" s="6">
        <v>229</v>
      </c>
      <c r="C232" s="5">
        <v>0.82692377135016071</v>
      </c>
      <c r="D232" s="5"/>
      <c r="E232" s="6">
        <v>171</v>
      </c>
      <c r="F232" s="5">
        <v>0.63467319897561514</v>
      </c>
      <c r="G232" s="5"/>
      <c r="H232" s="6">
        <v>44</v>
      </c>
      <c r="I232" s="5">
        <v>6.9182389937106921</v>
      </c>
      <c r="J232" s="5"/>
      <c r="K232" s="6">
        <v>14</v>
      </c>
      <c r="L232" s="5">
        <v>12.280701754385964</v>
      </c>
      <c r="M232" s="5"/>
    </row>
    <row r="233" spans="1:13" ht="14.1" customHeight="1" x14ac:dyDescent="0.25">
      <c r="A233" s="61" t="s">
        <v>44</v>
      </c>
      <c r="B233" s="6">
        <v>1871</v>
      </c>
      <c r="C233" s="5">
        <v>6.756219983389304</v>
      </c>
      <c r="D233" s="5"/>
      <c r="E233" s="6">
        <v>1615</v>
      </c>
      <c r="F233" s="5">
        <v>5.9941357681030327</v>
      </c>
      <c r="G233" s="5"/>
      <c r="H233" s="6">
        <v>228</v>
      </c>
      <c r="I233" s="5">
        <v>35.949056603773585</v>
      </c>
      <c r="J233" s="5"/>
      <c r="K233" s="6">
        <v>28</v>
      </c>
      <c r="L233" s="5">
        <v>24.561403508771928</v>
      </c>
      <c r="M233" s="5"/>
    </row>
    <row r="234" spans="1:13" ht="25.5" customHeight="1" x14ac:dyDescent="0.25">
      <c r="A234" s="61" t="s">
        <v>45</v>
      </c>
      <c r="B234" s="6">
        <v>68</v>
      </c>
      <c r="C234" s="5">
        <v>0.24554941682013504</v>
      </c>
      <c r="D234" s="5"/>
      <c r="E234" s="6">
        <v>57</v>
      </c>
      <c r="F234" s="5">
        <v>0.21155773299187172</v>
      </c>
      <c r="G234" s="5"/>
      <c r="H234" s="6">
        <v>6</v>
      </c>
      <c r="I234" s="5">
        <v>0.94339622641509435</v>
      </c>
      <c r="J234" s="5"/>
      <c r="K234" s="6">
        <v>5</v>
      </c>
      <c r="L234" s="5">
        <v>4.3859649122807012</v>
      </c>
      <c r="M234" s="5"/>
    </row>
    <row r="235" spans="1:13" ht="14.25" hidden="1" customHeight="1" x14ac:dyDescent="0.25">
      <c r="A235" s="61" t="s">
        <v>46</v>
      </c>
      <c r="B235" s="6">
        <v>16</v>
      </c>
      <c r="C235" s="5">
        <v>5.7776333369443537E-2</v>
      </c>
      <c r="D235" s="5"/>
      <c r="E235" s="6">
        <v>12</v>
      </c>
      <c r="F235" s="5">
        <v>4.4538470103551941E-2</v>
      </c>
      <c r="G235" s="5"/>
      <c r="H235" s="6">
        <v>2</v>
      </c>
      <c r="I235" s="5">
        <v>0.31446540880503149</v>
      </c>
      <c r="J235" s="5"/>
      <c r="K235" s="6">
        <v>2</v>
      </c>
      <c r="L235" s="5">
        <v>1.7543859649122806</v>
      </c>
      <c r="M235" s="5"/>
    </row>
    <row r="236" spans="1:13" ht="14.1" customHeight="1" x14ac:dyDescent="0.25">
      <c r="A236" s="61" t="s">
        <v>47</v>
      </c>
      <c r="B236" s="6">
        <v>29</v>
      </c>
      <c r="C236" s="5">
        <v>0.10471960423211642</v>
      </c>
      <c r="D236" s="5"/>
      <c r="E236" s="6">
        <v>23</v>
      </c>
      <c r="F236" s="5">
        <v>8.5365401031807897E-2</v>
      </c>
      <c r="G236" s="5"/>
      <c r="H236" s="6">
        <v>4</v>
      </c>
      <c r="I236" s="5">
        <v>0.62893081761006298</v>
      </c>
      <c r="J236" s="5"/>
      <c r="K236" s="6">
        <v>2</v>
      </c>
      <c r="L236" s="5">
        <v>1.7543859649122806</v>
      </c>
      <c r="M236" s="5"/>
    </row>
    <row r="237" spans="1:13" ht="14.1" customHeight="1" x14ac:dyDescent="0.25">
      <c r="A237" s="68"/>
      <c r="B237" s="9"/>
      <c r="C237" s="15"/>
      <c r="D237" s="15"/>
      <c r="E237" s="9"/>
      <c r="F237" s="15"/>
      <c r="G237" s="15"/>
      <c r="H237" s="9"/>
      <c r="I237" s="15"/>
      <c r="J237" s="15"/>
      <c r="K237" s="9"/>
      <c r="L237" s="15"/>
      <c r="M237" s="15"/>
    </row>
    <row r="238" spans="1:13" ht="14.1" customHeight="1" x14ac:dyDescent="0.25">
      <c r="A238" s="63" t="s">
        <v>3</v>
      </c>
      <c r="B238" s="9">
        <v>21839</v>
      </c>
      <c r="C238" s="15">
        <v>100</v>
      </c>
      <c r="D238" s="15"/>
      <c r="E238" s="9">
        <v>21440</v>
      </c>
      <c r="F238" s="15">
        <v>100</v>
      </c>
      <c r="G238" s="15"/>
      <c r="H238" s="9">
        <v>342</v>
      </c>
      <c r="I238" s="15">
        <v>100</v>
      </c>
      <c r="J238" s="15"/>
      <c r="K238" s="9">
        <v>57</v>
      </c>
      <c r="L238" s="15">
        <v>100</v>
      </c>
      <c r="M238" s="15"/>
    </row>
    <row r="239" spans="1:13" ht="14.1" customHeight="1" x14ac:dyDescent="0.25">
      <c r="A239" s="61" t="s">
        <v>40</v>
      </c>
      <c r="B239" s="6">
        <v>18280</v>
      </c>
      <c r="C239" s="5">
        <v>83.703466275928378</v>
      </c>
      <c r="D239" s="5"/>
      <c r="E239" s="6">
        <v>18228</v>
      </c>
      <c r="F239" s="5">
        <v>85.018656716417908</v>
      </c>
      <c r="G239" s="5"/>
      <c r="H239" s="6">
        <v>52</v>
      </c>
      <c r="I239" s="5">
        <v>15.204678362573098</v>
      </c>
      <c r="J239" s="5"/>
      <c r="K239" s="3" t="s">
        <v>96</v>
      </c>
      <c r="L239" s="16" t="s">
        <v>96</v>
      </c>
      <c r="M239" s="5"/>
    </row>
    <row r="240" spans="1:13" ht="14.1" customHeight="1" x14ac:dyDescent="0.25">
      <c r="A240" s="61" t="s">
        <v>41</v>
      </c>
      <c r="B240" s="6">
        <v>917</v>
      </c>
      <c r="C240" s="5">
        <v>4.1989102065112878</v>
      </c>
      <c r="D240" s="5"/>
      <c r="E240" s="6">
        <v>771</v>
      </c>
      <c r="F240" s="5">
        <v>3.596082089552239</v>
      </c>
      <c r="G240" s="5"/>
      <c r="H240" s="6">
        <v>111</v>
      </c>
      <c r="I240" s="5">
        <v>32.456140350877192</v>
      </c>
      <c r="J240" s="5"/>
      <c r="K240" s="3">
        <v>35</v>
      </c>
      <c r="L240" s="16">
        <v>61.403508771929829</v>
      </c>
      <c r="M240" s="5"/>
    </row>
    <row r="241" spans="1:14" ht="14.1" customHeight="1" x14ac:dyDescent="0.25">
      <c r="A241" s="61" t="s">
        <v>42</v>
      </c>
      <c r="B241" s="6">
        <v>22</v>
      </c>
      <c r="C241" s="5">
        <v>0.10073721324236456</v>
      </c>
      <c r="D241" s="5"/>
      <c r="E241" s="6">
        <v>21</v>
      </c>
      <c r="F241" s="5">
        <v>9.7947761194029842E-2</v>
      </c>
      <c r="G241" s="5"/>
      <c r="H241" s="6">
        <v>1</v>
      </c>
      <c r="I241" s="5">
        <v>0.29239766081871343</v>
      </c>
      <c r="J241" s="5"/>
      <c r="K241" s="3" t="s">
        <v>96</v>
      </c>
      <c r="L241" s="16" t="s">
        <v>96</v>
      </c>
      <c r="M241" s="5"/>
    </row>
    <row r="242" spans="1:14" ht="14.1" customHeight="1" x14ac:dyDescent="0.25">
      <c r="A242" s="61" t="s">
        <v>43</v>
      </c>
      <c r="B242" s="6">
        <v>393</v>
      </c>
      <c r="C242" s="5">
        <v>1.7995329456476945</v>
      </c>
      <c r="D242" s="5"/>
      <c r="E242" s="6">
        <v>355</v>
      </c>
      <c r="F242" s="5">
        <v>1.6557835820895521</v>
      </c>
      <c r="G242" s="5"/>
      <c r="H242" s="6">
        <v>31</v>
      </c>
      <c r="I242" s="5">
        <v>9.064327485380117</v>
      </c>
      <c r="J242" s="5"/>
      <c r="K242" s="3">
        <v>7</v>
      </c>
      <c r="L242" s="16">
        <v>12.280701754385964</v>
      </c>
      <c r="M242" s="5"/>
    </row>
    <row r="243" spans="1:14" ht="14.1" customHeight="1" x14ac:dyDescent="0.25">
      <c r="A243" s="61" t="s">
        <v>44</v>
      </c>
      <c r="B243" s="6">
        <v>2200</v>
      </c>
      <c r="C243" s="5">
        <v>10.073721324236457</v>
      </c>
      <c r="D243" s="5"/>
      <c r="E243" s="6">
        <v>2038</v>
      </c>
      <c r="F243" s="5">
        <v>9.5055970149253746</v>
      </c>
      <c r="G243" s="5"/>
      <c r="H243" s="6">
        <v>147</v>
      </c>
      <c r="I243" s="5">
        <v>42.882456140350875</v>
      </c>
      <c r="J243" s="5"/>
      <c r="K243" s="3">
        <v>15</v>
      </c>
      <c r="L243" s="16">
        <v>26.315789473684209</v>
      </c>
      <c r="M243" s="5"/>
    </row>
    <row r="244" spans="1:14" ht="14.1" customHeight="1" x14ac:dyDescent="0.25">
      <c r="A244" s="61" t="s">
        <v>45</v>
      </c>
      <c r="B244" s="6">
        <v>18</v>
      </c>
      <c r="C244" s="5">
        <v>8.2421356289207381E-2</v>
      </c>
      <c r="D244" s="5"/>
      <c r="E244" s="6">
        <v>18</v>
      </c>
      <c r="F244" s="5">
        <v>8.3955223880597007E-2</v>
      </c>
      <c r="G244" s="5"/>
      <c r="H244" s="3" t="s">
        <v>96</v>
      </c>
      <c r="I244" s="3" t="s">
        <v>96</v>
      </c>
      <c r="J244" s="5"/>
      <c r="K244" s="3" t="s">
        <v>96</v>
      </c>
      <c r="L244" s="16" t="s">
        <v>96</v>
      </c>
      <c r="M244" s="5"/>
    </row>
    <row r="245" spans="1:14" ht="12" hidden="1" customHeight="1" x14ac:dyDescent="0.25">
      <c r="A245" s="61" t="s">
        <v>46</v>
      </c>
      <c r="B245" s="6">
        <v>3</v>
      </c>
      <c r="C245" s="5">
        <v>1.3736892714867898E-2</v>
      </c>
      <c r="D245" s="5"/>
      <c r="E245" s="6">
        <v>3</v>
      </c>
      <c r="F245" s="5">
        <v>1.3992537313432836E-2</v>
      </c>
      <c r="G245" s="5"/>
      <c r="H245" s="3" t="s">
        <v>96</v>
      </c>
      <c r="I245" s="3" t="s">
        <v>96</v>
      </c>
      <c r="J245" s="5"/>
      <c r="K245" s="3" t="s">
        <v>96</v>
      </c>
      <c r="L245" s="16" t="s">
        <v>96</v>
      </c>
      <c r="M245" s="5"/>
    </row>
    <row r="246" spans="1:14" ht="14.1" customHeight="1" x14ac:dyDescent="0.25">
      <c r="A246" s="61" t="s">
        <v>47</v>
      </c>
      <c r="B246" s="6">
        <v>9</v>
      </c>
      <c r="C246" s="5">
        <v>4.1210678144603691E-2</v>
      </c>
      <c r="D246" s="5"/>
      <c r="E246" s="6">
        <v>9</v>
      </c>
      <c r="F246" s="5">
        <v>4.1977611940298511E-2</v>
      </c>
      <c r="G246" s="5"/>
      <c r="H246" s="3" t="s">
        <v>96</v>
      </c>
      <c r="I246" s="3" t="s">
        <v>96</v>
      </c>
      <c r="J246" s="5"/>
      <c r="K246" s="3" t="s">
        <v>96</v>
      </c>
      <c r="L246" s="16" t="s">
        <v>96</v>
      </c>
      <c r="M246" s="5"/>
    </row>
    <row r="247" spans="1:14" ht="14.1" customHeight="1" x14ac:dyDescent="0.25">
      <c r="A247" s="61"/>
      <c r="B247" s="6"/>
      <c r="C247" s="5"/>
      <c r="D247" s="5"/>
      <c r="E247" s="6"/>
      <c r="F247" s="5"/>
      <c r="G247" s="5"/>
      <c r="H247" s="6"/>
      <c r="I247" s="5"/>
      <c r="J247" s="5"/>
      <c r="K247" s="6"/>
      <c r="L247" s="5"/>
      <c r="M247" s="5"/>
    </row>
    <row r="248" spans="1:14" ht="14.1" customHeight="1" x14ac:dyDescent="0.25">
      <c r="A248" s="63" t="s">
        <v>2</v>
      </c>
      <c r="B248" s="9">
        <v>11065</v>
      </c>
      <c r="C248" s="15">
        <v>100</v>
      </c>
      <c r="D248" s="15"/>
      <c r="E248" s="9">
        <v>10921</v>
      </c>
      <c r="F248" s="15">
        <v>100</v>
      </c>
      <c r="G248" s="15"/>
      <c r="H248" s="9">
        <v>133</v>
      </c>
      <c r="I248" s="15">
        <v>100</v>
      </c>
      <c r="J248" s="15"/>
      <c r="K248" s="9">
        <v>11</v>
      </c>
      <c r="L248" s="15">
        <v>100</v>
      </c>
      <c r="M248" s="15"/>
    </row>
    <row r="249" spans="1:14" ht="14.1" customHeight="1" x14ac:dyDescent="0.25">
      <c r="A249" s="61" t="s">
        <v>40</v>
      </c>
      <c r="B249" s="6">
        <v>10251</v>
      </c>
      <c r="C249" s="5">
        <v>92.743470402168995</v>
      </c>
      <c r="D249" s="5"/>
      <c r="E249" s="6">
        <v>10220</v>
      </c>
      <c r="F249" s="5">
        <v>93.68117388517534</v>
      </c>
      <c r="G249" s="5"/>
      <c r="H249" s="6">
        <v>30</v>
      </c>
      <c r="I249" s="5">
        <v>22.556390977443609</v>
      </c>
      <c r="J249" s="5"/>
      <c r="K249" s="6">
        <v>1</v>
      </c>
      <c r="L249" s="5">
        <v>9.0909090909090917</v>
      </c>
      <c r="M249" s="5"/>
    </row>
    <row r="250" spans="1:14" ht="14.1" customHeight="1" x14ac:dyDescent="0.25">
      <c r="A250" s="61" t="s">
        <v>41</v>
      </c>
      <c r="B250" s="6">
        <v>161</v>
      </c>
      <c r="C250" s="5">
        <v>1.4550384093990059</v>
      </c>
      <c r="D250" s="5"/>
      <c r="E250" s="6">
        <v>146</v>
      </c>
      <c r="F250" s="5">
        <v>1.3368739126453622</v>
      </c>
      <c r="G250" s="5"/>
      <c r="H250" s="6">
        <v>13</v>
      </c>
      <c r="I250" s="5">
        <v>9.7744360902255636</v>
      </c>
      <c r="J250" s="5"/>
      <c r="K250" s="6">
        <v>2</v>
      </c>
      <c r="L250" s="5">
        <v>18.181818181818183</v>
      </c>
      <c r="M250" s="5"/>
    </row>
    <row r="251" spans="1:14" ht="14.1" customHeight="1" x14ac:dyDescent="0.25">
      <c r="A251" s="61" t="s">
        <v>42</v>
      </c>
      <c r="B251" s="6">
        <v>15</v>
      </c>
      <c r="C251" s="5">
        <v>0.13556258472661548</v>
      </c>
      <c r="D251" s="5"/>
      <c r="E251" s="6">
        <v>15</v>
      </c>
      <c r="F251" s="5">
        <v>0.1373500595183591</v>
      </c>
      <c r="G251" s="5"/>
      <c r="H251" s="3" t="s">
        <v>96</v>
      </c>
      <c r="I251" s="16" t="s">
        <v>96</v>
      </c>
      <c r="J251" s="5"/>
      <c r="K251" s="3" t="s">
        <v>96</v>
      </c>
      <c r="L251" s="16" t="s">
        <v>96</v>
      </c>
      <c r="M251" s="5"/>
    </row>
    <row r="252" spans="1:14" ht="14.1" customHeight="1" x14ac:dyDescent="0.25">
      <c r="A252" s="61" t="s">
        <v>43</v>
      </c>
      <c r="B252" s="6">
        <v>147</v>
      </c>
      <c r="C252" s="5">
        <v>1.3285133303208314</v>
      </c>
      <c r="D252" s="5"/>
      <c r="E252" s="6">
        <v>120</v>
      </c>
      <c r="F252" s="5">
        <v>1.0988004761468728</v>
      </c>
      <c r="G252" s="5"/>
      <c r="H252" s="3">
        <v>25</v>
      </c>
      <c r="I252" s="16">
        <v>18.796992481203006</v>
      </c>
      <c r="J252" s="5"/>
      <c r="K252" s="3">
        <v>2</v>
      </c>
      <c r="L252" s="16">
        <v>18.181818181818183</v>
      </c>
      <c r="M252" s="5"/>
    </row>
    <row r="253" spans="1:14" ht="14.1" customHeight="1" x14ac:dyDescent="0.25">
      <c r="A253" s="61" t="s">
        <v>44</v>
      </c>
      <c r="B253" s="6">
        <v>485</v>
      </c>
      <c r="C253" s="5">
        <v>4.3831902394938993</v>
      </c>
      <c r="D253" s="5"/>
      <c r="E253" s="6">
        <v>415</v>
      </c>
      <c r="F253" s="5">
        <v>3.800018313341269</v>
      </c>
      <c r="G253" s="5"/>
      <c r="H253" s="3">
        <v>65</v>
      </c>
      <c r="I253" s="16">
        <v>48.772180451127817</v>
      </c>
      <c r="J253" s="5"/>
      <c r="K253" s="3">
        <v>5</v>
      </c>
      <c r="L253" s="16">
        <v>45.354545454545452</v>
      </c>
      <c r="M253" s="5"/>
    </row>
    <row r="254" spans="1:14" ht="14.1" customHeight="1" x14ac:dyDescent="0.25">
      <c r="A254" s="61" t="s">
        <v>45</v>
      </c>
      <c r="B254" s="6">
        <v>2</v>
      </c>
      <c r="C254" s="5">
        <v>1.8075011296882059E-2</v>
      </c>
      <c r="D254" s="5"/>
      <c r="E254" s="6">
        <v>2</v>
      </c>
      <c r="F254" s="5">
        <v>1.831334126911455E-2</v>
      </c>
      <c r="G254" s="5"/>
      <c r="H254" s="3" t="s">
        <v>96</v>
      </c>
      <c r="I254" s="16" t="s">
        <v>96</v>
      </c>
      <c r="J254" s="5"/>
      <c r="K254" s="3" t="s">
        <v>96</v>
      </c>
      <c r="L254" s="16" t="s">
        <v>96</v>
      </c>
      <c r="M254" s="5"/>
    </row>
    <row r="255" spans="1:14" ht="11.25" hidden="1" customHeight="1" x14ac:dyDescent="0.25">
      <c r="A255" s="61" t="s">
        <v>46</v>
      </c>
      <c r="B255" s="6">
        <v>1</v>
      </c>
      <c r="C255" s="5">
        <v>9.0375056484410295E-3</v>
      </c>
      <c r="D255" s="5"/>
      <c r="E255" s="6">
        <v>1</v>
      </c>
      <c r="F255" s="5">
        <v>9.1566706345572752E-3</v>
      </c>
      <c r="G255" s="5"/>
      <c r="H255" s="3" t="s">
        <v>96</v>
      </c>
      <c r="I255" s="16" t="s">
        <v>96</v>
      </c>
      <c r="J255" s="5"/>
      <c r="K255" s="3" t="s">
        <v>96</v>
      </c>
      <c r="L255" s="16" t="s">
        <v>96</v>
      </c>
      <c r="M255" s="5"/>
    </row>
    <row r="256" spans="1:14" ht="14.1" customHeight="1" x14ac:dyDescent="0.25">
      <c r="A256" s="61" t="s">
        <v>47</v>
      </c>
      <c r="B256" s="6">
        <v>4</v>
      </c>
      <c r="C256" s="5">
        <v>3.6150022593764118E-2</v>
      </c>
      <c r="D256" s="5"/>
      <c r="E256" s="6">
        <v>3</v>
      </c>
      <c r="F256" s="5">
        <v>2.7470011903671827E-2</v>
      </c>
      <c r="G256" s="5"/>
      <c r="H256" s="3" t="s">
        <v>96</v>
      </c>
      <c r="I256" s="16" t="s">
        <v>96</v>
      </c>
      <c r="J256" s="5"/>
      <c r="K256" s="6">
        <v>1</v>
      </c>
      <c r="L256" s="5">
        <v>9.0909090909090917</v>
      </c>
      <c r="M256" s="6"/>
      <c r="N256"/>
    </row>
    <row r="257" spans="1:14" ht="14.1" customHeight="1" x14ac:dyDescent="0.25">
      <c r="A257" s="68"/>
      <c r="B257" s="9"/>
      <c r="C257" s="15"/>
      <c r="D257" s="15"/>
      <c r="E257" s="9"/>
      <c r="F257" s="15"/>
      <c r="G257" s="15"/>
      <c r="H257" s="9"/>
      <c r="I257" s="15"/>
      <c r="J257" s="15"/>
      <c r="K257" s="9"/>
      <c r="L257" s="15"/>
      <c r="M257" s="15"/>
    </row>
    <row r="258" spans="1:14" ht="14.1" customHeight="1" x14ac:dyDescent="0.25">
      <c r="A258" s="63" t="s">
        <v>1</v>
      </c>
      <c r="B258" s="9">
        <v>21323</v>
      </c>
      <c r="C258" s="15">
        <v>100</v>
      </c>
      <c r="D258" s="9"/>
      <c r="E258" s="9">
        <v>20689</v>
      </c>
      <c r="F258" s="15">
        <v>100</v>
      </c>
      <c r="G258" s="15"/>
      <c r="H258" s="9">
        <v>541</v>
      </c>
      <c r="I258" s="15">
        <v>100</v>
      </c>
      <c r="J258" s="15"/>
      <c r="K258" s="9">
        <v>93</v>
      </c>
      <c r="L258" s="15">
        <v>100</v>
      </c>
      <c r="M258" s="15"/>
      <c r="N258"/>
    </row>
    <row r="259" spans="1:14" ht="14.1" customHeight="1" x14ac:dyDescent="0.25">
      <c r="A259" s="61" t="s">
        <v>40</v>
      </c>
      <c r="B259" s="6">
        <v>18189</v>
      </c>
      <c r="C259" s="5">
        <v>85.302255780143511</v>
      </c>
      <c r="D259" s="6"/>
      <c r="E259" s="6">
        <v>18061</v>
      </c>
      <c r="F259" s="5">
        <v>87.297597757262309</v>
      </c>
      <c r="G259" s="5"/>
      <c r="H259" s="6">
        <v>122</v>
      </c>
      <c r="I259" s="5">
        <v>22.55083179297597</v>
      </c>
      <c r="J259" s="5"/>
      <c r="K259" s="6">
        <v>6</v>
      </c>
      <c r="L259" s="5">
        <v>6.4516129032258061</v>
      </c>
      <c r="M259" s="5"/>
      <c r="N259"/>
    </row>
    <row r="260" spans="1:14" ht="14.1" customHeight="1" x14ac:dyDescent="0.25">
      <c r="A260" s="61" t="s">
        <v>41</v>
      </c>
      <c r="B260" s="6">
        <v>860</v>
      </c>
      <c r="C260" s="5">
        <v>4.0332035829855082</v>
      </c>
      <c r="D260" s="6"/>
      <c r="E260" s="6">
        <v>666</v>
      </c>
      <c r="F260" s="5">
        <v>3.2191019382280439</v>
      </c>
      <c r="G260" s="5"/>
      <c r="H260" s="6">
        <v>145</v>
      </c>
      <c r="I260" s="5">
        <v>26.702218114602587</v>
      </c>
      <c r="J260" s="5"/>
      <c r="K260" s="6">
        <v>49</v>
      </c>
      <c r="L260" s="5">
        <v>52.588172043010751</v>
      </c>
      <c r="M260" s="5"/>
      <c r="N260"/>
    </row>
    <row r="261" spans="1:14" ht="14.1" customHeight="1" x14ac:dyDescent="0.25">
      <c r="A261" s="61" t="s">
        <v>42</v>
      </c>
      <c r="B261" s="6">
        <v>3</v>
      </c>
      <c r="C261" s="5">
        <v>1.4069314824368054E-2</v>
      </c>
      <c r="D261" s="6"/>
      <c r="E261" s="6">
        <v>3</v>
      </c>
      <c r="F261" s="5">
        <v>1.4500459181207405E-2</v>
      </c>
      <c r="G261" s="5"/>
      <c r="H261" s="3" t="s">
        <v>96</v>
      </c>
      <c r="I261" s="3" t="s">
        <v>96</v>
      </c>
      <c r="J261" s="5"/>
      <c r="K261" s="3" t="s">
        <v>96</v>
      </c>
      <c r="L261" s="3" t="s">
        <v>96</v>
      </c>
      <c r="M261" s="5"/>
      <c r="N261"/>
    </row>
    <row r="262" spans="1:14" ht="14.1" customHeight="1" x14ac:dyDescent="0.25">
      <c r="A262" s="61" t="s">
        <v>43</v>
      </c>
      <c r="B262" s="6">
        <v>346</v>
      </c>
      <c r="C262" s="5">
        <v>1.6226609764104487</v>
      </c>
      <c r="D262" s="6"/>
      <c r="E262" s="6">
        <v>272</v>
      </c>
      <c r="F262" s="5">
        <v>1.3147082990961381</v>
      </c>
      <c r="G262" s="5"/>
      <c r="H262" s="6">
        <v>62</v>
      </c>
      <c r="I262" s="5">
        <v>11.460258780036968</v>
      </c>
      <c r="J262" s="5"/>
      <c r="K262" s="3">
        <v>12</v>
      </c>
      <c r="L262" s="16">
        <v>12.903225806451612</v>
      </c>
      <c r="M262" s="5"/>
      <c r="N262"/>
    </row>
    <row r="263" spans="1:14" ht="14.1" customHeight="1" x14ac:dyDescent="0.25">
      <c r="A263" s="61" t="s">
        <v>44</v>
      </c>
      <c r="B263" s="6">
        <v>1890</v>
      </c>
      <c r="C263" s="5">
        <v>8.8636683393518734</v>
      </c>
      <c r="D263" s="6"/>
      <c r="E263" s="6">
        <v>1658</v>
      </c>
      <c r="F263" s="5">
        <v>8.0139204408139602</v>
      </c>
      <c r="G263" s="5"/>
      <c r="H263" s="6">
        <v>207</v>
      </c>
      <c r="I263" s="5">
        <v>38.162476894639553</v>
      </c>
      <c r="J263" s="5"/>
      <c r="K263" s="3">
        <v>25</v>
      </c>
      <c r="L263" s="16">
        <v>26.881720430107524</v>
      </c>
      <c r="M263" s="5"/>
      <c r="N263"/>
    </row>
    <row r="264" spans="1:14" ht="14.1" customHeight="1" x14ac:dyDescent="0.25">
      <c r="A264" s="61" t="s">
        <v>45</v>
      </c>
      <c r="B264" s="6">
        <v>17</v>
      </c>
      <c r="C264" s="5">
        <v>7.9726117338085642E-2</v>
      </c>
      <c r="D264" s="6"/>
      <c r="E264" s="6">
        <v>13</v>
      </c>
      <c r="F264" s="5">
        <v>6.283532311856542E-2</v>
      </c>
      <c r="G264" s="5"/>
      <c r="H264" s="6">
        <v>3</v>
      </c>
      <c r="I264" s="5">
        <v>0.55452865064695012</v>
      </c>
      <c r="J264" s="5"/>
      <c r="K264" s="3">
        <v>1</v>
      </c>
      <c r="L264" s="16">
        <v>1.0752688172043012</v>
      </c>
      <c r="M264" s="5"/>
      <c r="N264"/>
    </row>
    <row r="265" spans="1:14" ht="23.25" hidden="1" customHeight="1" x14ac:dyDescent="0.25">
      <c r="A265" s="61" t="s">
        <v>46</v>
      </c>
      <c r="B265" s="6">
        <v>7</v>
      </c>
      <c r="C265" s="5">
        <v>3.2828401256858791E-2</v>
      </c>
      <c r="D265" s="6"/>
      <c r="E265" s="6">
        <v>5</v>
      </c>
      <c r="F265" s="5">
        <v>2.4167431968679008E-2</v>
      </c>
      <c r="G265" s="5"/>
      <c r="H265" s="6">
        <v>2</v>
      </c>
      <c r="I265" s="5">
        <v>0.36968576709796674</v>
      </c>
      <c r="J265" s="5"/>
      <c r="K265" s="3" t="s">
        <v>96</v>
      </c>
      <c r="L265" s="3" t="s">
        <v>96</v>
      </c>
      <c r="M265" s="5"/>
      <c r="N265"/>
    </row>
    <row r="266" spans="1:14" ht="14.1" customHeight="1" x14ac:dyDescent="0.25">
      <c r="A266" s="61" t="s">
        <v>47</v>
      </c>
      <c r="B266" s="6">
        <v>18</v>
      </c>
      <c r="C266" s="5">
        <v>8.4415888946208315E-2</v>
      </c>
      <c r="D266" s="6"/>
      <c r="E266" s="6">
        <v>16</v>
      </c>
      <c r="F266" s="5">
        <v>7.7335782299772837E-2</v>
      </c>
      <c r="G266" s="5"/>
      <c r="H266" s="6">
        <v>2</v>
      </c>
      <c r="I266" s="5">
        <v>0.36968576709796674</v>
      </c>
      <c r="J266" s="5"/>
      <c r="K266" s="3" t="s">
        <v>96</v>
      </c>
      <c r="L266" s="3" t="s">
        <v>96</v>
      </c>
      <c r="M266" s="5"/>
      <c r="N266"/>
    </row>
    <row r="267" spans="1:14" ht="19.5" customHeight="1" x14ac:dyDescent="0.25">
      <c r="A267" s="61"/>
      <c r="B267" s="9"/>
      <c r="C267" s="15"/>
      <c r="D267" s="15"/>
      <c r="E267" s="9"/>
      <c r="F267" s="15"/>
      <c r="G267" s="15"/>
      <c r="H267" s="9"/>
      <c r="I267" s="15"/>
      <c r="J267" s="15"/>
      <c r="K267" s="9"/>
      <c r="L267" s="15"/>
      <c r="M267" s="15"/>
    </row>
    <row r="268" spans="1:14" ht="19.5" customHeight="1" x14ac:dyDescent="0.25">
      <c r="A268" s="63" t="s">
        <v>76</v>
      </c>
      <c r="B268" s="9">
        <v>557390</v>
      </c>
      <c r="C268" s="15">
        <v>100</v>
      </c>
      <c r="D268" s="15"/>
      <c r="E268" s="9">
        <v>539081</v>
      </c>
      <c r="F268" s="15">
        <v>100</v>
      </c>
      <c r="G268" s="9"/>
      <c r="H268" s="9">
        <v>14746</v>
      </c>
      <c r="I268" s="15">
        <v>100</v>
      </c>
      <c r="J268" s="15"/>
      <c r="K268" s="9">
        <v>3563</v>
      </c>
      <c r="L268" s="15">
        <v>100</v>
      </c>
      <c r="M268" s="15"/>
    </row>
    <row r="269" spans="1:14" ht="19.5" customHeight="1" x14ac:dyDescent="0.25">
      <c r="A269" s="61" t="s">
        <v>40</v>
      </c>
      <c r="B269" s="6">
        <v>438395</v>
      </c>
      <c r="C269" s="5">
        <v>78.651393099983864</v>
      </c>
      <c r="D269" s="5"/>
      <c r="E269" s="6">
        <v>436757</v>
      </c>
      <c r="F269" s="5">
        <v>81.118807934243648</v>
      </c>
      <c r="G269" s="5"/>
      <c r="H269" s="6">
        <v>1578</v>
      </c>
      <c r="I269" s="5">
        <v>10.701207107012072</v>
      </c>
      <c r="J269" s="5"/>
      <c r="K269" s="6">
        <v>60</v>
      </c>
      <c r="L269" s="5">
        <v>1.6839741790625875</v>
      </c>
      <c r="M269" s="5"/>
    </row>
    <row r="270" spans="1:14" ht="19.5" customHeight="1" x14ac:dyDescent="0.25">
      <c r="A270" s="61" t="s">
        <v>41</v>
      </c>
      <c r="B270" s="6">
        <v>70165</v>
      </c>
      <c r="C270" s="5">
        <v>12.588133981592781</v>
      </c>
      <c r="D270" s="5"/>
      <c r="E270" s="6">
        <v>58510</v>
      </c>
      <c r="F270" s="5">
        <v>10.853656500600096</v>
      </c>
      <c r="G270" s="5"/>
      <c r="H270" s="6">
        <v>8798</v>
      </c>
      <c r="I270" s="5">
        <v>59.663637596636377</v>
      </c>
      <c r="J270" s="5"/>
      <c r="K270" s="6">
        <v>2857</v>
      </c>
      <c r="L270" s="5">
        <v>80.185237159696882</v>
      </c>
      <c r="M270" s="5"/>
    </row>
    <row r="271" spans="1:14" ht="19.5" customHeight="1" x14ac:dyDescent="0.25">
      <c r="A271" s="61" t="s">
        <v>42</v>
      </c>
      <c r="B271" s="6">
        <v>1329</v>
      </c>
      <c r="C271" s="5">
        <v>0.23843269524031646</v>
      </c>
      <c r="D271" s="5"/>
      <c r="E271" s="6">
        <v>1262</v>
      </c>
      <c r="F271" s="5">
        <v>0.23410211081451582</v>
      </c>
      <c r="G271" s="5"/>
      <c r="H271" s="6">
        <v>59</v>
      </c>
      <c r="I271" s="5">
        <v>0.400108504001085</v>
      </c>
      <c r="J271" s="5"/>
      <c r="K271" s="6">
        <v>8</v>
      </c>
      <c r="L271" s="5">
        <v>0.22452989054167838</v>
      </c>
      <c r="M271" s="5"/>
    </row>
    <row r="272" spans="1:14" ht="19.5" customHeight="1" x14ac:dyDescent="0.25">
      <c r="A272" s="61" t="s">
        <v>43</v>
      </c>
      <c r="B272" s="6">
        <v>6683</v>
      </c>
      <c r="C272" s="5">
        <v>1.1989809648540519</v>
      </c>
      <c r="D272" s="5"/>
      <c r="E272" s="6">
        <v>5493</v>
      </c>
      <c r="F272" s="5">
        <v>1.0189563349478092</v>
      </c>
      <c r="G272" s="5"/>
      <c r="H272" s="6">
        <v>914</v>
      </c>
      <c r="I272" s="5">
        <v>6.1982910619829106</v>
      </c>
      <c r="J272" s="5"/>
      <c r="K272" s="6">
        <v>276</v>
      </c>
      <c r="L272" s="5">
        <v>7.7462812236879035</v>
      </c>
      <c r="M272" s="5"/>
    </row>
    <row r="273" spans="1:13" ht="19.5" customHeight="1" x14ac:dyDescent="0.25">
      <c r="A273" s="61" t="s">
        <v>44</v>
      </c>
      <c r="B273" s="6">
        <v>40305</v>
      </c>
      <c r="C273" s="5">
        <v>7.2310231615206586</v>
      </c>
      <c r="D273" s="5"/>
      <c r="E273" s="6">
        <v>36651</v>
      </c>
      <c r="F273" s="5">
        <v>6.798792760271648</v>
      </c>
      <c r="G273" s="5"/>
      <c r="H273" s="6">
        <v>3347</v>
      </c>
      <c r="I273" s="5">
        <v>22.697680726976806</v>
      </c>
      <c r="J273" s="5"/>
      <c r="K273" s="6">
        <v>307</v>
      </c>
      <c r="L273" s="5">
        <v>8.6163345495369068</v>
      </c>
      <c r="M273" s="5"/>
    </row>
    <row r="274" spans="1:13" ht="19.5" customHeight="1" x14ac:dyDescent="0.25">
      <c r="A274" s="61" t="s">
        <v>45</v>
      </c>
      <c r="B274" s="6">
        <v>145</v>
      </c>
      <c r="C274" s="5">
        <v>2.6014101437054845E-2</v>
      </c>
      <c r="D274" s="5"/>
      <c r="E274" s="6">
        <v>139</v>
      </c>
      <c r="F274" s="5">
        <v>2.5784622348033043E-2</v>
      </c>
      <c r="G274" s="5"/>
      <c r="H274" s="6">
        <v>3</v>
      </c>
      <c r="I274" s="5">
        <v>2.0344500203445002E-2</v>
      </c>
      <c r="J274" s="5"/>
      <c r="K274" s="6">
        <v>3</v>
      </c>
      <c r="L274" s="5">
        <v>8.4198708953129378E-2</v>
      </c>
      <c r="M274" s="5"/>
    </row>
    <row r="275" spans="1:13" ht="14.25" hidden="1" customHeight="1" x14ac:dyDescent="0.25">
      <c r="A275" s="61" t="s">
        <v>46</v>
      </c>
      <c r="B275" s="6">
        <v>48</v>
      </c>
      <c r="C275" s="5">
        <v>8.6115646136457422E-3</v>
      </c>
      <c r="D275" s="5"/>
      <c r="E275" s="6">
        <v>42</v>
      </c>
      <c r="F275" s="5">
        <v>7.7910369684704162E-3</v>
      </c>
      <c r="G275" s="5"/>
      <c r="H275" s="6">
        <v>5</v>
      </c>
      <c r="I275" s="5">
        <v>3.3907500339075004E-2</v>
      </c>
      <c r="J275" s="5"/>
      <c r="K275" s="6">
        <v>1</v>
      </c>
      <c r="L275" s="5">
        <v>2.8066236317709797E-2</v>
      </c>
      <c r="M275" s="5"/>
    </row>
    <row r="276" spans="1:13" ht="19.5" customHeight="1" x14ac:dyDescent="0.25">
      <c r="A276" s="61" t="s">
        <v>47</v>
      </c>
      <c r="B276" s="6">
        <v>368</v>
      </c>
      <c r="C276" s="5">
        <v>6.6021995371284017E-2</v>
      </c>
      <c r="D276" s="5"/>
      <c r="E276" s="6">
        <v>269</v>
      </c>
      <c r="F276" s="5">
        <v>4.989973677425099E-2</v>
      </c>
      <c r="G276" s="5"/>
      <c r="H276" s="6">
        <v>47</v>
      </c>
      <c r="I276" s="5">
        <v>0.31873050318730506</v>
      </c>
      <c r="J276" s="5"/>
      <c r="K276" s="6">
        <v>52</v>
      </c>
      <c r="L276" s="5">
        <v>1.4594442885209093</v>
      </c>
      <c r="M276" s="5"/>
    </row>
    <row r="277" spans="1:13" ht="10.5" customHeight="1" x14ac:dyDescent="0.25">
      <c r="A277" s="61"/>
      <c r="B277" s="6"/>
      <c r="C277" s="5"/>
      <c r="D277" s="5"/>
      <c r="E277" s="6"/>
      <c r="F277" s="5"/>
      <c r="G277" s="5"/>
      <c r="H277" s="6"/>
      <c r="I277" s="5"/>
      <c r="J277" s="5"/>
      <c r="K277" s="6"/>
      <c r="L277" s="5"/>
      <c r="M277" s="5"/>
    </row>
    <row r="278" spans="1:13" ht="14.1" customHeight="1" x14ac:dyDescent="0.25">
      <c r="A278" s="63" t="s">
        <v>77</v>
      </c>
      <c r="B278" s="9">
        <v>35740</v>
      </c>
      <c r="C278" s="15">
        <v>100</v>
      </c>
      <c r="D278" s="9"/>
      <c r="E278" s="9">
        <v>35282</v>
      </c>
      <c r="F278" s="15">
        <v>100</v>
      </c>
      <c r="G278" s="15"/>
      <c r="H278" s="9">
        <v>414</v>
      </c>
      <c r="I278" s="15">
        <v>100</v>
      </c>
      <c r="J278" s="15"/>
      <c r="K278" s="9">
        <v>44</v>
      </c>
      <c r="L278" s="15">
        <v>100</v>
      </c>
      <c r="M278" s="15"/>
    </row>
    <row r="279" spans="1:13" ht="14.1" customHeight="1" x14ac:dyDescent="0.25">
      <c r="A279" s="61" t="s">
        <v>40</v>
      </c>
      <c r="B279" s="6">
        <v>32600</v>
      </c>
      <c r="C279" s="5">
        <v>91.314325685506432</v>
      </c>
      <c r="D279" s="5"/>
      <c r="E279" s="6">
        <v>32484</v>
      </c>
      <c r="F279" s="5">
        <v>92.069610566294429</v>
      </c>
      <c r="G279" s="5"/>
      <c r="H279" s="6">
        <v>114</v>
      </c>
      <c r="I279" s="5">
        <v>27.536231884057973</v>
      </c>
      <c r="J279" s="5"/>
      <c r="K279" s="6">
        <v>2</v>
      </c>
      <c r="L279" s="5">
        <v>4.5454545454545459</v>
      </c>
      <c r="M279" s="5"/>
    </row>
    <row r="280" spans="1:13" ht="14.1" customHeight="1" x14ac:dyDescent="0.25">
      <c r="A280" s="61" t="s">
        <v>41</v>
      </c>
      <c r="B280" s="6">
        <v>1493</v>
      </c>
      <c r="C280" s="5">
        <v>4.1773922775601564</v>
      </c>
      <c r="D280" s="5"/>
      <c r="E280" s="6">
        <v>1303</v>
      </c>
      <c r="F280" s="5">
        <v>3.6931012981123521</v>
      </c>
      <c r="G280" s="5"/>
      <c r="H280" s="6">
        <v>165</v>
      </c>
      <c r="I280" s="5">
        <v>39.955072463768118</v>
      </c>
      <c r="J280" s="5"/>
      <c r="K280" s="6">
        <v>25</v>
      </c>
      <c r="L280" s="5">
        <v>56.81818181818182</v>
      </c>
      <c r="M280" s="5"/>
    </row>
    <row r="281" spans="1:13" ht="14.1" customHeight="1" x14ac:dyDescent="0.25">
      <c r="A281" s="61" t="s">
        <v>42</v>
      </c>
      <c r="B281" s="6">
        <v>42</v>
      </c>
      <c r="C281" s="5">
        <v>0.11751538891997761</v>
      </c>
      <c r="D281" s="5"/>
      <c r="E281" s="6">
        <v>41</v>
      </c>
      <c r="F281" s="5">
        <v>0.11620656425372711</v>
      </c>
      <c r="G281" s="5"/>
      <c r="H281" s="6">
        <v>1</v>
      </c>
      <c r="I281" s="5">
        <v>0.24154589371980675</v>
      </c>
      <c r="J281" s="5"/>
      <c r="K281" s="3" t="s">
        <v>96</v>
      </c>
      <c r="L281" s="16" t="s">
        <v>96</v>
      </c>
      <c r="M281" s="5"/>
    </row>
    <row r="282" spans="1:13" ht="14.1" customHeight="1" x14ac:dyDescent="0.25">
      <c r="A282" s="61" t="s">
        <v>43</v>
      </c>
      <c r="B282" s="6">
        <v>189</v>
      </c>
      <c r="C282" s="5">
        <v>0.52881925013989928</v>
      </c>
      <c r="D282" s="5"/>
      <c r="E282" s="6">
        <v>151</v>
      </c>
      <c r="F282" s="5">
        <v>0.42798027322714127</v>
      </c>
      <c r="G282" s="5"/>
      <c r="H282" s="6">
        <v>30</v>
      </c>
      <c r="I282" s="5">
        <v>7.2463768115942031</v>
      </c>
      <c r="J282" s="5"/>
      <c r="K282" s="3">
        <v>8</v>
      </c>
      <c r="L282" s="16">
        <v>18.181818181818183</v>
      </c>
      <c r="M282" s="5"/>
    </row>
    <row r="283" spans="1:13" ht="14.1" customHeight="1" x14ac:dyDescent="0.25">
      <c r="A283" s="61" t="s">
        <v>44</v>
      </c>
      <c r="B283" s="6">
        <v>1373</v>
      </c>
      <c r="C283" s="5">
        <v>3.8416340235030781</v>
      </c>
      <c r="D283" s="5"/>
      <c r="E283" s="6">
        <v>1261</v>
      </c>
      <c r="F283" s="5">
        <v>3.574060427413412</v>
      </c>
      <c r="G283" s="5"/>
      <c r="H283" s="6">
        <v>104</v>
      </c>
      <c r="I283" s="5">
        <v>25.120772946859905</v>
      </c>
      <c r="J283" s="5"/>
      <c r="K283" s="3">
        <v>8</v>
      </c>
      <c r="L283" s="16">
        <v>18.181818181818183</v>
      </c>
      <c r="M283" s="5"/>
    </row>
    <row r="284" spans="1:13" ht="14.1" customHeight="1" x14ac:dyDescent="0.25">
      <c r="A284" s="61" t="s">
        <v>45</v>
      </c>
      <c r="B284" s="6">
        <v>26</v>
      </c>
      <c r="C284" s="5">
        <v>7.2747621712367094E-2</v>
      </c>
      <c r="D284" s="5"/>
      <c r="E284" s="6">
        <v>25</v>
      </c>
      <c r="F284" s="5">
        <v>7.0857661130321409E-2</v>
      </c>
      <c r="G284" s="5"/>
      <c r="H284" s="89" t="s">
        <v>96</v>
      </c>
      <c r="I284" s="89" t="s">
        <v>96</v>
      </c>
      <c r="J284" s="5"/>
      <c r="K284" s="3">
        <v>1</v>
      </c>
      <c r="L284" s="16">
        <v>2.2727272727272729</v>
      </c>
      <c r="M284" s="5"/>
    </row>
    <row r="285" spans="1:13" ht="18" hidden="1" customHeight="1" x14ac:dyDescent="0.25">
      <c r="A285" s="61" t="s">
        <v>46</v>
      </c>
      <c r="B285" s="6">
        <v>6</v>
      </c>
      <c r="C285" s="5">
        <v>1.6787912702853944E-2</v>
      </c>
      <c r="D285" s="5"/>
      <c r="E285" s="6">
        <v>6</v>
      </c>
      <c r="F285" s="5">
        <v>1.7005838671277137E-2</v>
      </c>
      <c r="G285" s="5"/>
      <c r="H285" s="89" t="s">
        <v>96</v>
      </c>
      <c r="I285" s="89" t="s">
        <v>96</v>
      </c>
      <c r="J285" s="5"/>
      <c r="K285" s="3" t="s">
        <v>96</v>
      </c>
      <c r="L285" s="16" t="s">
        <v>96</v>
      </c>
      <c r="M285" s="5"/>
    </row>
    <row r="286" spans="1:13" ht="14.1" customHeight="1" x14ac:dyDescent="0.25">
      <c r="A286" s="61" t="s">
        <v>47</v>
      </c>
      <c r="B286" s="6">
        <v>17</v>
      </c>
      <c r="C286" s="5">
        <v>4.7565752658086172E-2</v>
      </c>
      <c r="D286" s="5"/>
      <c r="E286" s="6">
        <v>17</v>
      </c>
      <c r="F286" s="5">
        <v>4.818320956861856E-2</v>
      </c>
      <c r="G286" s="5"/>
      <c r="H286" s="89" t="s">
        <v>96</v>
      </c>
      <c r="I286" s="89" t="s">
        <v>96</v>
      </c>
      <c r="J286" s="5"/>
      <c r="K286" s="3" t="s">
        <v>96</v>
      </c>
      <c r="L286" s="16" t="s">
        <v>96</v>
      </c>
      <c r="M286" s="5"/>
    </row>
    <row r="287" spans="1:13" ht="14.1" customHeight="1" x14ac:dyDescent="0.25">
      <c r="A287" s="68"/>
      <c r="B287" s="6"/>
      <c r="C287" s="15"/>
      <c r="D287" s="15"/>
      <c r="E287" s="9"/>
      <c r="F287" s="15"/>
      <c r="G287" s="15"/>
      <c r="H287" s="9"/>
      <c r="I287" s="15"/>
      <c r="J287" s="15"/>
      <c r="K287" s="9"/>
      <c r="L287" s="15"/>
      <c r="M287" s="15"/>
    </row>
    <row r="288" spans="1:13" ht="7.5" customHeight="1" thickBot="1" x14ac:dyDescent="0.3">
      <c r="A288" s="70"/>
      <c r="B288" s="71"/>
      <c r="C288" s="71"/>
      <c r="D288" s="71"/>
      <c r="E288" s="71"/>
      <c r="F288" s="88"/>
      <c r="G288" s="88"/>
      <c r="H288" s="71"/>
      <c r="I288" s="88"/>
      <c r="J288" s="88"/>
      <c r="K288" s="71"/>
      <c r="L288" s="71"/>
      <c r="M288" s="71"/>
    </row>
    <row r="289" spans="1:13" ht="18" customHeight="1" x14ac:dyDescent="0.25">
      <c r="A289" s="189" t="s">
        <v>82</v>
      </c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27.75" customHeight="1" x14ac:dyDescent="0.25">
      <c r="A290" s="188" t="s">
        <v>83</v>
      </c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</row>
    <row r="291" spans="1:13" ht="14.1" customHeight="1" x14ac:dyDescent="0.25">
      <c r="A291" s="40" t="s">
        <v>0</v>
      </c>
      <c r="B291" s="6"/>
      <c r="C291" s="5"/>
      <c r="D291" s="5"/>
      <c r="E291" s="6"/>
      <c r="F291" s="5"/>
      <c r="G291" s="5"/>
      <c r="H291" s="6"/>
      <c r="I291" s="5"/>
      <c r="J291" s="5"/>
      <c r="K291" s="6"/>
      <c r="L291" s="5"/>
      <c r="M291" s="5"/>
    </row>
    <row r="292" spans="1:13" ht="14.1" customHeight="1" x14ac:dyDescent="0.25"/>
    <row r="293" spans="1:13" ht="11.1" customHeight="1" x14ac:dyDescent="0.25"/>
    <row r="294" spans="1:13" ht="11.1" customHeight="1" x14ac:dyDescent="0.25"/>
    <row r="295" spans="1:13" ht="12.95" customHeight="1" x14ac:dyDescent="0.25"/>
    <row r="296" spans="1:13" ht="12.95" customHeight="1" x14ac:dyDescent="0.25"/>
  </sheetData>
  <mergeCells count="10">
    <mergeCell ref="A290:M290"/>
    <mergeCell ref="A289:M289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 verticalCentered="1"/>
  <pageMargins left="0.98425196850393704" right="0.98425196850393704" top="0.98425196850393704" bottom="0.98425196850393704" header="0.31496062992125984" footer="0.31496062992125984"/>
  <pageSetup paperSize="9" scale="91" orientation="portrait" r:id="rId1"/>
  <rowBreaks count="6" manualBreakCount="6">
    <brk id="47" max="16383" man="1"/>
    <brk id="87" max="16383" man="1"/>
    <brk id="127" max="16383" man="1"/>
    <brk id="167" max="16383" man="1"/>
    <brk id="207" max="16383" man="1"/>
    <brk id="24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2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.75" x14ac:dyDescent="0.25"/>
  <cols>
    <col min="1" max="1" width="21.28515625" style="23" customWidth="1"/>
    <col min="2" max="2" width="8.28515625" style="23" customWidth="1"/>
    <col min="3" max="3" width="4.5703125" style="23" customWidth="1"/>
    <col min="4" max="4" width="1.28515625" style="23" customWidth="1"/>
    <col min="5" max="5" width="8.28515625" style="23" customWidth="1"/>
    <col min="6" max="6" width="4.5703125" style="23" customWidth="1"/>
    <col min="7" max="7" width="1.28515625" style="23" customWidth="1"/>
    <col min="8" max="8" width="8.28515625" style="23" customWidth="1"/>
    <col min="9" max="9" width="4.5703125" style="23" customWidth="1"/>
    <col min="10" max="10" width="1.7109375" style="23" customWidth="1"/>
    <col min="11" max="11" width="8.28515625" style="23" customWidth="1"/>
    <col min="12" max="12" width="4.5703125" style="23" customWidth="1"/>
    <col min="13" max="13" width="1.5703125" style="23" customWidth="1"/>
    <col min="14" max="16384" width="11.42578125" style="23"/>
  </cols>
  <sheetData>
    <row r="1" spans="1:13" ht="12.75" customHeight="1" x14ac:dyDescent="0.25">
      <c r="A1" s="187" t="s">
        <v>60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 ht="13.5" x14ac:dyDescent="0.25">
      <c r="A2" s="187" t="s">
        <v>89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1:13" ht="6" customHeight="1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5.95" customHeight="1" thickBot="1" x14ac:dyDescent="0.3">
      <c r="A4" s="164" t="s">
        <v>72</v>
      </c>
      <c r="B4" s="177" t="s">
        <v>26</v>
      </c>
      <c r="C4" s="177"/>
      <c r="D4" s="58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13" ht="27.75" customHeight="1" thickBot="1" x14ac:dyDescent="0.3">
      <c r="A5" s="165"/>
      <c r="B5" s="179"/>
      <c r="C5" s="179"/>
      <c r="D5" s="66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3" ht="15.7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 t="s">
        <v>23</v>
      </c>
      <c r="G6" s="49"/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3" ht="10.5" customHeight="1" x14ac:dyDescent="0.25">
      <c r="A7" s="80"/>
      <c r="B7" s="27"/>
      <c r="C7" s="26"/>
      <c r="D7" s="26"/>
      <c r="E7" s="27"/>
      <c r="F7" s="26"/>
      <c r="G7" s="26"/>
      <c r="H7" s="27"/>
      <c r="I7" s="26"/>
      <c r="J7" s="26"/>
      <c r="K7" s="27"/>
      <c r="L7" s="26"/>
      <c r="M7" s="26"/>
    </row>
    <row r="8" spans="1:13" ht="15.95" customHeight="1" x14ac:dyDescent="0.25">
      <c r="A8" s="81" t="s">
        <v>22</v>
      </c>
      <c r="B8" s="28">
        <v>1246659</v>
      </c>
      <c r="C8" s="36">
        <v>100</v>
      </c>
      <c r="D8" s="36"/>
      <c r="E8" s="28">
        <v>1219337</v>
      </c>
      <c r="F8" s="36">
        <v>100</v>
      </c>
      <c r="G8" s="36"/>
      <c r="H8" s="28">
        <v>23324</v>
      </c>
      <c r="I8" s="36">
        <v>100</v>
      </c>
      <c r="J8" s="28"/>
      <c r="K8" s="28">
        <v>3998</v>
      </c>
      <c r="L8" s="36">
        <v>100</v>
      </c>
      <c r="M8" s="36"/>
    </row>
    <row r="9" spans="1:13" ht="15.95" customHeight="1" x14ac:dyDescent="0.25">
      <c r="A9" s="82" t="s">
        <v>21</v>
      </c>
      <c r="B9" s="29">
        <v>10335</v>
      </c>
      <c r="C9" s="30">
        <v>0.82901579341263332</v>
      </c>
      <c r="D9" s="30"/>
      <c r="E9" s="29">
        <v>10240</v>
      </c>
      <c r="F9" s="30">
        <v>0.83980064576076996</v>
      </c>
      <c r="G9" s="30"/>
      <c r="H9" s="29">
        <v>87</v>
      </c>
      <c r="I9" s="30">
        <v>0.37300634539530098</v>
      </c>
      <c r="J9" s="30"/>
      <c r="K9" s="29">
        <v>8</v>
      </c>
      <c r="L9" s="30">
        <v>0.20010005002501249</v>
      </c>
      <c r="M9" s="30"/>
    </row>
    <row r="10" spans="1:13" ht="15.95" customHeight="1" x14ac:dyDescent="0.25">
      <c r="A10" s="82" t="s">
        <v>56</v>
      </c>
      <c r="B10" s="29">
        <v>33590</v>
      </c>
      <c r="C10" s="30">
        <v>2.6944015965873587</v>
      </c>
      <c r="D10" s="30"/>
      <c r="E10" s="29">
        <v>33244</v>
      </c>
      <c r="F10" s="30">
        <v>2.7263996745772499</v>
      </c>
      <c r="G10" s="30"/>
      <c r="H10" s="29">
        <v>328</v>
      </c>
      <c r="I10" s="30">
        <v>1.4062767964328589</v>
      </c>
      <c r="J10" s="30"/>
      <c r="K10" s="29">
        <v>18</v>
      </c>
      <c r="L10" s="30">
        <v>0.45022511255627812</v>
      </c>
      <c r="M10" s="30"/>
    </row>
    <row r="11" spans="1:13" ht="15.95" customHeight="1" x14ac:dyDescent="0.25">
      <c r="A11" s="82" t="s">
        <v>49</v>
      </c>
      <c r="B11" s="29">
        <v>13338</v>
      </c>
      <c r="C11" s="30">
        <v>1.0698996277249833</v>
      </c>
      <c r="D11" s="30"/>
      <c r="E11" s="29">
        <v>13207</v>
      </c>
      <c r="F11" s="30">
        <v>1.0831296023986807</v>
      </c>
      <c r="G11" s="30"/>
      <c r="H11" s="29">
        <v>119</v>
      </c>
      <c r="I11" s="30">
        <v>0.51020408163265307</v>
      </c>
      <c r="J11" s="30"/>
      <c r="K11" s="29">
        <v>12</v>
      </c>
      <c r="L11" s="30">
        <v>0.30015007503751878</v>
      </c>
      <c r="M11" s="30"/>
    </row>
    <row r="12" spans="1:13" ht="15.95" customHeight="1" x14ac:dyDescent="0.25">
      <c r="A12" s="82" t="s">
        <v>20</v>
      </c>
      <c r="B12" s="29">
        <v>67746</v>
      </c>
      <c r="C12" s="30">
        <v>5.3342045418995898</v>
      </c>
      <c r="D12" s="30"/>
      <c r="E12" s="29">
        <v>66529</v>
      </c>
      <c r="F12" s="30">
        <v>5.4561618322088155</v>
      </c>
      <c r="G12" s="30"/>
      <c r="H12" s="29">
        <v>1086</v>
      </c>
      <c r="I12" s="30">
        <v>4.7561481735551361</v>
      </c>
      <c r="J12" s="30"/>
      <c r="K12" s="29">
        <v>131</v>
      </c>
      <c r="L12" s="30">
        <v>3.2766383191595798</v>
      </c>
      <c r="M12" s="30"/>
    </row>
    <row r="13" spans="1:13" ht="15.95" customHeight="1" x14ac:dyDescent="0.25">
      <c r="A13" s="82" t="s">
        <v>19</v>
      </c>
      <c r="B13" s="29">
        <v>18024</v>
      </c>
      <c r="C13" s="30">
        <v>1.4457842922563426</v>
      </c>
      <c r="D13" s="30"/>
      <c r="E13" s="29">
        <v>17844</v>
      </c>
      <c r="F13" s="30">
        <v>1.4634182346635918</v>
      </c>
      <c r="G13" s="30"/>
      <c r="H13" s="29">
        <v>169</v>
      </c>
      <c r="I13" s="30">
        <v>0.72457554450351569</v>
      </c>
      <c r="J13" s="30"/>
      <c r="K13" s="29">
        <v>11</v>
      </c>
      <c r="L13" s="30">
        <v>0.27513756878439222</v>
      </c>
      <c r="M13" s="30"/>
    </row>
    <row r="14" spans="1:13" ht="15.95" customHeight="1" x14ac:dyDescent="0.25">
      <c r="A14" s="82" t="s">
        <v>18</v>
      </c>
      <c r="B14" s="29">
        <v>30687</v>
      </c>
      <c r="C14" s="30">
        <v>2.4615392019790496</v>
      </c>
      <c r="D14" s="30"/>
      <c r="E14" s="29">
        <v>30253</v>
      </c>
      <c r="F14" s="30">
        <v>2.4811024351758375</v>
      </c>
      <c r="G14" s="30"/>
      <c r="H14" s="29">
        <v>391</v>
      </c>
      <c r="I14" s="30">
        <v>1.6763848396501457</v>
      </c>
      <c r="J14" s="30"/>
      <c r="K14" s="29">
        <v>43</v>
      </c>
      <c r="L14" s="30">
        <v>1.0755377688844423</v>
      </c>
      <c r="M14" s="30"/>
    </row>
    <row r="15" spans="1:13" ht="15.95" customHeight="1" x14ac:dyDescent="0.25">
      <c r="A15" s="82" t="s">
        <v>55</v>
      </c>
      <c r="B15" s="29">
        <v>47421</v>
      </c>
      <c r="C15" s="30">
        <v>3.803846922053264</v>
      </c>
      <c r="D15" s="30"/>
      <c r="E15" s="29">
        <v>46335</v>
      </c>
      <c r="F15" s="30">
        <v>3.8000159102856714</v>
      </c>
      <c r="G15" s="30"/>
      <c r="H15" s="29">
        <v>893</v>
      </c>
      <c r="I15" s="30">
        <v>3.8286743268736068</v>
      </c>
      <c r="J15" s="30"/>
      <c r="K15" s="29">
        <v>193</v>
      </c>
      <c r="L15" s="30">
        <v>4.8274137068534273</v>
      </c>
      <c r="M15" s="30"/>
    </row>
    <row r="16" spans="1:13" ht="15.95" customHeight="1" x14ac:dyDescent="0.25">
      <c r="A16" s="82" t="s">
        <v>17</v>
      </c>
      <c r="B16" s="29">
        <v>47552</v>
      </c>
      <c r="C16" s="30">
        <v>3.8143550080655579</v>
      </c>
      <c r="D16" s="30"/>
      <c r="E16" s="29">
        <v>47033</v>
      </c>
      <c r="F16" s="30">
        <v>3.8572601339908488</v>
      </c>
      <c r="G16" s="30"/>
      <c r="H16" s="29">
        <v>477</v>
      </c>
      <c r="I16" s="30">
        <v>2.0451037557880296</v>
      </c>
      <c r="J16" s="30"/>
      <c r="K16" s="29">
        <v>42</v>
      </c>
      <c r="L16" s="30">
        <v>1.0505252626313157</v>
      </c>
      <c r="M16" s="30"/>
    </row>
    <row r="17" spans="1:13" ht="15.95" customHeight="1" x14ac:dyDescent="0.25">
      <c r="A17" s="82" t="s">
        <v>16</v>
      </c>
      <c r="B17" s="29">
        <v>5733</v>
      </c>
      <c r="C17" s="30">
        <v>0.45986913823266828</v>
      </c>
      <c r="D17" s="30"/>
      <c r="E17" s="29">
        <v>5711</v>
      </c>
      <c r="F17" s="30">
        <v>0.46836928593161692</v>
      </c>
      <c r="G17" s="30"/>
      <c r="H17" s="29">
        <v>22</v>
      </c>
      <c r="I17" s="30">
        <v>9.432344366317956E-2</v>
      </c>
      <c r="J17" s="30"/>
      <c r="K17" s="33" t="s">
        <v>96</v>
      </c>
      <c r="L17" s="33" t="s">
        <v>96</v>
      </c>
      <c r="M17" s="30"/>
    </row>
    <row r="18" spans="1:13" ht="15.95" customHeight="1" x14ac:dyDescent="0.25">
      <c r="A18" s="82" t="s">
        <v>15</v>
      </c>
      <c r="B18" s="29">
        <v>18652</v>
      </c>
      <c r="C18" s="30">
        <v>1.4961589335977199</v>
      </c>
      <c r="D18" s="30"/>
      <c r="E18" s="29">
        <v>18490</v>
      </c>
      <c r="F18" s="30">
        <v>1.5163978457145153</v>
      </c>
      <c r="G18" s="30"/>
      <c r="H18" s="29">
        <v>157</v>
      </c>
      <c r="I18" s="30">
        <v>0.67312639341450864</v>
      </c>
      <c r="J18" s="30"/>
      <c r="K18" s="29">
        <v>5</v>
      </c>
      <c r="L18" s="30">
        <v>0.12506253126563283</v>
      </c>
      <c r="M18" s="30"/>
    </row>
    <row r="19" spans="1:13" ht="15.95" customHeight="1" x14ac:dyDescent="0.25">
      <c r="A19" s="82" t="s">
        <v>14</v>
      </c>
      <c r="B19" s="29">
        <v>28068</v>
      </c>
      <c r="C19" s="30">
        <v>2.2514576961302168</v>
      </c>
      <c r="D19" s="30"/>
      <c r="E19" s="29">
        <v>27620</v>
      </c>
      <c r="F19" s="30">
        <v>2.2651654136633268</v>
      </c>
      <c r="G19" s="30"/>
      <c r="H19" s="29">
        <v>419</v>
      </c>
      <c r="I19" s="30">
        <v>1.7964328588578289</v>
      </c>
      <c r="J19" s="30"/>
      <c r="K19" s="29">
        <v>29</v>
      </c>
      <c r="L19" s="30">
        <v>0.72536268134067028</v>
      </c>
      <c r="M19" s="30"/>
    </row>
    <row r="20" spans="1:13" ht="15.95" customHeight="1" x14ac:dyDescent="0.25">
      <c r="A20" s="82" t="s">
        <v>13</v>
      </c>
      <c r="B20" s="29">
        <v>41333</v>
      </c>
      <c r="C20" s="30">
        <v>3.3155016728712501</v>
      </c>
      <c r="D20" s="30"/>
      <c r="E20" s="29">
        <v>40965</v>
      </c>
      <c r="F20" s="30">
        <v>3.3596126419521428</v>
      </c>
      <c r="G20" s="30"/>
      <c r="H20" s="29">
        <v>324</v>
      </c>
      <c r="I20" s="30">
        <v>1.3891270794031898</v>
      </c>
      <c r="J20" s="30"/>
      <c r="K20" s="29">
        <v>44</v>
      </c>
      <c r="L20" s="30">
        <v>1.1005502751375689</v>
      </c>
      <c r="M20" s="30"/>
    </row>
    <row r="21" spans="1:13" ht="15.95" customHeight="1" x14ac:dyDescent="0.25">
      <c r="A21" s="82" t="s">
        <v>12</v>
      </c>
      <c r="B21" s="29">
        <v>61011</v>
      </c>
      <c r="C21" s="30">
        <v>4.8939605778324307</v>
      </c>
      <c r="D21" s="30"/>
      <c r="E21" s="29">
        <v>59848</v>
      </c>
      <c r="F21" s="30">
        <v>4.9082411179190002</v>
      </c>
      <c r="G21" s="30"/>
      <c r="H21" s="29">
        <v>1052</v>
      </c>
      <c r="I21" s="30">
        <v>4.6103755788029499</v>
      </c>
      <c r="J21" s="30"/>
      <c r="K21" s="29">
        <v>111</v>
      </c>
      <c r="L21" s="30">
        <v>2.7763881940970485</v>
      </c>
      <c r="M21" s="30"/>
    </row>
    <row r="22" spans="1:13" ht="15.95" customHeight="1" x14ac:dyDescent="0.25">
      <c r="A22" s="82" t="s">
        <v>11</v>
      </c>
      <c r="B22" s="29">
        <v>50018</v>
      </c>
      <c r="C22" s="30">
        <v>4.0121637111672079</v>
      </c>
      <c r="D22" s="30"/>
      <c r="E22" s="29">
        <v>49504</v>
      </c>
      <c r="F22" s="30">
        <v>4.0599112468497225</v>
      </c>
      <c r="G22" s="30"/>
      <c r="H22" s="29">
        <v>471</v>
      </c>
      <c r="I22" s="30">
        <v>2.0193791802435261</v>
      </c>
      <c r="J22" s="30"/>
      <c r="K22" s="29">
        <v>43</v>
      </c>
      <c r="L22" s="30">
        <v>1.0755377688844423</v>
      </c>
      <c r="M22" s="30"/>
    </row>
    <row r="23" spans="1:13" ht="15.95" customHeight="1" x14ac:dyDescent="0.25">
      <c r="A23" s="82" t="s">
        <v>71</v>
      </c>
      <c r="B23" s="29">
        <v>575774</v>
      </c>
      <c r="C23" s="30">
        <v>46.185364241544804</v>
      </c>
      <c r="D23" s="30"/>
      <c r="E23" s="29">
        <v>557599</v>
      </c>
      <c r="F23" s="30">
        <v>45.529687526910116</v>
      </c>
      <c r="G23" s="30"/>
      <c r="H23" s="29">
        <v>15077</v>
      </c>
      <c r="I23" s="30">
        <v>64.641570914079921</v>
      </c>
      <c r="J23" s="30"/>
      <c r="K23" s="29">
        <v>3098</v>
      </c>
      <c r="L23" s="30">
        <v>77.288744372186088</v>
      </c>
      <c r="M23" s="30"/>
    </row>
    <row r="24" spans="1:13" ht="15.95" customHeight="1" x14ac:dyDescent="0.25">
      <c r="A24" s="82" t="s">
        <v>10</v>
      </c>
      <c r="B24" s="29">
        <v>21896</v>
      </c>
      <c r="C24" s="30">
        <v>1.7563744375968089</v>
      </c>
      <c r="D24" s="30"/>
      <c r="E24" s="29">
        <v>21586</v>
      </c>
      <c r="F24" s="30">
        <v>1.7703063222062481</v>
      </c>
      <c r="G24" s="30"/>
      <c r="H24" s="29">
        <v>285</v>
      </c>
      <c r="I24" s="30">
        <v>1.221917338363917</v>
      </c>
      <c r="J24" s="30"/>
      <c r="K24" s="29">
        <v>25</v>
      </c>
      <c r="L24" s="30">
        <v>0.62531265632816402</v>
      </c>
      <c r="M24" s="30"/>
    </row>
    <row r="25" spans="1:13" ht="15.95" customHeight="1" x14ac:dyDescent="0.25">
      <c r="A25" s="82" t="s">
        <v>9</v>
      </c>
      <c r="B25" s="29">
        <v>7477</v>
      </c>
      <c r="C25" s="30">
        <v>0.59976304667114255</v>
      </c>
      <c r="D25" s="30"/>
      <c r="E25" s="29">
        <v>7381</v>
      </c>
      <c r="F25" s="30">
        <v>0.60532896155861748</v>
      </c>
      <c r="G25" s="30"/>
      <c r="H25" s="29">
        <v>87</v>
      </c>
      <c r="I25" s="30">
        <v>0.37300634539530098</v>
      </c>
      <c r="J25" s="30"/>
      <c r="K25" s="29">
        <v>9</v>
      </c>
      <c r="L25" s="30">
        <v>0.22511255627813906</v>
      </c>
      <c r="M25" s="30"/>
    </row>
    <row r="26" spans="1:13" ht="15.95" customHeight="1" x14ac:dyDescent="0.25">
      <c r="A26" s="82" t="s">
        <v>8</v>
      </c>
      <c r="B26" s="29">
        <v>9128</v>
      </c>
      <c r="C26" s="30">
        <v>0.73219701618485888</v>
      </c>
      <c r="D26" s="30"/>
      <c r="E26" s="29">
        <v>8997</v>
      </c>
      <c r="F26" s="30">
        <v>0.73786000096773896</v>
      </c>
      <c r="G26" s="30"/>
      <c r="H26" s="29">
        <v>118</v>
      </c>
      <c r="I26" s="30">
        <v>0.50591665237523575</v>
      </c>
      <c r="J26" s="30"/>
      <c r="K26" s="29">
        <v>13</v>
      </c>
      <c r="L26" s="30">
        <v>0.32516258129064535</v>
      </c>
      <c r="M26" s="30"/>
    </row>
    <row r="27" spans="1:13" ht="15.95" customHeight="1" x14ac:dyDescent="0.25">
      <c r="A27" s="82" t="s">
        <v>7</v>
      </c>
      <c r="B27" s="29">
        <v>7088</v>
      </c>
      <c r="C27" s="30">
        <v>0.56855964622242328</v>
      </c>
      <c r="D27" s="30"/>
      <c r="E27" s="29">
        <v>7001</v>
      </c>
      <c r="F27" s="30">
        <v>0.57416448446983892</v>
      </c>
      <c r="G27" s="30"/>
      <c r="H27" s="29">
        <v>75</v>
      </c>
      <c r="I27" s="30">
        <v>0.32155719430629393</v>
      </c>
      <c r="J27" s="30"/>
      <c r="K27" s="29">
        <v>12</v>
      </c>
      <c r="L27" s="30">
        <v>0.30015007503751878</v>
      </c>
      <c r="M27" s="30"/>
    </row>
    <row r="28" spans="1:13" ht="15.95" customHeight="1" x14ac:dyDescent="0.25">
      <c r="A28" s="82" t="s">
        <v>6</v>
      </c>
      <c r="B28" s="29">
        <v>55458</v>
      </c>
      <c r="C28" s="30">
        <v>4.4485300310670359</v>
      </c>
      <c r="D28" s="30"/>
      <c r="E28" s="29">
        <v>54695</v>
      </c>
      <c r="F28" s="30">
        <v>4.4856344062388001</v>
      </c>
      <c r="G28" s="30"/>
      <c r="H28" s="29">
        <v>692</v>
      </c>
      <c r="I28" s="30">
        <v>2.966901046132739</v>
      </c>
      <c r="J28" s="30"/>
      <c r="K28" s="29">
        <v>71</v>
      </c>
      <c r="L28" s="30">
        <v>1.7758879439719859</v>
      </c>
      <c r="M28" s="30"/>
    </row>
    <row r="29" spans="1:13" ht="15.95" customHeight="1" x14ac:dyDescent="0.25">
      <c r="A29" s="82" t="s">
        <v>5</v>
      </c>
      <c r="B29" s="29">
        <v>27129</v>
      </c>
      <c r="C29" s="30">
        <v>2.1761363773092719</v>
      </c>
      <c r="D29" s="30"/>
      <c r="E29" s="29">
        <v>26786</v>
      </c>
      <c r="F29" s="30">
        <v>2.1967675876316388</v>
      </c>
      <c r="G29" s="30"/>
      <c r="H29" s="29">
        <v>308</v>
      </c>
      <c r="I29" s="30">
        <v>1.3205282112845138</v>
      </c>
      <c r="J29" s="30"/>
      <c r="K29" s="29">
        <v>35</v>
      </c>
      <c r="L29" s="30">
        <v>0.87543771885942967</v>
      </c>
      <c r="M29" s="30"/>
    </row>
    <row r="30" spans="1:13" ht="15.95" customHeight="1" x14ac:dyDescent="0.25">
      <c r="A30" s="82" t="s">
        <v>4</v>
      </c>
      <c r="B30" s="29">
        <v>25138</v>
      </c>
      <c r="C30" s="30">
        <v>2.0164295128018166</v>
      </c>
      <c r="D30" s="30"/>
      <c r="E30" s="29">
        <v>24838</v>
      </c>
      <c r="F30" s="30">
        <v>2.0370086366607429</v>
      </c>
      <c r="G30" s="30"/>
      <c r="H30" s="29">
        <v>288</v>
      </c>
      <c r="I30" s="30">
        <v>1.2347796261361688</v>
      </c>
      <c r="J30" s="30"/>
      <c r="K30" s="29">
        <v>12</v>
      </c>
      <c r="L30" s="30">
        <v>0.30015007503751878</v>
      </c>
      <c r="M30" s="30"/>
    </row>
    <row r="31" spans="1:13" ht="15.95" customHeight="1" x14ac:dyDescent="0.25">
      <c r="A31" s="82" t="s">
        <v>3</v>
      </c>
      <c r="B31" s="29">
        <v>17068</v>
      </c>
      <c r="C31" s="30">
        <v>1.3690993286857112</v>
      </c>
      <c r="D31" s="30"/>
      <c r="E31" s="29">
        <v>16930</v>
      </c>
      <c r="F31" s="30">
        <v>1.3884594660868981</v>
      </c>
      <c r="G31" s="30"/>
      <c r="H31" s="29">
        <v>128</v>
      </c>
      <c r="I31" s="30">
        <v>0.54879094494940839</v>
      </c>
      <c r="J31" s="30"/>
      <c r="K31" s="29">
        <v>10</v>
      </c>
      <c r="L31" s="30">
        <v>0.25012506253126565</v>
      </c>
      <c r="M31" s="30"/>
    </row>
    <row r="32" spans="1:13" ht="15.95" customHeight="1" x14ac:dyDescent="0.25">
      <c r="A32" s="82" t="s">
        <v>2</v>
      </c>
      <c r="B32" s="29">
        <v>9582</v>
      </c>
      <c r="C32" s="30">
        <v>0.76861435244120491</v>
      </c>
      <c r="D32" s="30"/>
      <c r="E32" s="29">
        <v>9521</v>
      </c>
      <c r="F32" s="30">
        <v>0.78083417463752847</v>
      </c>
      <c r="G32" s="30"/>
      <c r="H32" s="29">
        <v>57</v>
      </c>
      <c r="I32" s="30">
        <v>0.24438346767278341</v>
      </c>
      <c r="J32" s="30"/>
      <c r="K32" s="29">
        <v>4</v>
      </c>
      <c r="L32" s="30">
        <v>0.10005002501250625</v>
      </c>
      <c r="M32" s="30"/>
    </row>
    <row r="33" spans="1:13" ht="15.95" customHeight="1" x14ac:dyDescent="0.25">
      <c r="A33" s="82" t="s">
        <v>1</v>
      </c>
      <c r="B33" s="29">
        <v>17413</v>
      </c>
      <c r="C33" s="30">
        <v>1.3967732956646524</v>
      </c>
      <c r="D33" s="30"/>
      <c r="E33" s="29">
        <v>17180</v>
      </c>
      <c r="F33" s="30">
        <v>1.4089624115400419</v>
      </c>
      <c r="G33" s="30"/>
      <c r="H33" s="29">
        <v>214</v>
      </c>
      <c r="I33" s="30">
        <v>0.91750986108729216</v>
      </c>
      <c r="J33" s="30"/>
      <c r="K33" s="29">
        <v>19</v>
      </c>
      <c r="L33" s="30">
        <v>0.47523761880940474</v>
      </c>
      <c r="M33" s="30"/>
    </row>
    <row r="34" spans="1:13" ht="15.95" customHeight="1" x14ac:dyDescent="0.25">
      <c r="A34" s="82"/>
      <c r="B34" s="29"/>
      <c r="C34" s="30"/>
      <c r="D34" s="30"/>
      <c r="E34" s="29"/>
      <c r="F34" s="30"/>
      <c r="G34" s="30"/>
      <c r="H34" s="29"/>
      <c r="I34" s="30"/>
      <c r="J34" s="30"/>
      <c r="K34" s="29"/>
      <c r="L34" s="30"/>
      <c r="M34" s="30"/>
    </row>
    <row r="35" spans="1:13" ht="15.95" customHeight="1" x14ac:dyDescent="0.25">
      <c r="A35" s="82" t="s">
        <v>76</v>
      </c>
      <c r="B35" s="29">
        <v>543976</v>
      </c>
      <c r="C35" s="30">
        <v>43.634706844453859</v>
      </c>
      <c r="D35" s="30"/>
      <c r="E35" s="29">
        <v>526076</v>
      </c>
      <c r="F35" s="30">
        <v>42.944430128832302</v>
      </c>
      <c r="G35" s="30"/>
      <c r="H35" s="29">
        <v>14822</v>
      </c>
      <c r="I35" s="30">
        <v>63.548276453438525</v>
      </c>
      <c r="J35" s="30"/>
      <c r="K35" s="29">
        <v>3078</v>
      </c>
      <c r="L35" s="30">
        <v>76.788494247123566</v>
      </c>
      <c r="M35" s="30"/>
    </row>
    <row r="36" spans="1:13" ht="15.95" customHeight="1" x14ac:dyDescent="0.25">
      <c r="A36" s="82" t="s">
        <v>77</v>
      </c>
      <c r="B36" s="29">
        <v>31798</v>
      </c>
      <c r="C36" s="30">
        <v>2.5506573970909447</v>
      </c>
      <c r="D36" s="30"/>
      <c r="E36" s="29">
        <v>31523</v>
      </c>
      <c r="F36" s="30">
        <v>2.5852573980778075</v>
      </c>
      <c r="G36" s="30"/>
      <c r="H36" s="29">
        <v>255</v>
      </c>
      <c r="I36" s="30">
        <v>1.0932944606413995</v>
      </c>
      <c r="J36" s="30"/>
      <c r="K36" s="29">
        <v>20</v>
      </c>
      <c r="L36" s="30">
        <v>0.5002501250625313</v>
      </c>
      <c r="M36" s="30"/>
    </row>
    <row r="37" spans="1:13" ht="12" customHeight="1" thickBot="1" x14ac:dyDescent="0.3">
      <c r="A37" s="83"/>
      <c r="B37" s="84"/>
      <c r="C37" s="85"/>
      <c r="D37" s="85"/>
      <c r="E37" s="84"/>
      <c r="F37" s="85"/>
      <c r="G37" s="85"/>
      <c r="H37" s="84"/>
      <c r="I37" s="86"/>
      <c r="J37" s="86"/>
      <c r="K37" s="87"/>
      <c r="L37" s="86"/>
      <c r="M37" s="86"/>
    </row>
    <row r="38" spans="1:13" ht="6.75" customHeight="1" x14ac:dyDescent="0.25">
      <c r="A38" s="32"/>
      <c r="B38" s="33"/>
      <c r="C38" s="31"/>
      <c r="D38" s="31"/>
      <c r="E38" s="33"/>
      <c r="F38" s="31"/>
      <c r="G38" s="31"/>
      <c r="H38" s="33"/>
      <c r="I38" s="31"/>
      <c r="J38" s="31"/>
      <c r="K38" s="33"/>
      <c r="L38" s="31"/>
      <c r="M38" s="31"/>
    </row>
    <row r="39" spans="1:13" ht="36.75" customHeight="1" x14ac:dyDescent="0.25">
      <c r="A39" s="190" t="s">
        <v>81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</row>
    <row r="42" spans="1:13" ht="12.7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</sheetData>
  <mergeCells count="9">
    <mergeCell ref="A39:M39"/>
    <mergeCell ref="A1:M1"/>
    <mergeCell ref="A2:M2"/>
    <mergeCell ref="A4:A6"/>
    <mergeCell ref="B4:C5"/>
    <mergeCell ref="E4:M4"/>
    <mergeCell ref="E5:F5"/>
    <mergeCell ref="H5:I5"/>
    <mergeCell ref="K5:L5"/>
  </mergeCells>
  <printOptions horizontalCentered="1"/>
  <pageMargins left="0.98425196850393704" right="0.98425196850393704" top="0.98425196850393704" bottom="0.98425196850393704" header="0.31496062992125984" footer="0.31496062992125984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87"/>
  <sheetViews>
    <sheetView showGridLines="0" view="pageBreakPreview" zoomScale="120" zoomScaleNormal="100" zoomScaleSheetLayoutView="120" workbookViewId="0">
      <selection sqref="A1:O1"/>
    </sheetView>
  </sheetViews>
  <sheetFormatPr baseColWidth="10" defaultRowHeight="12" customHeight="1" x14ac:dyDescent="0.25"/>
  <cols>
    <col min="1" max="1" width="23.7109375" style="1" customWidth="1"/>
    <col min="2" max="2" width="7.42578125" style="1" customWidth="1"/>
    <col min="3" max="3" width="5.140625" style="1" customWidth="1"/>
    <col min="4" max="4" width="1.85546875" style="1" customWidth="1"/>
    <col min="5" max="5" width="8.85546875" style="1" customWidth="1"/>
    <col min="6" max="6" width="1.42578125" style="1" customWidth="1"/>
    <col min="7" max="7" width="5.140625" style="1" customWidth="1"/>
    <col min="8" max="8" width="7.42578125" style="1" customWidth="1"/>
    <col min="9" max="9" width="5.140625" style="1" customWidth="1"/>
    <col min="10" max="10" width="1.85546875" style="1" customWidth="1"/>
    <col min="11" max="11" width="7.42578125" style="1" customWidth="1"/>
    <col min="12" max="12" width="5.140625" style="1" customWidth="1"/>
    <col min="13" max="13" width="2" style="1" customWidth="1"/>
    <col min="14" max="16384" width="11.42578125" style="1"/>
  </cols>
  <sheetData>
    <row r="1" spans="1:13" ht="12" customHeight="1" x14ac:dyDescent="0.25">
      <c r="A1" s="163" t="s">
        <v>63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13.5" x14ac:dyDescent="0.25">
      <c r="A2" s="163" t="s">
        <v>88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6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2" customHeight="1" thickBot="1" x14ac:dyDescent="0.3">
      <c r="A4" s="164" t="s">
        <v>73</v>
      </c>
      <c r="B4" s="192" t="s">
        <v>26</v>
      </c>
      <c r="C4" s="192"/>
      <c r="D4" s="104"/>
      <c r="E4" s="180" t="s">
        <v>66</v>
      </c>
      <c r="F4" s="180"/>
      <c r="G4" s="180"/>
      <c r="H4" s="180"/>
      <c r="I4" s="180"/>
      <c r="J4" s="180"/>
      <c r="K4" s="180"/>
      <c r="L4" s="180"/>
      <c r="M4" s="180"/>
    </row>
    <row r="5" spans="1:13" ht="30.75" customHeight="1" thickBot="1" x14ac:dyDescent="0.3">
      <c r="A5" s="165"/>
      <c r="B5" s="193"/>
      <c r="C5" s="193"/>
      <c r="D5" s="105"/>
      <c r="E5" s="180" t="s">
        <v>25</v>
      </c>
      <c r="F5" s="180"/>
      <c r="G5" s="58"/>
      <c r="H5" s="180" t="s">
        <v>54</v>
      </c>
      <c r="I5" s="180"/>
      <c r="J5" s="58"/>
      <c r="K5" s="180" t="s">
        <v>65</v>
      </c>
      <c r="L5" s="180"/>
      <c r="M5" s="58"/>
    </row>
    <row r="6" spans="1:13" ht="15.75" customHeight="1" thickBot="1" x14ac:dyDescent="0.3">
      <c r="A6" s="166"/>
      <c r="B6" s="50" t="s">
        <v>24</v>
      </c>
      <c r="C6" s="49" t="s">
        <v>23</v>
      </c>
      <c r="D6" s="49"/>
      <c r="E6" s="49" t="s">
        <v>24</v>
      </c>
      <c r="F6" s="49"/>
      <c r="G6" s="49" t="s">
        <v>23</v>
      </c>
      <c r="H6" s="49" t="s">
        <v>24</v>
      </c>
      <c r="I6" s="49" t="s">
        <v>23</v>
      </c>
      <c r="J6" s="49"/>
      <c r="K6" s="49" t="s">
        <v>24</v>
      </c>
      <c r="L6" s="49" t="s">
        <v>23</v>
      </c>
      <c r="M6" s="49"/>
    </row>
    <row r="7" spans="1:13" ht="12" customHeight="1" x14ac:dyDescent="0.25">
      <c r="A7" s="45"/>
      <c r="B7" s="12"/>
      <c r="C7" s="11"/>
      <c r="D7" s="11"/>
      <c r="E7" s="12"/>
      <c r="F7" s="12"/>
      <c r="G7" s="11"/>
      <c r="H7" s="12"/>
      <c r="I7" s="11"/>
      <c r="J7" s="11"/>
      <c r="K7" s="12"/>
      <c r="L7" s="11"/>
      <c r="M7" s="11"/>
    </row>
    <row r="8" spans="1:13" ht="14.1" customHeight="1" x14ac:dyDescent="0.25">
      <c r="A8" s="67" t="s">
        <v>26</v>
      </c>
      <c r="B8" s="9">
        <v>1246659</v>
      </c>
      <c r="C8" s="15">
        <v>100</v>
      </c>
      <c r="D8" s="15"/>
      <c r="E8" s="9">
        <v>1219337</v>
      </c>
      <c r="F8" s="9"/>
      <c r="G8" s="15">
        <v>100</v>
      </c>
      <c r="H8" s="9">
        <v>23324</v>
      </c>
      <c r="I8" s="15">
        <v>100</v>
      </c>
      <c r="J8" s="15"/>
      <c r="K8" s="9">
        <v>3998</v>
      </c>
      <c r="L8" s="15">
        <v>100</v>
      </c>
      <c r="M8" s="15"/>
    </row>
    <row r="9" spans="1:13" ht="14.1" customHeight="1" x14ac:dyDescent="0.25">
      <c r="A9" s="61" t="s">
        <v>40</v>
      </c>
      <c r="B9" s="6">
        <v>862076</v>
      </c>
      <c r="C9" s="5">
        <v>69.150906543008148</v>
      </c>
      <c r="D9" s="5"/>
      <c r="E9" s="6">
        <v>860251</v>
      </c>
      <c r="F9" s="6"/>
      <c r="G9" s="5">
        <v>70.550717316049628</v>
      </c>
      <c r="H9" s="6">
        <v>1773</v>
      </c>
      <c r="I9" s="5">
        <v>7.6016120734007888</v>
      </c>
      <c r="J9" s="5"/>
      <c r="K9" s="6">
        <v>52</v>
      </c>
      <c r="L9" s="5">
        <v>1.3006503251625814</v>
      </c>
      <c r="M9" s="5"/>
    </row>
    <row r="10" spans="1:13" ht="14.1" customHeight="1" x14ac:dyDescent="0.25">
      <c r="A10" s="61" t="s">
        <v>41</v>
      </c>
      <c r="B10" s="6">
        <v>179110</v>
      </c>
      <c r="C10" s="5">
        <v>14.367200653907764</v>
      </c>
      <c r="D10" s="5"/>
      <c r="E10" s="6">
        <v>161883</v>
      </c>
      <c r="F10" s="6"/>
      <c r="G10" s="5">
        <v>13.27631327516511</v>
      </c>
      <c r="H10" s="6">
        <v>14274</v>
      </c>
      <c r="I10" s="5">
        <v>61.198765220373865</v>
      </c>
      <c r="J10" s="5"/>
      <c r="K10" s="6">
        <v>2953</v>
      </c>
      <c r="L10" s="5">
        <v>73.661930965482739</v>
      </c>
      <c r="M10" s="5"/>
    </row>
    <row r="11" spans="1:13" ht="14.1" customHeight="1" x14ac:dyDescent="0.25">
      <c r="A11" s="61" t="s">
        <v>42</v>
      </c>
      <c r="B11" s="6">
        <v>6548</v>
      </c>
      <c r="C11" s="5">
        <v>0.52524387182060217</v>
      </c>
      <c r="D11" s="5"/>
      <c r="E11" s="6">
        <v>6173</v>
      </c>
      <c r="F11" s="6"/>
      <c r="G11" s="5">
        <v>0.5062587291290267</v>
      </c>
      <c r="H11" s="6">
        <v>295</v>
      </c>
      <c r="I11" s="5">
        <v>1.2647916309380896</v>
      </c>
      <c r="J11" s="5"/>
      <c r="K11" s="6">
        <v>80</v>
      </c>
      <c r="L11" s="5">
        <v>2.0010005002501252</v>
      </c>
      <c r="M11" s="5"/>
    </row>
    <row r="12" spans="1:13" ht="14.1" customHeight="1" x14ac:dyDescent="0.25">
      <c r="A12" s="61" t="s">
        <v>43</v>
      </c>
      <c r="B12" s="6">
        <v>31773</v>
      </c>
      <c r="C12" s="5">
        <v>2.5486520371649344</v>
      </c>
      <c r="D12" s="5"/>
      <c r="E12" s="6">
        <v>29430</v>
      </c>
      <c r="F12" s="6"/>
      <c r="G12" s="5">
        <v>2.4136067387440878</v>
      </c>
      <c r="H12" s="6">
        <v>2084</v>
      </c>
      <c r="I12" s="5">
        <v>8.9350025724575541</v>
      </c>
      <c r="J12" s="5"/>
      <c r="K12" s="6">
        <v>259</v>
      </c>
      <c r="L12" s="5">
        <v>6.4782391195597793</v>
      </c>
      <c r="M12" s="5"/>
    </row>
    <row r="13" spans="1:13" ht="14.1" customHeight="1" x14ac:dyDescent="0.25">
      <c r="A13" s="61" t="s">
        <v>44</v>
      </c>
      <c r="B13" s="6">
        <v>103322</v>
      </c>
      <c r="C13" s="5">
        <v>8.2879119310092015</v>
      </c>
      <c r="D13" s="5"/>
      <c r="E13" s="6">
        <v>99696</v>
      </c>
      <c r="F13" s="6"/>
      <c r="G13" s="5">
        <v>8.1762465995864968</v>
      </c>
      <c r="H13" s="6">
        <v>3420</v>
      </c>
      <c r="I13" s="5">
        <v>14.663008060367003</v>
      </c>
      <c r="J13" s="5"/>
      <c r="K13" s="6">
        <v>206</v>
      </c>
      <c r="L13" s="5">
        <v>5.152576288144072</v>
      </c>
      <c r="M13" s="5"/>
    </row>
    <row r="14" spans="1:13" ht="14.1" customHeight="1" x14ac:dyDescent="0.25">
      <c r="A14" s="61" t="s">
        <v>45</v>
      </c>
      <c r="B14" s="6">
        <v>38902</v>
      </c>
      <c r="C14" s="5">
        <v>3.1205004736660142</v>
      </c>
      <c r="D14" s="5"/>
      <c r="E14" s="6">
        <v>38162</v>
      </c>
      <c r="F14" s="6"/>
      <c r="G14" s="5">
        <v>3.1297336175314947</v>
      </c>
      <c r="H14" s="6">
        <v>582</v>
      </c>
      <c r="I14" s="5">
        <v>2.495283827816841</v>
      </c>
      <c r="J14" s="5"/>
      <c r="K14" s="6">
        <v>158</v>
      </c>
      <c r="L14" s="5">
        <v>3.9519759879939969</v>
      </c>
      <c r="M14" s="5"/>
    </row>
    <row r="15" spans="1:13" ht="10.5" hidden="1" customHeight="1" x14ac:dyDescent="0.25">
      <c r="A15" s="61" t="s">
        <v>46</v>
      </c>
      <c r="B15" s="3">
        <v>1859</v>
      </c>
      <c r="C15" s="3">
        <v>0.14911856409812146</v>
      </c>
      <c r="D15" s="5"/>
      <c r="E15" s="6">
        <v>1700</v>
      </c>
      <c r="F15" s="6"/>
      <c r="G15" s="5">
        <v>0.13942002908137785</v>
      </c>
      <c r="H15" s="6">
        <v>113</v>
      </c>
      <c r="I15" s="5">
        <v>0.4844795060881496</v>
      </c>
      <c r="J15" s="5"/>
      <c r="K15" s="6">
        <v>46</v>
      </c>
      <c r="L15" s="5">
        <v>1.150575287643822</v>
      </c>
      <c r="M15" s="5"/>
    </row>
    <row r="16" spans="1:13" ht="14.1" customHeight="1" x14ac:dyDescent="0.25">
      <c r="A16" s="61" t="s">
        <v>47</v>
      </c>
      <c r="B16" s="6">
        <v>24928</v>
      </c>
      <c r="C16" s="5">
        <v>1.9995844894233306</v>
      </c>
      <c r="D16" s="5"/>
      <c r="E16" s="6">
        <v>23742</v>
      </c>
      <c r="F16" s="6"/>
      <c r="G16" s="5">
        <v>1.9471237237941603</v>
      </c>
      <c r="H16" s="6">
        <v>896</v>
      </c>
      <c r="I16" s="5">
        <v>3.8415366146458583</v>
      </c>
      <c r="J16" s="5"/>
      <c r="K16" s="6">
        <v>290</v>
      </c>
      <c r="L16" s="5">
        <v>7.2536268134067026</v>
      </c>
      <c r="M16" s="5"/>
    </row>
    <row r="17" spans="1:13" ht="14.1" customHeight="1" x14ac:dyDescent="0.25">
      <c r="A17" s="68"/>
      <c r="B17" s="9"/>
      <c r="C17" s="15"/>
      <c r="D17" s="15"/>
      <c r="E17" s="9"/>
      <c r="F17" s="9"/>
      <c r="G17" s="15"/>
      <c r="H17" s="9"/>
      <c r="I17" s="15"/>
      <c r="J17" s="15"/>
      <c r="K17" s="9"/>
      <c r="L17" s="15"/>
      <c r="M17" s="15"/>
    </row>
    <row r="18" spans="1:13" ht="14.1" customHeight="1" x14ac:dyDescent="0.25">
      <c r="A18" s="63" t="s">
        <v>21</v>
      </c>
      <c r="B18" s="9">
        <v>10335</v>
      </c>
      <c r="C18" s="15">
        <v>100</v>
      </c>
      <c r="D18" s="15"/>
      <c r="E18" s="9">
        <v>10240</v>
      </c>
      <c r="F18" s="9"/>
      <c r="G18" s="15">
        <v>100</v>
      </c>
      <c r="H18" s="9">
        <v>87</v>
      </c>
      <c r="I18" s="15">
        <v>100</v>
      </c>
      <c r="J18" s="15"/>
      <c r="K18" s="9">
        <v>8</v>
      </c>
      <c r="L18" s="15">
        <v>100</v>
      </c>
      <c r="M18" s="15"/>
    </row>
    <row r="19" spans="1:13" ht="14.1" customHeight="1" x14ac:dyDescent="0.25">
      <c r="A19" s="61" t="s">
        <v>40</v>
      </c>
      <c r="B19" s="6">
        <v>7315</v>
      </c>
      <c r="C19" s="5">
        <v>70.678906627963244</v>
      </c>
      <c r="D19" s="5"/>
      <c r="E19" s="6">
        <v>7303</v>
      </c>
      <c r="F19" s="6"/>
      <c r="G19" s="5">
        <v>71.218359375000006</v>
      </c>
      <c r="H19" s="6">
        <v>12</v>
      </c>
      <c r="I19" s="5">
        <v>13.793103448275861</v>
      </c>
      <c r="J19" s="5"/>
      <c r="K19" s="3" t="s">
        <v>96</v>
      </c>
      <c r="L19" s="16" t="s">
        <v>96</v>
      </c>
      <c r="M19" s="5"/>
    </row>
    <row r="20" spans="1:13" ht="14.1" customHeight="1" x14ac:dyDescent="0.25">
      <c r="A20" s="61" t="s">
        <v>41</v>
      </c>
      <c r="B20" s="6">
        <v>534</v>
      </c>
      <c r="C20" s="5">
        <v>5.166908563134978</v>
      </c>
      <c r="D20" s="5"/>
      <c r="E20" s="6">
        <v>519</v>
      </c>
      <c r="F20" s="6"/>
      <c r="G20" s="5">
        <v>5.068359375</v>
      </c>
      <c r="H20" s="6">
        <v>14</v>
      </c>
      <c r="I20" s="5">
        <v>16.091954022988507</v>
      </c>
      <c r="J20" s="5"/>
      <c r="K20" s="3">
        <v>1</v>
      </c>
      <c r="L20" s="16">
        <v>12.5</v>
      </c>
      <c r="M20" s="5"/>
    </row>
    <row r="21" spans="1:13" ht="14.1" customHeight="1" x14ac:dyDescent="0.25">
      <c r="A21" s="61" t="s">
        <v>42</v>
      </c>
      <c r="B21" s="6">
        <v>26</v>
      </c>
      <c r="C21" s="5">
        <v>0.25157232704402516</v>
      </c>
      <c r="D21" s="5"/>
      <c r="E21" s="6">
        <v>26</v>
      </c>
      <c r="F21" s="6"/>
      <c r="G21" s="5">
        <v>0.25390625</v>
      </c>
      <c r="H21" s="3" t="s">
        <v>96</v>
      </c>
      <c r="I21" s="3" t="s">
        <v>96</v>
      </c>
      <c r="J21" s="3"/>
      <c r="K21" s="3" t="s">
        <v>96</v>
      </c>
      <c r="L21" s="16" t="s">
        <v>96</v>
      </c>
      <c r="M21" s="5"/>
    </row>
    <row r="22" spans="1:13" ht="14.1" customHeight="1" x14ac:dyDescent="0.25">
      <c r="A22" s="61" t="s">
        <v>43</v>
      </c>
      <c r="B22" s="6">
        <v>394</v>
      </c>
      <c r="C22" s="5">
        <v>3.8122883405902273</v>
      </c>
      <c r="D22" s="5"/>
      <c r="E22" s="6">
        <v>379</v>
      </c>
      <c r="F22" s="6"/>
      <c r="G22" s="5">
        <v>3.701171875</v>
      </c>
      <c r="H22" s="6">
        <v>14</v>
      </c>
      <c r="I22" s="5">
        <v>16.091954022988507</v>
      </c>
      <c r="J22" s="5"/>
      <c r="K22" s="3">
        <v>1</v>
      </c>
      <c r="L22" s="16">
        <v>12.5</v>
      </c>
      <c r="M22" s="5"/>
    </row>
    <row r="23" spans="1:13" ht="14.1" customHeight="1" x14ac:dyDescent="0.25">
      <c r="A23" s="61" t="s">
        <v>44</v>
      </c>
      <c r="B23" s="6">
        <v>937</v>
      </c>
      <c r="C23" s="5">
        <v>9.066279632317368</v>
      </c>
      <c r="D23" s="5"/>
      <c r="E23" s="6">
        <v>905</v>
      </c>
      <c r="F23" s="6"/>
      <c r="G23" s="5">
        <v>8.837890625</v>
      </c>
      <c r="H23" s="6">
        <v>30</v>
      </c>
      <c r="I23" s="5">
        <v>34.482758620689658</v>
      </c>
      <c r="J23" s="5"/>
      <c r="K23" s="3">
        <v>2</v>
      </c>
      <c r="L23" s="16">
        <v>25</v>
      </c>
      <c r="M23" s="5"/>
    </row>
    <row r="24" spans="1:13" ht="14.1" customHeight="1" x14ac:dyDescent="0.25">
      <c r="A24" s="61" t="s">
        <v>45</v>
      </c>
      <c r="B24" s="6">
        <v>551</v>
      </c>
      <c r="C24" s="5">
        <v>5.3313981615868409</v>
      </c>
      <c r="D24" s="5"/>
      <c r="E24" s="6">
        <v>548</v>
      </c>
      <c r="F24" s="6"/>
      <c r="G24" s="5">
        <v>5.3515625</v>
      </c>
      <c r="H24" s="6">
        <v>1</v>
      </c>
      <c r="I24" s="5">
        <v>1.1494252873563218</v>
      </c>
      <c r="J24" s="5"/>
      <c r="K24" s="3">
        <v>2</v>
      </c>
      <c r="L24" s="16">
        <v>25</v>
      </c>
      <c r="M24" s="5"/>
    </row>
    <row r="25" spans="1:13" ht="16.5" hidden="1" customHeight="1" x14ac:dyDescent="0.25">
      <c r="A25" s="61" t="s">
        <v>46</v>
      </c>
      <c r="B25" s="6">
        <v>20</v>
      </c>
      <c r="C25" s="5">
        <v>0.19351717464925011</v>
      </c>
      <c r="D25" s="5"/>
      <c r="E25" s="6">
        <v>19</v>
      </c>
      <c r="F25" s="6"/>
      <c r="G25" s="5">
        <v>0.185546875</v>
      </c>
      <c r="H25" s="6">
        <v>1</v>
      </c>
      <c r="I25" s="5">
        <v>1.1494252873563218</v>
      </c>
      <c r="J25" s="5"/>
      <c r="K25" s="3" t="s">
        <v>96</v>
      </c>
      <c r="L25" s="16" t="s">
        <v>96</v>
      </c>
      <c r="M25" s="5"/>
    </row>
    <row r="26" spans="1:13" ht="14.1" customHeight="1" x14ac:dyDescent="0.25">
      <c r="A26" s="61" t="s">
        <v>47</v>
      </c>
      <c r="B26" s="6">
        <v>578</v>
      </c>
      <c r="C26" s="5">
        <v>5.5926463473633277</v>
      </c>
      <c r="D26" s="5"/>
      <c r="E26" s="6">
        <v>560</v>
      </c>
      <c r="F26" s="6"/>
      <c r="G26" s="5">
        <v>5.46875</v>
      </c>
      <c r="H26" s="6">
        <v>16</v>
      </c>
      <c r="I26" s="5">
        <v>18.390804597701152</v>
      </c>
      <c r="J26" s="5"/>
      <c r="K26" s="3">
        <v>2</v>
      </c>
      <c r="L26" s="16">
        <v>25</v>
      </c>
      <c r="M26" s="5"/>
    </row>
    <row r="27" spans="1:13" ht="14.1" customHeight="1" x14ac:dyDescent="0.25">
      <c r="A27" s="68"/>
      <c r="B27" s="9"/>
      <c r="C27" s="15"/>
      <c r="D27" s="15"/>
      <c r="E27" s="9"/>
      <c r="F27" s="9"/>
      <c r="G27" s="15"/>
      <c r="H27" s="9"/>
      <c r="I27" s="15"/>
      <c r="J27" s="15"/>
      <c r="K27" s="9"/>
      <c r="L27" s="15"/>
      <c r="M27" s="15"/>
    </row>
    <row r="28" spans="1:13" ht="14.1" customHeight="1" x14ac:dyDescent="0.25">
      <c r="A28" s="63" t="s">
        <v>56</v>
      </c>
      <c r="B28" s="9">
        <v>33590</v>
      </c>
      <c r="C28" s="15">
        <v>100</v>
      </c>
      <c r="D28" s="15"/>
      <c r="E28" s="9">
        <v>33244</v>
      </c>
      <c r="F28" s="9"/>
      <c r="G28" s="15">
        <v>100</v>
      </c>
      <c r="H28" s="9">
        <v>328</v>
      </c>
      <c r="I28" s="15">
        <v>100</v>
      </c>
      <c r="J28" s="15"/>
      <c r="K28" s="9">
        <v>18</v>
      </c>
      <c r="L28" s="15">
        <v>100</v>
      </c>
      <c r="M28" s="15"/>
    </row>
    <row r="29" spans="1:13" ht="14.1" customHeight="1" x14ac:dyDescent="0.25">
      <c r="A29" s="61" t="s">
        <v>40</v>
      </c>
      <c r="B29" s="6">
        <v>25280</v>
      </c>
      <c r="C29" s="5">
        <v>75.160494194700803</v>
      </c>
      <c r="D29" s="5"/>
      <c r="E29" s="6">
        <v>25244</v>
      </c>
      <c r="F29" s="6"/>
      <c r="G29" s="5">
        <v>75.935507159186628</v>
      </c>
      <c r="H29" s="6">
        <v>35</v>
      </c>
      <c r="I29" s="5">
        <v>10.670731707317072</v>
      </c>
      <c r="J29" s="5"/>
      <c r="K29" s="6">
        <v>1</v>
      </c>
      <c r="L29" s="5">
        <v>5.5555555555555554</v>
      </c>
      <c r="M29" s="5"/>
    </row>
    <row r="30" spans="1:13" ht="14.1" customHeight="1" x14ac:dyDescent="0.25">
      <c r="A30" s="61" t="s">
        <v>41</v>
      </c>
      <c r="B30" s="6">
        <v>2786</v>
      </c>
      <c r="C30" s="5">
        <v>8.2941351592735941</v>
      </c>
      <c r="D30" s="5"/>
      <c r="E30" s="6">
        <v>2645</v>
      </c>
      <c r="F30" s="6"/>
      <c r="G30" s="5">
        <v>7.9563229454939242</v>
      </c>
      <c r="H30" s="6">
        <v>133</v>
      </c>
      <c r="I30" s="5">
        <v>40.548780487804883</v>
      </c>
      <c r="J30" s="5"/>
      <c r="K30" s="6">
        <v>8</v>
      </c>
      <c r="L30" s="5">
        <v>44.444444444444443</v>
      </c>
      <c r="M30" s="5"/>
    </row>
    <row r="31" spans="1:13" ht="14.1" customHeight="1" x14ac:dyDescent="0.25">
      <c r="A31" s="61" t="s">
        <v>42</v>
      </c>
      <c r="B31" s="6">
        <v>86</v>
      </c>
      <c r="C31" s="5">
        <v>0.25602857993450429</v>
      </c>
      <c r="D31" s="5"/>
      <c r="E31" s="6">
        <v>85</v>
      </c>
      <c r="F31" s="6"/>
      <c r="G31" s="5">
        <v>0.25568523643364216</v>
      </c>
      <c r="H31" s="6">
        <v>1</v>
      </c>
      <c r="I31" s="5">
        <v>0.3048780487804878</v>
      </c>
      <c r="J31" s="5"/>
      <c r="K31" s="3" t="s">
        <v>96</v>
      </c>
      <c r="L31" s="16" t="s">
        <v>96</v>
      </c>
      <c r="M31" s="5"/>
    </row>
    <row r="32" spans="1:13" ht="14.1" customHeight="1" x14ac:dyDescent="0.25">
      <c r="A32" s="61" t="s">
        <v>43</v>
      </c>
      <c r="B32" s="6">
        <v>1170</v>
      </c>
      <c r="C32" s="5">
        <v>3.4831795177136056</v>
      </c>
      <c r="D32" s="5"/>
      <c r="E32" s="6">
        <v>1101</v>
      </c>
      <c r="F32" s="6"/>
      <c r="G32" s="5">
        <v>3.3118758272169417</v>
      </c>
      <c r="H32" s="6">
        <v>64</v>
      </c>
      <c r="I32" s="5">
        <v>19.512195121951219</v>
      </c>
      <c r="J32" s="5"/>
      <c r="K32" s="3">
        <v>5</v>
      </c>
      <c r="L32" s="16">
        <v>27.777777777777779</v>
      </c>
      <c r="M32" s="5"/>
    </row>
    <row r="33" spans="1:13" ht="14.1" customHeight="1" x14ac:dyDescent="0.25">
      <c r="A33" s="61" t="s">
        <v>44</v>
      </c>
      <c r="B33" s="6">
        <v>2762</v>
      </c>
      <c r="C33" s="5">
        <v>8.2226853230128008</v>
      </c>
      <c r="D33" s="5"/>
      <c r="E33" s="6">
        <v>2685</v>
      </c>
      <c r="F33" s="6"/>
      <c r="G33" s="5">
        <v>8.0766454096979921</v>
      </c>
      <c r="H33" s="6">
        <v>75</v>
      </c>
      <c r="I33" s="5">
        <v>22.865853658536587</v>
      </c>
      <c r="J33" s="5"/>
      <c r="K33" s="3">
        <v>2</v>
      </c>
      <c r="L33" s="16">
        <v>11.111111111111111</v>
      </c>
      <c r="M33" s="5"/>
    </row>
    <row r="34" spans="1:13" ht="14.1" customHeight="1" x14ac:dyDescent="0.25">
      <c r="A34" s="61" t="s">
        <v>45</v>
      </c>
      <c r="B34" s="6">
        <v>951</v>
      </c>
      <c r="C34" s="5">
        <v>2.8311997618338793</v>
      </c>
      <c r="D34" s="5"/>
      <c r="E34" s="6">
        <v>942</v>
      </c>
      <c r="F34" s="6"/>
      <c r="G34" s="5">
        <v>2.8335940320057755</v>
      </c>
      <c r="H34" s="6">
        <v>9</v>
      </c>
      <c r="I34" s="5">
        <v>2.7439024390243905</v>
      </c>
      <c r="J34" s="5"/>
      <c r="K34" s="3" t="s">
        <v>96</v>
      </c>
      <c r="L34" s="16" t="s">
        <v>96</v>
      </c>
      <c r="M34" s="5"/>
    </row>
    <row r="35" spans="1:13" ht="11.25" hidden="1" customHeight="1" x14ac:dyDescent="0.25">
      <c r="A35" s="61" t="s">
        <v>46</v>
      </c>
      <c r="B35" s="6">
        <v>28</v>
      </c>
      <c r="C35" s="5">
        <v>8.3358142304257227E-2</v>
      </c>
      <c r="D35" s="5"/>
      <c r="E35" s="6">
        <v>25</v>
      </c>
      <c r="F35" s="6"/>
      <c r="G35" s="5">
        <v>7.5201540127541808E-2</v>
      </c>
      <c r="H35" s="6">
        <v>3</v>
      </c>
      <c r="I35" s="5">
        <v>0.91463414634146334</v>
      </c>
      <c r="J35" s="5"/>
      <c r="K35" s="3" t="s">
        <v>96</v>
      </c>
      <c r="L35" s="16" t="s">
        <v>96</v>
      </c>
      <c r="M35" s="5"/>
    </row>
    <row r="36" spans="1:13" ht="14.1" customHeight="1" x14ac:dyDescent="0.25">
      <c r="A36" s="61" t="s">
        <v>47</v>
      </c>
      <c r="B36" s="6">
        <v>555</v>
      </c>
      <c r="C36" s="5">
        <v>1.6522774635308131</v>
      </c>
      <c r="D36" s="5"/>
      <c r="E36" s="6">
        <v>542</v>
      </c>
      <c r="F36" s="6"/>
      <c r="G36" s="5">
        <v>1.6303693899651066</v>
      </c>
      <c r="H36" s="6">
        <v>11</v>
      </c>
      <c r="I36" s="5">
        <v>3.3536585365853657</v>
      </c>
      <c r="J36" s="5"/>
      <c r="K36" s="6">
        <v>2</v>
      </c>
      <c r="L36" s="5">
        <v>11.111111111111111</v>
      </c>
      <c r="M36" s="5"/>
    </row>
    <row r="37" spans="1:13" ht="14.1" customHeight="1" x14ac:dyDescent="0.25">
      <c r="A37" s="68"/>
      <c r="B37" s="6"/>
      <c r="C37" s="5"/>
      <c r="D37" s="5"/>
      <c r="E37" s="6"/>
      <c r="F37" s="6"/>
      <c r="G37" s="5"/>
      <c r="H37" s="6"/>
      <c r="I37" s="16"/>
      <c r="J37" s="16"/>
      <c r="K37" s="6"/>
      <c r="L37" s="16"/>
      <c r="M37" s="16"/>
    </row>
    <row r="38" spans="1:13" ht="14.1" customHeight="1" x14ac:dyDescent="0.25">
      <c r="A38" s="63" t="s">
        <v>49</v>
      </c>
      <c r="B38" s="9">
        <v>13338</v>
      </c>
      <c r="C38" s="15">
        <v>100</v>
      </c>
      <c r="D38" s="15"/>
      <c r="E38" s="9">
        <v>13207</v>
      </c>
      <c r="F38" s="9"/>
      <c r="G38" s="15">
        <v>100</v>
      </c>
      <c r="H38" s="9">
        <v>119</v>
      </c>
      <c r="I38" s="15">
        <v>100</v>
      </c>
      <c r="J38" s="15"/>
      <c r="K38" s="9">
        <v>12</v>
      </c>
      <c r="L38" s="15">
        <v>100</v>
      </c>
      <c r="M38" s="15"/>
    </row>
    <row r="39" spans="1:13" ht="14.1" customHeight="1" x14ac:dyDescent="0.25">
      <c r="A39" s="61" t="s">
        <v>40</v>
      </c>
      <c r="B39" s="6">
        <v>9909</v>
      </c>
      <c r="C39" s="5">
        <v>74.391497975708489</v>
      </c>
      <c r="D39" s="5"/>
      <c r="E39" s="6">
        <v>9889</v>
      </c>
      <c r="F39" s="6"/>
      <c r="G39" s="5">
        <v>74.976959188309223</v>
      </c>
      <c r="H39" s="6">
        <v>20</v>
      </c>
      <c r="I39" s="5">
        <v>16.806722689075631</v>
      </c>
      <c r="J39" s="5"/>
      <c r="K39" s="16" t="s">
        <v>96</v>
      </c>
      <c r="L39" s="16" t="s">
        <v>96</v>
      </c>
      <c r="M39" s="5"/>
    </row>
    <row r="40" spans="1:13" ht="14.1" customHeight="1" x14ac:dyDescent="0.25">
      <c r="A40" s="61" t="s">
        <v>41</v>
      </c>
      <c r="B40" s="6">
        <v>1023</v>
      </c>
      <c r="C40" s="5">
        <v>7.6698155645524064</v>
      </c>
      <c r="D40" s="5"/>
      <c r="E40" s="6">
        <v>982</v>
      </c>
      <c r="F40" s="6"/>
      <c r="G40" s="5">
        <v>7.4354508972514584</v>
      </c>
      <c r="H40" s="6">
        <v>37</v>
      </c>
      <c r="I40" s="5">
        <v>31.092436974789916</v>
      </c>
      <c r="J40" s="5"/>
      <c r="K40" s="6">
        <v>4</v>
      </c>
      <c r="L40" s="16">
        <v>33.43333333333333</v>
      </c>
      <c r="M40" s="5"/>
    </row>
    <row r="41" spans="1:13" ht="14.1" customHeight="1" x14ac:dyDescent="0.25">
      <c r="A41" s="61" t="s">
        <v>42</v>
      </c>
      <c r="B41" s="6">
        <v>18</v>
      </c>
      <c r="C41" s="5">
        <v>0.1349527665317139</v>
      </c>
      <c r="D41" s="5"/>
      <c r="E41" s="6">
        <v>18</v>
      </c>
      <c r="F41" s="6"/>
      <c r="G41" s="5">
        <v>0.13629136064208375</v>
      </c>
      <c r="H41" s="3" t="s">
        <v>96</v>
      </c>
      <c r="I41" s="3" t="s">
        <v>96</v>
      </c>
      <c r="J41" s="5"/>
      <c r="K41" s="16" t="s">
        <v>96</v>
      </c>
      <c r="L41" s="16" t="s">
        <v>96</v>
      </c>
      <c r="M41" s="5"/>
    </row>
    <row r="42" spans="1:13" ht="14.1" customHeight="1" x14ac:dyDescent="0.25">
      <c r="A42" s="61" t="s">
        <v>43</v>
      </c>
      <c r="B42" s="6">
        <v>804</v>
      </c>
      <c r="C42" s="5">
        <v>6.0278902384165542</v>
      </c>
      <c r="D42" s="5"/>
      <c r="E42" s="6">
        <v>769</v>
      </c>
      <c r="F42" s="6"/>
      <c r="G42" s="5">
        <v>5.8226697963201328</v>
      </c>
      <c r="H42" s="6">
        <v>32</v>
      </c>
      <c r="I42" s="5">
        <v>26.890756302521009</v>
      </c>
      <c r="J42" s="5"/>
      <c r="K42" s="6">
        <v>3</v>
      </c>
      <c r="L42" s="16">
        <v>25</v>
      </c>
      <c r="M42" s="5"/>
    </row>
    <row r="43" spans="1:13" ht="14.1" customHeight="1" x14ac:dyDescent="0.25">
      <c r="A43" s="61" t="s">
        <v>44</v>
      </c>
      <c r="B43" s="6">
        <v>884</v>
      </c>
      <c r="C43" s="5">
        <v>6.6276803118908383</v>
      </c>
      <c r="D43" s="5"/>
      <c r="E43" s="6">
        <v>857</v>
      </c>
      <c r="F43" s="6"/>
      <c r="G43" s="5">
        <v>6.488983115014765</v>
      </c>
      <c r="H43" s="6">
        <v>26</v>
      </c>
      <c r="I43" s="5">
        <v>21.84873949579832</v>
      </c>
      <c r="J43" s="5"/>
      <c r="K43" s="6">
        <v>1</v>
      </c>
      <c r="L43" s="16">
        <v>8.3333333333333321</v>
      </c>
      <c r="M43" s="5"/>
    </row>
    <row r="44" spans="1:13" ht="14.1" customHeight="1" x14ac:dyDescent="0.25">
      <c r="A44" s="61" t="s">
        <v>45</v>
      </c>
      <c r="B44" s="6">
        <v>455</v>
      </c>
      <c r="C44" s="5">
        <v>3.41130604288499</v>
      </c>
      <c r="D44" s="5"/>
      <c r="E44" s="6">
        <v>453</v>
      </c>
      <c r="F44" s="6"/>
      <c r="G44" s="5">
        <v>3.4299992428257742</v>
      </c>
      <c r="H44" s="6">
        <v>2</v>
      </c>
      <c r="I44" s="5">
        <v>1.680672268907563</v>
      </c>
      <c r="J44" s="5"/>
      <c r="K44" s="16" t="s">
        <v>96</v>
      </c>
      <c r="L44" s="16" t="s">
        <v>96</v>
      </c>
      <c r="M44" s="5"/>
    </row>
    <row r="45" spans="1:13" ht="14.25" hidden="1" customHeight="1" x14ac:dyDescent="0.25">
      <c r="A45" s="61" t="s">
        <v>46</v>
      </c>
      <c r="B45" s="6">
        <v>34</v>
      </c>
      <c r="C45" s="5">
        <v>0.25491078122657068</v>
      </c>
      <c r="D45" s="5"/>
      <c r="E45" s="6">
        <v>32</v>
      </c>
      <c r="F45" s="6"/>
      <c r="G45" s="5">
        <v>0.24229575225259331</v>
      </c>
      <c r="H45" s="6">
        <v>1</v>
      </c>
      <c r="I45" s="5">
        <v>0.84033613445378152</v>
      </c>
      <c r="J45" s="5"/>
      <c r="K45" s="6">
        <v>1</v>
      </c>
      <c r="L45" s="16">
        <v>8.3333333333333321</v>
      </c>
      <c r="M45" s="5"/>
    </row>
    <row r="46" spans="1:13" ht="14.1" customHeight="1" x14ac:dyDescent="0.25">
      <c r="A46" s="61" t="s">
        <v>47</v>
      </c>
      <c r="B46" s="6">
        <v>245</v>
      </c>
      <c r="C46" s="5">
        <v>1.8368571000149949</v>
      </c>
      <c r="D46" s="5"/>
      <c r="E46" s="6">
        <v>239</v>
      </c>
      <c r="F46" s="6"/>
      <c r="G46" s="5">
        <v>1.8096463996365564</v>
      </c>
      <c r="H46" s="6">
        <v>2</v>
      </c>
      <c r="I46" s="5">
        <v>1.680672268907563</v>
      </c>
      <c r="J46" s="5"/>
      <c r="K46" s="6">
        <v>4</v>
      </c>
      <c r="L46" s="16">
        <v>33.333333333333329</v>
      </c>
      <c r="M46" s="5"/>
    </row>
    <row r="47" spans="1:13" ht="14.1" customHeight="1" x14ac:dyDescent="0.25">
      <c r="A47" s="69"/>
      <c r="B47" s="9"/>
      <c r="C47" s="5"/>
      <c r="D47" s="5"/>
      <c r="E47" s="6"/>
      <c r="F47" s="6"/>
      <c r="G47" s="5"/>
      <c r="H47" s="6"/>
      <c r="I47" s="16"/>
      <c r="J47" s="16"/>
      <c r="K47" s="6"/>
      <c r="L47" s="16"/>
      <c r="M47" s="16"/>
    </row>
    <row r="48" spans="1:13" ht="14.1" customHeight="1" x14ac:dyDescent="0.25">
      <c r="A48" s="63" t="s">
        <v>20</v>
      </c>
      <c r="B48" s="9">
        <v>67746</v>
      </c>
      <c r="C48" s="15">
        <v>100</v>
      </c>
      <c r="D48" s="15"/>
      <c r="E48" s="9">
        <v>66529</v>
      </c>
      <c r="F48" s="9"/>
      <c r="G48" s="15">
        <v>100</v>
      </c>
      <c r="H48" s="9">
        <v>1086</v>
      </c>
      <c r="I48" s="15">
        <v>100</v>
      </c>
      <c r="J48" s="15"/>
      <c r="K48" s="9">
        <v>131</v>
      </c>
      <c r="L48" s="15">
        <v>100</v>
      </c>
      <c r="M48" s="15"/>
    </row>
    <row r="49" spans="1:13" ht="14.1" customHeight="1" x14ac:dyDescent="0.25">
      <c r="A49" s="61" t="s">
        <v>40</v>
      </c>
      <c r="B49" s="6">
        <v>46526</v>
      </c>
      <c r="C49" s="5">
        <v>68.677117468190005</v>
      </c>
      <c r="D49" s="5"/>
      <c r="E49" s="6">
        <v>46428</v>
      </c>
      <c r="F49" s="6"/>
      <c r="G49" s="5">
        <v>69.786108313667725</v>
      </c>
      <c r="H49" s="6">
        <v>96</v>
      </c>
      <c r="I49" s="5">
        <v>8.8397790055248606</v>
      </c>
      <c r="J49" s="5"/>
      <c r="K49" s="6">
        <v>2</v>
      </c>
      <c r="L49" s="5">
        <v>1.5267175572519083</v>
      </c>
      <c r="M49" s="5"/>
    </row>
    <row r="50" spans="1:13" ht="14.1" customHeight="1" x14ac:dyDescent="0.25">
      <c r="A50" s="61" t="s">
        <v>41</v>
      </c>
      <c r="B50" s="6">
        <v>6956</v>
      </c>
      <c r="C50" s="5">
        <v>10.267764886487763</v>
      </c>
      <c r="D50" s="5"/>
      <c r="E50" s="6">
        <v>6468</v>
      </c>
      <c r="F50" s="6"/>
      <c r="G50" s="5">
        <v>9.7220760871199037</v>
      </c>
      <c r="H50" s="6">
        <v>420</v>
      </c>
      <c r="I50" s="5">
        <v>38.674033149171272</v>
      </c>
      <c r="J50" s="5"/>
      <c r="K50" s="6">
        <v>68</v>
      </c>
      <c r="L50" s="5">
        <v>52.008396946564886</v>
      </c>
      <c r="M50" s="5"/>
    </row>
    <row r="51" spans="1:13" ht="14.1" customHeight="1" x14ac:dyDescent="0.25">
      <c r="A51" s="61" t="s">
        <v>42</v>
      </c>
      <c r="B51" s="6">
        <v>222</v>
      </c>
      <c r="C51" s="5">
        <v>0.32769462403684352</v>
      </c>
      <c r="D51" s="5"/>
      <c r="E51" s="6">
        <v>214</v>
      </c>
      <c r="F51" s="6"/>
      <c r="G51" s="5">
        <v>0.32166423664867955</v>
      </c>
      <c r="H51" s="6">
        <v>8</v>
      </c>
      <c r="I51" s="5">
        <v>0.73664825046040516</v>
      </c>
      <c r="J51" s="5"/>
      <c r="K51" s="3" t="s">
        <v>96</v>
      </c>
      <c r="L51" s="3" t="s">
        <v>96</v>
      </c>
      <c r="M51" s="5"/>
    </row>
    <row r="52" spans="1:13" ht="14.1" customHeight="1" x14ac:dyDescent="0.25">
      <c r="A52" s="61" t="s">
        <v>43</v>
      </c>
      <c r="B52" s="6">
        <v>3477</v>
      </c>
      <c r="C52" s="5">
        <v>5.1324063413338052</v>
      </c>
      <c r="D52" s="5"/>
      <c r="E52" s="6">
        <v>3236</v>
      </c>
      <c r="F52" s="6"/>
      <c r="G52" s="5">
        <v>4.8640442513790978</v>
      </c>
      <c r="H52" s="6">
        <v>220</v>
      </c>
      <c r="I52" s="5">
        <v>20.257826887661142</v>
      </c>
      <c r="J52" s="5"/>
      <c r="K52" s="6">
        <v>21</v>
      </c>
      <c r="L52" s="5">
        <v>16.030534351145036</v>
      </c>
      <c r="M52" s="5"/>
    </row>
    <row r="53" spans="1:13" ht="14.1" customHeight="1" x14ac:dyDescent="0.25">
      <c r="A53" s="61" t="s">
        <v>44</v>
      </c>
      <c r="B53" s="6">
        <v>7541</v>
      </c>
      <c r="C53" s="5">
        <v>11.131284503882148</v>
      </c>
      <c r="D53" s="5"/>
      <c r="E53" s="6">
        <v>7254</v>
      </c>
      <c r="F53" s="6"/>
      <c r="G53" s="5">
        <v>10.903515760044492</v>
      </c>
      <c r="H53" s="6">
        <v>269</v>
      </c>
      <c r="I53" s="5">
        <v>24.769797421731123</v>
      </c>
      <c r="J53" s="5"/>
      <c r="K53" s="6">
        <v>18</v>
      </c>
      <c r="L53" s="5">
        <v>13.740458015267176</v>
      </c>
      <c r="M53" s="5"/>
    </row>
    <row r="54" spans="1:13" ht="14.1" customHeight="1" x14ac:dyDescent="0.25">
      <c r="A54" s="61" t="s">
        <v>45</v>
      </c>
      <c r="B54" s="6">
        <v>2134</v>
      </c>
      <c r="C54" s="5">
        <v>3.1500014761019104</v>
      </c>
      <c r="D54" s="5"/>
      <c r="E54" s="6">
        <v>2084</v>
      </c>
      <c r="F54" s="6"/>
      <c r="G54" s="5">
        <v>3.1324685475506922</v>
      </c>
      <c r="H54" s="6">
        <v>35</v>
      </c>
      <c r="I54" s="5">
        <v>3.2228360957642725</v>
      </c>
      <c r="J54" s="5"/>
      <c r="K54" s="6">
        <v>15</v>
      </c>
      <c r="L54" s="5">
        <v>11.450381679389313</v>
      </c>
      <c r="M54" s="5"/>
    </row>
    <row r="55" spans="1:13" ht="10.5" hidden="1" customHeight="1" x14ac:dyDescent="0.25">
      <c r="A55" s="61" t="s">
        <v>46</v>
      </c>
      <c r="B55" s="6">
        <v>137</v>
      </c>
      <c r="C55" s="5">
        <v>0.20222596168039442</v>
      </c>
      <c r="D55" s="5"/>
      <c r="E55" s="6">
        <v>126</v>
      </c>
      <c r="F55" s="6"/>
      <c r="G55" s="5">
        <v>0.18939109260623188</v>
      </c>
      <c r="H55" s="6">
        <v>9</v>
      </c>
      <c r="I55" s="5">
        <v>0.82872928176795579</v>
      </c>
      <c r="J55" s="5"/>
      <c r="K55" s="6">
        <v>2</v>
      </c>
      <c r="L55" s="5">
        <v>1.5267175572519083</v>
      </c>
      <c r="M55" s="5"/>
    </row>
    <row r="56" spans="1:13" ht="14.1" customHeight="1" x14ac:dyDescent="0.25">
      <c r="A56" s="61" t="s">
        <v>47</v>
      </c>
      <c r="B56" s="6">
        <v>890</v>
      </c>
      <c r="C56" s="5">
        <v>1.3137306999675258</v>
      </c>
      <c r="D56" s="5"/>
      <c r="E56" s="6">
        <v>845</v>
      </c>
      <c r="F56" s="6"/>
      <c r="G56" s="5">
        <v>1.2701228035894121</v>
      </c>
      <c r="H56" s="6">
        <v>38</v>
      </c>
      <c r="I56" s="5">
        <v>3.4990791896869244</v>
      </c>
      <c r="J56" s="5"/>
      <c r="K56" s="6">
        <v>5</v>
      </c>
      <c r="L56" s="5">
        <v>5.3435114503816799</v>
      </c>
      <c r="M56" s="5"/>
    </row>
    <row r="57" spans="1:13" ht="14.1" customHeight="1" x14ac:dyDescent="0.25">
      <c r="A57" s="61"/>
      <c r="B57" s="6"/>
      <c r="C57" s="5"/>
      <c r="D57" s="5"/>
      <c r="E57" s="6"/>
      <c r="F57" s="6"/>
      <c r="G57" s="5"/>
      <c r="H57" s="6"/>
      <c r="I57" s="16"/>
      <c r="J57" s="16"/>
      <c r="K57" s="6"/>
      <c r="L57" s="16"/>
      <c r="M57" s="16"/>
    </row>
    <row r="58" spans="1:13" ht="14.1" customHeight="1" x14ac:dyDescent="0.25">
      <c r="A58" s="63" t="s">
        <v>19</v>
      </c>
      <c r="B58" s="9">
        <v>18024</v>
      </c>
      <c r="C58" s="15">
        <v>100</v>
      </c>
      <c r="D58" s="15"/>
      <c r="E58" s="9">
        <v>17844</v>
      </c>
      <c r="F58" s="9"/>
      <c r="G58" s="15">
        <v>100</v>
      </c>
      <c r="H58" s="9">
        <v>169</v>
      </c>
      <c r="I58" s="15">
        <v>100</v>
      </c>
      <c r="J58" s="15"/>
      <c r="K58" s="9">
        <v>11</v>
      </c>
      <c r="L58" s="15">
        <v>100</v>
      </c>
      <c r="M58" s="15"/>
    </row>
    <row r="59" spans="1:13" ht="14.1" customHeight="1" x14ac:dyDescent="0.25">
      <c r="A59" s="61" t="s">
        <v>40</v>
      </c>
      <c r="B59" s="6">
        <v>13634</v>
      </c>
      <c r="C59" s="5">
        <v>75.64358632933866</v>
      </c>
      <c r="D59" s="5"/>
      <c r="E59" s="6">
        <v>13600</v>
      </c>
      <c r="F59" s="6"/>
      <c r="G59" s="5">
        <v>76.316095045953816</v>
      </c>
      <c r="H59" s="6">
        <v>30</v>
      </c>
      <c r="I59" s="5">
        <v>17.751479289940828</v>
      </c>
      <c r="J59" s="5"/>
      <c r="K59" s="6">
        <v>4</v>
      </c>
      <c r="L59" s="5">
        <v>36.263636363636365</v>
      </c>
      <c r="M59" s="5"/>
    </row>
    <row r="60" spans="1:13" ht="14.1" customHeight="1" x14ac:dyDescent="0.25">
      <c r="A60" s="61" t="s">
        <v>41</v>
      </c>
      <c r="B60" s="6">
        <v>1761</v>
      </c>
      <c r="C60" s="5">
        <v>9.7703062583222362</v>
      </c>
      <c r="D60" s="5"/>
      <c r="E60" s="6">
        <v>1701</v>
      </c>
      <c r="F60" s="6"/>
      <c r="G60" s="5">
        <v>9.5326160053799605</v>
      </c>
      <c r="H60" s="6">
        <v>57</v>
      </c>
      <c r="I60" s="5">
        <v>33.727810650887577</v>
      </c>
      <c r="J60" s="5"/>
      <c r="K60" s="6">
        <v>3</v>
      </c>
      <c r="L60" s="5">
        <v>27.27272727272727</v>
      </c>
      <c r="M60" s="5"/>
    </row>
    <row r="61" spans="1:13" ht="14.1" customHeight="1" x14ac:dyDescent="0.25">
      <c r="A61" s="61" t="s">
        <v>42</v>
      </c>
      <c r="B61" s="6">
        <v>25</v>
      </c>
      <c r="C61" s="5">
        <v>0.13870395028850424</v>
      </c>
      <c r="D61" s="5"/>
      <c r="E61" s="6">
        <v>25</v>
      </c>
      <c r="F61" s="6"/>
      <c r="G61" s="5">
        <v>0.14010311589329746</v>
      </c>
      <c r="H61" s="3" t="s">
        <v>96</v>
      </c>
      <c r="I61" s="3" t="s">
        <v>96</v>
      </c>
      <c r="J61" s="5"/>
      <c r="K61" s="3" t="s">
        <v>96</v>
      </c>
      <c r="L61" s="16" t="s">
        <v>96</v>
      </c>
      <c r="M61" s="5"/>
    </row>
    <row r="62" spans="1:13" ht="14.1" customHeight="1" x14ac:dyDescent="0.25">
      <c r="A62" s="61" t="s">
        <v>43</v>
      </c>
      <c r="B62" s="6">
        <v>551</v>
      </c>
      <c r="C62" s="5">
        <v>3.057035064358633</v>
      </c>
      <c r="D62" s="5"/>
      <c r="E62" s="6">
        <v>520</v>
      </c>
      <c r="F62" s="6"/>
      <c r="G62" s="5">
        <v>2.9141448105805874</v>
      </c>
      <c r="H62" s="6">
        <v>31</v>
      </c>
      <c r="I62" s="5">
        <v>18.34319526627219</v>
      </c>
      <c r="J62" s="5"/>
      <c r="K62" s="3" t="s">
        <v>96</v>
      </c>
      <c r="L62" s="16" t="s">
        <v>96</v>
      </c>
      <c r="M62" s="5"/>
    </row>
    <row r="63" spans="1:13" ht="14.1" customHeight="1" x14ac:dyDescent="0.25">
      <c r="A63" s="61" t="s">
        <v>44</v>
      </c>
      <c r="B63" s="6">
        <v>1211</v>
      </c>
      <c r="C63" s="5">
        <v>6.718819351975144</v>
      </c>
      <c r="D63" s="5"/>
      <c r="E63" s="6">
        <v>1175</v>
      </c>
      <c r="F63" s="6"/>
      <c r="G63" s="5">
        <v>6.5848464469849803</v>
      </c>
      <c r="H63" s="6">
        <v>34</v>
      </c>
      <c r="I63" s="5">
        <v>20.118343195266274</v>
      </c>
      <c r="J63" s="5"/>
      <c r="K63" s="3">
        <v>2</v>
      </c>
      <c r="L63" s="16">
        <v>18.181818181818183</v>
      </c>
      <c r="M63" s="5"/>
    </row>
    <row r="64" spans="1:13" ht="14.1" customHeight="1" x14ac:dyDescent="0.25">
      <c r="A64" s="61" t="s">
        <v>45</v>
      </c>
      <c r="B64" s="6">
        <v>525</v>
      </c>
      <c r="C64" s="5">
        <v>2.9127829560585883</v>
      </c>
      <c r="D64" s="5"/>
      <c r="E64" s="6">
        <v>523</v>
      </c>
      <c r="F64" s="6"/>
      <c r="G64" s="5">
        <v>2.9309571844877831</v>
      </c>
      <c r="H64" s="6">
        <v>2</v>
      </c>
      <c r="I64" s="5">
        <v>1.1834319526627219</v>
      </c>
      <c r="J64" s="5"/>
      <c r="K64" s="3" t="s">
        <v>96</v>
      </c>
      <c r="L64" s="16" t="s">
        <v>96</v>
      </c>
      <c r="M64" s="5"/>
    </row>
    <row r="65" spans="1:13" ht="10.5" hidden="1" customHeight="1" x14ac:dyDescent="0.25">
      <c r="A65" s="61" t="s">
        <v>46</v>
      </c>
      <c r="B65" s="6">
        <v>79</v>
      </c>
      <c r="C65" s="5">
        <v>0.43830448291167334</v>
      </c>
      <c r="D65" s="5"/>
      <c r="E65" s="6">
        <v>74</v>
      </c>
      <c r="F65" s="6"/>
      <c r="G65" s="5">
        <v>0.41470522304416052</v>
      </c>
      <c r="H65" s="6">
        <v>3</v>
      </c>
      <c r="I65" s="5">
        <v>1.7751479289940828</v>
      </c>
      <c r="J65" s="5"/>
      <c r="K65" s="6">
        <v>2</v>
      </c>
      <c r="L65" s="5">
        <v>18.181818181818183</v>
      </c>
      <c r="M65" s="5"/>
    </row>
    <row r="66" spans="1:13" ht="14.1" customHeight="1" x14ac:dyDescent="0.25">
      <c r="A66" s="61" t="s">
        <v>47</v>
      </c>
      <c r="B66" s="6">
        <v>317</v>
      </c>
      <c r="C66" s="5">
        <v>1.7587660896582336</v>
      </c>
      <c r="D66" s="5"/>
      <c r="E66" s="6">
        <v>300</v>
      </c>
      <c r="F66" s="6"/>
      <c r="G66" s="5">
        <v>1.6812373907195697</v>
      </c>
      <c r="H66" s="6">
        <v>15</v>
      </c>
      <c r="I66" s="5">
        <v>8.8757396449704142</v>
      </c>
      <c r="J66" s="5"/>
      <c r="K66" s="6">
        <v>2</v>
      </c>
      <c r="L66" s="5">
        <v>18.181818181818183</v>
      </c>
      <c r="M66" s="5"/>
    </row>
    <row r="67" spans="1:13" ht="14.1" customHeight="1" x14ac:dyDescent="0.25">
      <c r="A67" s="68"/>
      <c r="B67" s="6"/>
      <c r="C67" s="5"/>
      <c r="D67" s="5"/>
      <c r="E67" s="6"/>
      <c r="F67" s="6"/>
      <c r="G67" s="5"/>
      <c r="H67" s="6"/>
      <c r="I67" s="16"/>
      <c r="J67" s="16"/>
      <c r="K67" s="6"/>
      <c r="L67" s="16"/>
      <c r="M67" s="16"/>
    </row>
    <row r="68" spans="1:13" ht="14.1" customHeight="1" x14ac:dyDescent="0.25">
      <c r="A68" s="63" t="s">
        <v>18</v>
      </c>
      <c r="B68" s="9">
        <v>30687</v>
      </c>
      <c r="C68" s="15">
        <v>100</v>
      </c>
      <c r="D68" s="15"/>
      <c r="E68" s="9">
        <v>30253</v>
      </c>
      <c r="F68" s="9"/>
      <c r="G68" s="15">
        <v>100</v>
      </c>
      <c r="H68" s="9">
        <v>391</v>
      </c>
      <c r="I68" s="15">
        <v>100</v>
      </c>
      <c r="J68" s="15"/>
      <c r="K68" s="9">
        <v>43</v>
      </c>
      <c r="L68" s="15">
        <v>100</v>
      </c>
      <c r="M68" s="15"/>
    </row>
    <row r="69" spans="1:13" ht="14.1" customHeight="1" x14ac:dyDescent="0.25">
      <c r="A69" s="61" t="s">
        <v>40</v>
      </c>
      <c r="B69" s="6">
        <v>21036</v>
      </c>
      <c r="C69" s="5">
        <v>68.35020041059731</v>
      </c>
      <c r="D69" s="5"/>
      <c r="E69" s="6">
        <v>20998</v>
      </c>
      <c r="F69" s="6"/>
      <c r="G69" s="5">
        <v>69.30799259577563</v>
      </c>
      <c r="H69" s="6">
        <v>37</v>
      </c>
      <c r="I69" s="5">
        <v>9.4629156010230187</v>
      </c>
      <c r="J69" s="5"/>
      <c r="K69" s="6">
        <v>1</v>
      </c>
      <c r="L69" s="5">
        <v>2.3255813953488373</v>
      </c>
      <c r="M69" s="5"/>
    </row>
    <row r="70" spans="1:13" ht="14.1" customHeight="1" x14ac:dyDescent="0.25">
      <c r="A70" s="61" t="s">
        <v>41</v>
      </c>
      <c r="B70" s="6">
        <v>1938</v>
      </c>
      <c r="C70" s="5">
        <v>6.3153778472969009</v>
      </c>
      <c r="D70" s="5"/>
      <c r="E70" s="6">
        <v>1825</v>
      </c>
      <c r="F70" s="6"/>
      <c r="G70" s="5">
        <v>6.0324595907843852</v>
      </c>
      <c r="H70" s="6">
        <v>91</v>
      </c>
      <c r="I70" s="5">
        <v>23.273657289002557</v>
      </c>
      <c r="J70" s="5"/>
      <c r="K70" s="6">
        <v>22</v>
      </c>
      <c r="L70" s="5">
        <v>51.062790697674423</v>
      </c>
      <c r="M70" s="5"/>
    </row>
    <row r="71" spans="1:13" ht="14.1" customHeight="1" x14ac:dyDescent="0.25">
      <c r="A71" s="61" t="s">
        <v>42</v>
      </c>
      <c r="B71" s="6">
        <v>78</v>
      </c>
      <c r="C71" s="5">
        <v>0.25417929416365237</v>
      </c>
      <c r="D71" s="5"/>
      <c r="E71" s="6">
        <v>78</v>
      </c>
      <c r="F71" s="6"/>
      <c r="G71" s="5">
        <v>0.25782567018146957</v>
      </c>
      <c r="H71" s="3" t="s">
        <v>96</v>
      </c>
      <c r="I71" s="3" t="s">
        <v>96</v>
      </c>
      <c r="J71" s="5"/>
      <c r="K71" s="3" t="s">
        <v>96</v>
      </c>
      <c r="L71" s="3" t="s">
        <v>96</v>
      </c>
      <c r="M71" s="5"/>
    </row>
    <row r="72" spans="1:13" ht="14.1" customHeight="1" x14ac:dyDescent="0.25">
      <c r="A72" s="61" t="s">
        <v>43</v>
      </c>
      <c r="B72" s="6">
        <v>2596</v>
      </c>
      <c r="C72" s="5">
        <v>8.4596083031902758</v>
      </c>
      <c r="D72" s="5"/>
      <c r="E72" s="6">
        <v>2449</v>
      </c>
      <c r="F72" s="6"/>
      <c r="G72" s="5">
        <v>8.0950649522361413</v>
      </c>
      <c r="H72" s="6">
        <v>137</v>
      </c>
      <c r="I72" s="5">
        <v>34.938363171355498</v>
      </c>
      <c r="J72" s="5"/>
      <c r="K72" s="6">
        <v>10</v>
      </c>
      <c r="L72" s="5">
        <v>23.255813953488371</v>
      </c>
      <c r="M72" s="5"/>
    </row>
    <row r="73" spans="1:13" ht="14.1" customHeight="1" x14ac:dyDescent="0.25">
      <c r="A73" s="61" t="s">
        <v>44</v>
      </c>
      <c r="B73" s="6">
        <v>2992</v>
      </c>
      <c r="C73" s="5">
        <v>9.7500570274057416</v>
      </c>
      <c r="D73" s="5"/>
      <c r="E73" s="6">
        <v>2899</v>
      </c>
      <c r="F73" s="6"/>
      <c r="G73" s="5">
        <v>9.5825207417446201</v>
      </c>
      <c r="H73" s="6">
        <v>89</v>
      </c>
      <c r="I73" s="5">
        <v>22.762148337595907</v>
      </c>
      <c r="J73" s="5"/>
      <c r="K73" s="6">
        <v>4</v>
      </c>
      <c r="L73" s="5">
        <v>9.3023255813953494</v>
      </c>
      <c r="M73" s="5"/>
    </row>
    <row r="74" spans="1:13" ht="14.1" customHeight="1" x14ac:dyDescent="0.25">
      <c r="A74" s="61" t="s">
        <v>45</v>
      </c>
      <c r="B74" s="6">
        <v>1338</v>
      </c>
      <c r="C74" s="5">
        <v>4.3601525075764975</v>
      </c>
      <c r="D74" s="5"/>
      <c r="E74" s="6">
        <v>1319</v>
      </c>
      <c r="F74" s="6"/>
      <c r="G74" s="5">
        <v>4.3598981919148514</v>
      </c>
      <c r="H74" s="6">
        <v>16</v>
      </c>
      <c r="I74" s="5">
        <v>4.0920716112531972</v>
      </c>
      <c r="J74" s="5"/>
      <c r="K74" s="6">
        <v>3</v>
      </c>
      <c r="L74" s="5">
        <v>6.9767441860465116</v>
      </c>
      <c r="M74" s="5"/>
    </row>
    <row r="75" spans="1:13" ht="11.25" hidden="1" customHeight="1" x14ac:dyDescent="0.25">
      <c r="A75" s="61" t="s">
        <v>46</v>
      </c>
      <c r="B75" s="6">
        <v>83</v>
      </c>
      <c r="C75" s="5">
        <v>0.27047283866132238</v>
      </c>
      <c r="D75" s="5"/>
      <c r="E75" s="6">
        <v>71</v>
      </c>
      <c r="F75" s="6"/>
      <c r="G75" s="5">
        <v>0.23468746901133772</v>
      </c>
      <c r="H75" s="6">
        <v>9</v>
      </c>
      <c r="I75" s="5">
        <v>2.3017902813299234</v>
      </c>
      <c r="J75" s="5"/>
      <c r="K75" s="6">
        <v>3</v>
      </c>
      <c r="L75" s="5">
        <v>6.9767441860465116</v>
      </c>
      <c r="M75" s="5"/>
    </row>
    <row r="76" spans="1:13" ht="14.1" customHeight="1" x14ac:dyDescent="0.25">
      <c r="A76" s="61" t="s">
        <v>47</v>
      </c>
      <c r="B76" s="6">
        <v>709</v>
      </c>
      <c r="C76" s="5">
        <v>2.3104246097696093</v>
      </c>
      <c r="D76" s="5"/>
      <c r="E76" s="6">
        <v>685</v>
      </c>
      <c r="F76" s="6"/>
      <c r="G76" s="5">
        <v>2.2642382573629063</v>
      </c>
      <c r="H76" s="6">
        <v>21</v>
      </c>
      <c r="I76" s="5">
        <v>5.3708439897698206</v>
      </c>
      <c r="J76" s="5"/>
      <c r="K76" s="6">
        <v>3</v>
      </c>
      <c r="L76" s="5">
        <v>6.9767441860465116</v>
      </c>
      <c r="M76" s="5"/>
    </row>
    <row r="77" spans="1:13" ht="14.1" customHeight="1" x14ac:dyDescent="0.25">
      <c r="A77" s="68"/>
      <c r="B77" s="9"/>
      <c r="C77" s="15"/>
      <c r="D77" s="15"/>
      <c r="E77" s="9"/>
      <c r="F77" s="9"/>
      <c r="G77" s="15"/>
      <c r="H77" s="9"/>
      <c r="I77" s="15"/>
      <c r="J77" s="15"/>
      <c r="K77" s="9"/>
      <c r="L77" s="15"/>
      <c r="M77" s="15"/>
    </row>
    <row r="78" spans="1:13" ht="14.1" customHeight="1" x14ac:dyDescent="0.25">
      <c r="A78" s="63" t="s">
        <v>55</v>
      </c>
      <c r="B78" s="9">
        <v>47421</v>
      </c>
      <c r="C78" s="15">
        <v>100</v>
      </c>
      <c r="D78" s="15"/>
      <c r="E78" s="9">
        <v>46335</v>
      </c>
      <c r="F78" s="9"/>
      <c r="G78" s="15">
        <v>100</v>
      </c>
      <c r="H78" s="9">
        <v>893</v>
      </c>
      <c r="I78" s="15">
        <v>100</v>
      </c>
      <c r="J78" s="15"/>
      <c r="K78" s="9">
        <v>193</v>
      </c>
      <c r="L78" s="15">
        <v>100</v>
      </c>
      <c r="M78" s="15"/>
    </row>
    <row r="79" spans="1:13" ht="14.1" customHeight="1" x14ac:dyDescent="0.25">
      <c r="A79" s="61" t="s">
        <v>40</v>
      </c>
      <c r="B79" s="6">
        <v>34231</v>
      </c>
      <c r="C79" s="5">
        <v>72.18531874064233</v>
      </c>
      <c r="D79" s="5"/>
      <c r="E79" s="6">
        <v>34172</v>
      </c>
      <c r="F79" s="6"/>
      <c r="G79" s="5">
        <v>73.649865112765724</v>
      </c>
      <c r="H79" s="6">
        <v>58</v>
      </c>
      <c r="I79" s="5">
        <v>6.4949608062709965</v>
      </c>
      <c r="J79" s="5"/>
      <c r="K79" s="6">
        <v>1</v>
      </c>
      <c r="L79" s="5">
        <v>0.5181347150259068</v>
      </c>
      <c r="M79" s="5"/>
    </row>
    <row r="80" spans="1:13" ht="14.1" customHeight="1" x14ac:dyDescent="0.25">
      <c r="A80" s="61" t="s">
        <v>41</v>
      </c>
      <c r="B80" s="6">
        <v>7433</v>
      </c>
      <c r="C80" s="5">
        <v>15.674490204761604</v>
      </c>
      <c r="D80" s="5"/>
      <c r="E80" s="6">
        <v>6627</v>
      </c>
      <c r="F80" s="6"/>
      <c r="G80" s="5">
        <v>14.302363224344447</v>
      </c>
      <c r="H80" s="6">
        <v>651</v>
      </c>
      <c r="I80" s="5">
        <v>72.900335946248589</v>
      </c>
      <c r="J80" s="5"/>
      <c r="K80" s="6">
        <v>155</v>
      </c>
      <c r="L80" s="5">
        <v>80.310880829015545</v>
      </c>
      <c r="M80" s="5"/>
    </row>
    <row r="81" spans="1:13" ht="14.1" customHeight="1" x14ac:dyDescent="0.25">
      <c r="A81" s="61" t="s">
        <v>42</v>
      </c>
      <c r="B81" s="6">
        <v>211</v>
      </c>
      <c r="C81" s="5">
        <v>0.44495054933468298</v>
      </c>
      <c r="D81" s="5"/>
      <c r="E81" s="6">
        <v>209</v>
      </c>
      <c r="F81" s="6"/>
      <c r="G81" s="5">
        <v>0.45106291140606447</v>
      </c>
      <c r="H81" s="6">
        <v>2</v>
      </c>
      <c r="I81" s="5">
        <v>0.22396416573348266</v>
      </c>
      <c r="J81" s="5"/>
      <c r="K81" s="3" t="s">
        <v>96</v>
      </c>
      <c r="L81" s="3" t="s">
        <v>96</v>
      </c>
      <c r="M81" s="5"/>
    </row>
    <row r="82" spans="1:13" ht="14.1" customHeight="1" x14ac:dyDescent="0.25">
      <c r="A82" s="61" t="s">
        <v>43</v>
      </c>
      <c r="B82" s="6">
        <v>548</v>
      </c>
      <c r="C82" s="5">
        <v>1.1556061660445796</v>
      </c>
      <c r="D82" s="5"/>
      <c r="E82" s="6">
        <v>496</v>
      </c>
      <c r="F82" s="6"/>
      <c r="G82" s="5">
        <v>1.0704650911837703</v>
      </c>
      <c r="H82" s="6">
        <v>42</v>
      </c>
      <c r="I82" s="5">
        <v>4.7032474804031352</v>
      </c>
      <c r="J82" s="5"/>
      <c r="K82" s="6">
        <v>10</v>
      </c>
      <c r="L82" s="5">
        <v>5.1813471502590671</v>
      </c>
      <c r="M82" s="5"/>
    </row>
    <row r="83" spans="1:13" ht="14.1" customHeight="1" x14ac:dyDescent="0.25">
      <c r="A83" s="61" t="s">
        <v>44</v>
      </c>
      <c r="B83" s="6">
        <v>3419</v>
      </c>
      <c r="C83" s="5">
        <v>7.2098859155226585</v>
      </c>
      <c r="D83" s="5"/>
      <c r="E83" s="6">
        <v>3313</v>
      </c>
      <c r="F83" s="6"/>
      <c r="G83" s="5">
        <v>7.1501025142980472</v>
      </c>
      <c r="H83" s="6">
        <v>100</v>
      </c>
      <c r="I83" s="5">
        <v>11.198208286674133</v>
      </c>
      <c r="J83" s="5"/>
      <c r="K83" s="6">
        <v>6</v>
      </c>
      <c r="L83" s="5">
        <v>3.1088082901554404</v>
      </c>
      <c r="M83" s="5"/>
    </row>
    <row r="84" spans="1:13" ht="14.1" customHeight="1" x14ac:dyDescent="0.25">
      <c r="A84" s="61" t="s">
        <v>45</v>
      </c>
      <c r="B84" s="6">
        <v>993</v>
      </c>
      <c r="C84" s="5">
        <v>2.0940089833618019</v>
      </c>
      <c r="D84" s="5"/>
      <c r="E84" s="6">
        <v>975</v>
      </c>
      <c r="F84" s="6"/>
      <c r="G84" s="5">
        <v>2.1042408546455165</v>
      </c>
      <c r="H84" s="6">
        <v>14</v>
      </c>
      <c r="I84" s="5">
        <v>1.5677491601343785</v>
      </c>
      <c r="J84" s="5"/>
      <c r="K84" s="6">
        <v>4</v>
      </c>
      <c r="L84" s="5">
        <v>2.0725388601036272</v>
      </c>
      <c r="M84" s="5"/>
    </row>
    <row r="85" spans="1:13" ht="12.75" hidden="1" customHeight="1" x14ac:dyDescent="0.25">
      <c r="A85" s="61" t="s">
        <v>46</v>
      </c>
      <c r="B85" s="6">
        <v>64</v>
      </c>
      <c r="C85" s="5">
        <v>0.13496130406360052</v>
      </c>
      <c r="D85" s="5"/>
      <c r="E85" s="6">
        <v>60</v>
      </c>
      <c r="F85" s="6"/>
      <c r="G85" s="5">
        <v>0.12949174490126256</v>
      </c>
      <c r="H85" s="6">
        <v>3</v>
      </c>
      <c r="I85" s="5">
        <v>0.33594624860022393</v>
      </c>
      <c r="J85" s="5"/>
      <c r="K85" s="6">
        <v>1</v>
      </c>
      <c r="L85" s="5">
        <v>0.5181347150259068</v>
      </c>
      <c r="M85" s="5"/>
    </row>
    <row r="86" spans="1:13" ht="14.1" customHeight="1" x14ac:dyDescent="0.25">
      <c r="A86" s="61" t="s">
        <v>47</v>
      </c>
      <c r="B86" s="6">
        <v>586</v>
      </c>
      <c r="C86" s="5">
        <v>1.2357394403323423</v>
      </c>
      <c r="D86" s="5"/>
      <c r="E86" s="6">
        <v>543</v>
      </c>
      <c r="F86" s="6"/>
      <c r="G86" s="5">
        <v>1.171900291356426</v>
      </c>
      <c r="H86" s="6">
        <v>26</v>
      </c>
      <c r="I86" s="5">
        <v>2.911534154535274</v>
      </c>
      <c r="J86" s="5"/>
      <c r="K86" s="6">
        <v>17</v>
      </c>
      <c r="L86" s="5">
        <v>8.8082901554404156</v>
      </c>
      <c r="M86" s="5"/>
    </row>
    <row r="87" spans="1:13" ht="14.1" customHeight="1" x14ac:dyDescent="0.25">
      <c r="A87" s="68"/>
      <c r="B87" s="9"/>
      <c r="C87" s="15"/>
      <c r="D87" s="15"/>
      <c r="E87" s="9"/>
      <c r="F87" s="9"/>
      <c r="G87" s="15"/>
      <c r="H87" s="9"/>
      <c r="I87" s="15"/>
      <c r="J87" s="15"/>
      <c r="K87" s="9"/>
      <c r="L87" s="15"/>
      <c r="M87" s="15"/>
    </row>
    <row r="88" spans="1:13" ht="14.1" customHeight="1" x14ac:dyDescent="0.25">
      <c r="A88" s="63" t="s">
        <v>17</v>
      </c>
      <c r="B88" s="9">
        <v>47552</v>
      </c>
      <c r="C88" s="15">
        <v>100</v>
      </c>
      <c r="D88" s="15"/>
      <c r="E88" s="9">
        <v>47033</v>
      </c>
      <c r="F88" s="9"/>
      <c r="G88" s="15">
        <v>100</v>
      </c>
      <c r="H88" s="9">
        <v>477</v>
      </c>
      <c r="I88" s="15">
        <v>100</v>
      </c>
      <c r="J88" s="15"/>
      <c r="K88" s="9">
        <v>42</v>
      </c>
      <c r="L88" s="15">
        <v>100</v>
      </c>
      <c r="M88" s="15"/>
    </row>
    <row r="89" spans="1:13" ht="14.1" customHeight="1" x14ac:dyDescent="0.25">
      <c r="A89" s="61" t="s">
        <v>40</v>
      </c>
      <c r="B89" s="6">
        <v>34642</v>
      </c>
      <c r="C89" s="5">
        <v>72.850773889636613</v>
      </c>
      <c r="D89" s="5"/>
      <c r="E89" s="6">
        <v>34577</v>
      </c>
      <c r="F89" s="6"/>
      <c r="G89" s="5">
        <v>73.516467161354797</v>
      </c>
      <c r="H89" s="6">
        <v>64</v>
      </c>
      <c r="I89" s="5">
        <v>13.417190775681343</v>
      </c>
      <c r="J89" s="5"/>
      <c r="K89" s="6">
        <v>1</v>
      </c>
      <c r="L89" s="5">
        <v>2.3809523809523809</v>
      </c>
      <c r="M89" s="5"/>
    </row>
    <row r="90" spans="1:13" ht="14.1" customHeight="1" x14ac:dyDescent="0.25">
      <c r="A90" s="61" t="s">
        <v>41</v>
      </c>
      <c r="B90" s="6">
        <v>3683</v>
      </c>
      <c r="C90" s="5">
        <v>7.7452052489905787</v>
      </c>
      <c r="D90" s="5"/>
      <c r="E90" s="6">
        <v>3506</v>
      </c>
      <c r="F90" s="6"/>
      <c r="G90" s="5">
        <v>7.454340569387452</v>
      </c>
      <c r="H90" s="6">
        <v>162</v>
      </c>
      <c r="I90" s="5">
        <v>33.962264150943398</v>
      </c>
      <c r="J90" s="5"/>
      <c r="K90" s="6">
        <v>15</v>
      </c>
      <c r="L90" s="5">
        <v>35.714285714285715</v>
      </c>
      <c r="M90" s="5"/>
    </row>
    <row r="91" spans="1:13" ht="14.1" customHeight="1" x14ac:dyDescent="0.25">
      <c r="A91" s="61" t="s">
        <v>42</v>
      </c>
      <c r="B91" s="6">
        <v>91</v>
      </c>
      <c r="C91" s="5">
        <v>0.19136944818304172</v>
      </c>
      <c r="D91" s="5"/>
      <c r="E91" s="6">
        <v>89</v>
      </c>
      <c r="F91" s="6"/>
      <c r="G91" s="5">
        <v>0.18922883932557991</v>
      </c>
      <c r="H91" s="6">
        <v>2</v>
      </c>
      <c r="I91" s="5">
        <v>0.41928721174004197</v>
      </c>
      <c r="J91" s="5"/>
      <c r="K91" s="3" t="s">
        <v>96</v>
      </c>
      <c r="L91" s="3" t="s">
        <v>96</v>
      </c>
      <c r="M91" s="5"/>
    </row>
    <row r="92" spans="1:13" ht="14.1" customHeight="1" x14ac:dyDescent="0.25">
      <c r="A92" s="61" t="s">
        <v>43</v>
      </c>
      <c r="B92" s="6">
        <v>2319</v>
      </c>
      <c r="C92" s="5">
        <v>4.8767664872139971</v>
      </c>
      <c r="D92" s="5"/>
      <c r="E92" s="6">
        <v>2227</v>
      </c>
      <c r="F92" s="6"/>
      <c r="G92" s="5">
        <v>4.7349733166074879</v>
      </c>
      <c r="H92" s="6">
        <v>88</v>
      </c>
      <c r="I92" s="5">
        <v>18.448637316561843</v>
      </c>
      <c r="J92" s="5"/>
      <c r="K92" s="6">
        <v>4</v>
      </c>
      <c r="L92" s="5">
        <v>9.5238095238095237</v>
      </c>
      <c r="M92" s="5"/>
    </row>
    <row r="93" spans="1:13" ht="14.1" customHeight="1" x14ac:dyDescent="0.25">
      <c r="A93" s="61" t="s">
        <v>44</v>
      </c>
      <c r="B93" s="6">
        <v>4910</v>
      </c>
      <c r="C93" s="5">
        <v>10.325538358008075</v>
      </c>
      <c r="D93" s="5"/>
      <c r="E93" s="6">
        <v>4777</v>
      </c>
      <c r="F93" s="6"/>
      <c r="G93" s="5">
        <v>10.156698488295453</v>
      </c>
      <c r="H93" s="6">
        <v>120</v>
      </c>
      <c r="I93" s="5">
        <v>25.157232704402517</v>
      </c>
      <c r="J93" s="5"/>
      <c r="K93" s="6">
        <v>13</v>
      </c>
      <c r="L93" s="5">
        <v>30.952380952380953</v>
      </c>
      <c r="M93" s="5"/>
    </row>
    <row r="94" spans="1:13" ht="14.1" customHeight="1" x14ac:dyDescent="0.25">
      <c r="A94" s="61" t="s">
        <v>45</v>
      </c>
      <c r="B94" s="6">
        <v>1402</v>
      </c>
      <c r="C94" s="5">
        <v>2.9483512786002692</v>
      </c>
      <c r="D94" s="5"/>
      <c r="E94" s="6">
        <v>1384</v>
      </c>
      <c r="F94" s="6"/>
      <c r="G94" s="5">
        <v>2.9426147598494672</v>
      </c>
      <c r="H94" s="6">
        <v>15</v>
      </c>
      <c r="I94" s="5">
        <v>3.1446540880503147</v>
      </c>
      <c r="J94" s="5"/>
      <c r="K94" s="6">
        <v>3</v>
      </c>
      <c r="L94" s="5">
        <v>7.1428571428571423</v>
      </c>
      <c r="M94" s="5"/>
    </row>
    <row r="95" spans="1:13" ht="15.75" hidden="1" customHeight="1" x14ac:dyDescent="0.25">
      <c r="A95" s="61" t="s">
        <v>46</v>
      </c>
      <c r="B95" s="6">
        <v>92</v>
      </c>
      <c r="C95" s="5">
        <v>0.19347240915208613</v>
      </c>
      <c r="D95" s="5"/>
      <c r="E95" s="6">
        <v>82</v>
      </c>
      <c r="F95" s="6"/>
      <c r="G95" s="5">
        <v>0.17434567218761296</v>
      </c>
      <c r="H95" s="6">
        <v>8</v>
      </c>
      <c r="I95" s="5">
        <v>1.6771488469601679</v>
      </c>
      <c r="J95" s="5"/>
      <c r="K95" s="6">
        <v>2</v>
      </c>
      <c r="L95" s="5">
        <v>4.7619047619047619</v>
      </c>
      <c r="M95" s="5"/>
    </row>
    <row r="96" spans="1:13" ht="14.1" customHeight="1" x14ac:dyDescent="0.25">
      <c r="A96" s="61" t="s">
        <v>47</v>
      </c>
      <c r="B96" s="6">
        <v>505</v>
      </c>
      <c r="C96" s="5">
        <v>1.0619952893674294</v>
      </c>
      <c r="D96" s="5"/>
      <c r="E96" s="6">
        <v>473</v>
      </c>
      <c r="F96" s="6"/>
      <c r="G96" s="5">
        <v>1.0056768651797674</v>
      </c>
      <c r="H96" s="6">
        <v>26</v>
      </c>
      <c r="I96" s="5">
        <v>5.450733752620545</v>
      </c>
      <c r="J96" s="5"/>
      <c r="K96" s="6">
        <v>6</v>
      </c>
      <c r="L96" s="5">
        <v>14.285714285714285</v>
      </c>
      <c r="M96" s="5"/>
    </row>
    <row r="97" spans="1:13" ht="14.1" customHeight="1" x14ac:dyDescent="0.25">
      <c r="A97" s="68"/>
      <c r="B97" s="9"/>
      <c r="C97" s="15"/>
      <c r="D97" s="15"/>
      <c r="E97" s="9"/>
      <c r="F97" s="9"/>
      <c r="G97" s="15"/>
      <c r="H97" s="9"/>
      <c r="I97" s="15"/>
      <c r="J97" s="15"/>
      <c r="K97" s="9"/>
      <c r="L97" s="15"/>
      <c r="M97" s="15"/>
    </row>
    <row r="98" spans="1:13" ht="14.1" customHeight="1" x14ac:dyDescent="0.25">
      <c r="A98" s="63" t="s">
        <v>16</v>
      </c>
      <c r="B98" s="9">
        <v>5733</v>
      </c>
      <c r="C98" s="15">
        <v>100</v>
      </c>
      <c r="D98" s="15"/>
      <c r="E98" s="9">
        <v>5711</v>
      </c>
      <c r="F98" s="9"/>
      <c r="G98" s="15">
        <v>100</v>
      </c>
      <c r="H98" s="9">
        <v>22</v>
      </c>
      <c r="I98" s="15">
        <v>100</v>
      </c>
      <c r="J98" s="15"/>
      <c r="K98" s="8" t="s">
        <v>96</v>
      </c>
      <c r="L98" s="8" t="s">
        <v>96</v>
      </c>
      <c r="M98" s="15"/>
    </row>
    <row r="99" spans="1:13" ht="14.1" customHeight="1" x14ac:dyDescent="0.25">
      <c r="A99" s="61" t="s">
        <v>40</v>
      </c>
      <c r="B99" s="6">
        <v>4392</v>
      </c>
      <c r="C99" s="5">
        <v>76.409105180533757</v>
      </c>
      <c r="D99" s="5"/>
      <c r="E99" s="6">
        <v>4387</v>
      </c>
      <c r="F99" s="6"/>
      <c r="G99" s="5">
        <v>76.716669585011388</v>
      </c>
      <c r="H99" s="6">
        <v>5</v>
      </c>
      <c r="I99" s="5">
        <v>22.727272727272727</v>
      </c>
      <c r="J99" s="5"/>
      <c r="K99" s="3" t="s">
        <v>96</v>
      </c>
      <c r="L99" s="3" t="s">
        <v>96</v>
      </c>
      <c r="M99" s="5"/>
    </row>
    <row r="100" spans="1:13" ht="14.1" customHeight="1" x14ac:dyDescent="0.25">
      <c r="A100" s="61" t="s">
        <v>41</v>
      </c>
      <c r="B100" s="6">
        <v>439</v>
      </c>
      <c r="C100" s="5">
        <v>7.6574219431362289</v>
      </c>
      <c r="D100" s="5"/>
      <c r="E100" s="6">
        <v>435</v>
      </c>
      <c r="F100" s="6"/>
      <c r="G100" s="5">
        <v>7.6168797058308524</v>
      </c>
      <c r="H100" s="6">
        <v>4</v>
      </c>
      <c r="I100" s="5">
        <v>18.181818181818183</v>
      </c>
      <c r="J100" s="5"/>
      <c r="K100" s="3" t="s">
        <v>96</v>
      </c>
      <c r="L100" s="3" t="s">
        <v>96</v>
      </c>
      <c r="M100" s="5"/>
    </row>
    <row r="101" spans="1:13" ht="14.1" customHeight="1" x14ac:dyDescent="0.25">
      <c r="A101" s="61" t="s">
        <v>42</v>
      </c>
      <c r="B101" s="6">
        <v>10</v>
      </c>
      <c r="C101" s="5">
        <v>0.1744287458573173</v>
      </c>
      <c r="D101" s="5"/>
      <c r="E101" s="6">
        <v>10</v>
      </c>
      <c r="F101" s="6"/>
      <c r="G101" s="5">
        <v>0.17510068289266328</v>
      </c>
      <c r="H101" s="6">
        <v>0</v>
      </c>
      <c r="I101" s="5">
        <v>0</v>
      </c>
      <c r="J101" s="5"/>
      <c r="K101" s="3" t="s">
        <v>96</v>
      </c>
      <c r="L101" s="3" t="s">
        <v>96</v>
      </c>
      <c r="M101" s="5"/>
    </row>
    <row r="102" spans="1:13" ht="14.1" customHeight="1" x14ac:dyDescent="0.25">
      <c r="A102" s="61" t="s">
        <v>43</v>
      </c>
      <c r="B102" s="6">
        <v>89</v>
      </c>
      <c r="C102" s="5">
        <v>1.5524158381301238</v>
      </c>
      <c r="D102" s="5"/>
      <c r="E102" s="6">
        <v>83</v>
      </c>
      <c r="F102" s="6"/>
      <c r="G102" s="5">
        <v>1.4533356680091052</v>
      </c>
      <c r="H102" s="6">
        <v>6</v>
      </c>
      <c r="I102" s="5">
        <v>27.27272727272727</v>
      </c>
      <c r="J102" s="5"/>
      <c r="K102" s="3" t="s">
        <v>96</v>
      </c>
      <c r="L102" s="3" t="s">
        <v>96</v>
      </c>
      <c r="M102" s="5"/>
    </row>
    <row r="103" spans="1:13" ht="14.1" customHeight="1" x14ac:dyDescent="0.25">
      <c r="A103" s="61" t="s">
        <v>44</v>
      </c>
      <c r="B103" s="6">
        <v>273</v>
      </c>
      <c r="C103" s="5">
        <v>4.7619047619047619</v>
      </c>
      <c r="D103" s="5"/>
      <c r="E103" s="6">
        <v>269</v>
      </c>
      <c r="F103" s="6"/>
      <c r="G103" s="5">
        <v>4.7102083698126425</v>
      </c>
      <c r="H103" s="6">
        <v>4</v>
      </c>
      <c r="I103" s="5">
        <v>18.181818181818183</v>
      </c>
      <c r="J103" s="5"/>
      <c r="K103" s="3" t="s">
        <v>96</v>
      </c>
      <c r="L103" s="3" t="s">
        <v>96</v>
      </c>
      <c r="M103" s="5"/>
    </row>
    <row r="104" spans="1:13" ht="14.1" customHeight="1" x14ac:dyDescent="0.25">
      <c r="A104" s="61" t="s">
        <v>45</v>
      </c>
      <c r="B104" s="6">
        <v>348</v>
      </c>
      <c r="C104" s="5">
        <v>6.070120355834641</v>
      </c>
      <c r="D104" s="5"/>
      <c r="E104" s="6">
        <v>346</v>
      </c>
      <c r="F104" s="6"/>
      <c r="G104" s="5">
        <v>6.05848362808615</v>
      </c>
      <c r="H104" s="6">
        <v>2</v>
      </c>
      <c r="I104" s="5">
        <v>9.0909090909090917</v>
      </c>
      <c r="J104" s="5"/>
      <c r="K104" s="3" t="s">
        <v>96</v>
      </c>
      <c r="L104" s="3" t="s">
        <v>96</v>
      </c>
      <c r="M104" s="5"/>
    </row>
    <row r="105" spans="1:13" ht="12" hidden="1" customHeight="1" x14ac:dyDescent="0.25">
      <c r="A105" s="61" t="s">
        <v>46</v>
      </c>
      <c r="B105" s="6">
        <v>6</v>
      </c>
      <c r="C105" s="5">
        <v>0.10465724751439037</v>
      </c>
      <c r="D105" s="5"/>
      <c r="E105" s="6">
        <v>6</v>
      </c>
      <c r="F105" s="6"/>
      <c r="G105" s="5">
        <v>0.10506040973559798</v>
      </c>
      <c r="H105" s="3" t="s">
        <v>96</v>
      </c>
      <c r="I105" s="3" t="s">
        <v>96</v>
      </c>
      <c r="J105" s="5"/>
      <c r="K105" s="3" t="s">
        <v>96</v>
      </c>
      <c r="L105" s="3" t="s">
        <v>96</v>
      </c>
      <c r="M105" s="5"/>
    </row>
    <row r="106" spans="1:13" ht="14.1" customHeight="1" x14ac:dyDescent="0.25">
      <c r="A106" s="61" t="s">
        <v>47</v>
      </c>
      <c r="B106" s="6">
        <v>182</v>
      </c>
      <c r="C106" s="5">
        <v>3.1746031746031744</v>
      </c>
      <c r="D106" s="5"/>
      <c r="E106" s="6">
        <v>181</v>
      </c>
      <c r="F106" s="6"/>
      <c r="G106" s="5">
        <v>3.1693223603572052</v>
      </c>
      <c r="H106" s="6">
        <v>1</v>
      </c>
      <c r="I106" s="6">
        <v>4.5454545454545459</v>
      </c>
      <c r="J106" s="5"/>
      <c r="K106" s="3" t="s">
        <v>96</v>
      </c>
      <c r="L106" s="3" t="s">
        <v>96</v>
      </c>
      <c r="M106" s="5"/>
    </row>
    <row r="107" spans="1:13" ht="14.1" customHeight="1" x14ac:dyDescent="0.25">
      <c r="A107" s="61"/>
      <c r="B107" s="6"/>
      <c r="C107" s="5"/>
      <c r="D107" s="5"/>
      <c r="E107" s="6"/>
      <c r="F107" s="6"/>
      <c r="G107" s="5"/>
      <c r="H107" s="6"/>
      <c r="I107" s="5"/>
      <c r="J107" s="5"/>
      <c r="K107" s="6"/>
      <c r="L107" s="5"/>
      <c r="M107" s="5"/>
    </row>
    <row r="108" spans="1:13" ht="14.1" customHeight="1" x14ac:dyDescent="0.25">
      <c r="A108" s="63" t="s">
        <v>15</v>
      </c>
      <c r="B108" s="9">
        <v>18652</v>
      </c>
      <c r="C108" s="15">
        <v>100</v>
      </c>
      <c r="D108" s="15"/>
      <c r="E108" s="9">
        <v>18490</v>
      </c>
      <c r="F108" s="9"/>
      <c r="G108" s="15">
        <v>100</v>
      </c>
      <c r="H108" s="9">
        <v>157</v>
      </c>
      <c r="I108" s="15">
        <v>100</v>
      </c>
      <c r="J108" s="15"/>
      <c r="K108" s="9">
        <v>5</v>
      </c>
      <c r="L108" s="15">
        <v>100</v>
      </c>
      <c r="M108" s="15"/>
    </row>
    <row r="109" spans="1:13" ht="14.1" customHeight="1" x14ac:dyDescent="0.25">
      <c r="A109" s="61" t="s">
        <v>40</v>
      </c>
      <c r="B109" s="6">
        <v>13784</v>
      </c>
      <c r="C109" s="5">
        <v>74.0009221531203</v>
      </c>
      <c r="D109" s="5"/>
      <c r="E109" s="6">
        <v>13759</v>
      </c>
      <c r="F109" s="6"/>
      <c r="G109" s="5">
        <v>74.513196322336384</v>
      </c>
      <c r="H109" s="6">
        <v>25</v>
      </c>
      <c r="I109" s="5">
        <v>15.923566878980891</v>
      </c>
      <c r="J109" s="5"/>
      <c r="K109" s="3" t="s">
        <v>96</v>
      </c>
      <c r="L109" s="16" t="s">
        <v>96</v>
      </c>
      <c r="M109" s="5"/>
    </row>
    <row r="110" spans="1:13" ht="14.1" customHeight="1" x14ac:dyDescent="0.25">
      <c r="A110" s="61" t="s">
        <v>41</v>
      </c>
      <c r="B110" s="6">
        <v>959</v>
      </c>
      <c r="C110" s="5">
        <v>5.1415397812567019</v>
      </c>
      <c r="D110" s="5"/>
      <c r="E110" s="6">
        <v>916</v>
      </c>
      <c r="F110" s="6"/>
      <c r="G110" s="5">
        <v>4.9540292049756625</v>
      </c>
      <c r="H110" s="6">
        <v>41</v>
      </c>
      <c r="I110" s="5">
        <v>26.114649681528661</v>
      </c>
      <c r="J110" s="5"/>
      <c r="K110" s="3">
        <v>2</v>
      </c>
      <c r="L110" s="16">
        <v>40</v>
      </c>
      <c r="M110" s="5"/>
    </row>
    <row r="111" spans="1:13" ht="14.1" customHeight="1" x14ac:dyDescent="0.25">
      <c r="A111" s="61" t="s">
        <v>42</v>
      </c>
      <c r="B111" s="6">
        <v>43</v>
      </c>
      <c r="C111" s="5">
        <v>0.23053828007720351</v>
      </c>
      <c r="D111" s="5"/>
      <c r="E111" s="6">
        <v>43</v>
      </c>
      <c r="F111" s="6"/>
      <c r="G111" s="5">
        <v>0.23255813953488372</v>
      </c>
      <c r="H111" s="3" t="s">
        <v>96</v>
      </c>
      <c r="I111" s="16" t="s">
        <v>96</v>
      </c>
      <c r="J111" s="5"/>
      <c r="K111" s="3" t="s">
        <v>96</v>
      </c>
      <c r="L111" s="16" t="s">
        <v>96</v>
      </c>
      <c r="M111" s="5"/>
    </row>
    <row r="112" spans="1:13" ht="14.1" customHeight="1" x14ac:dyDescent="0.25">
      <c r="A112" s="61" t="s">
        <v>43</v>
      </c>
      <c r="B112" s="6">
        <v>829</v>
      </c>
      <c r="C112" s="5">
        <v>4.4445635856744579</v>
      </c>
      <c r="D112" s="5"/>
      <c r="E112" s="6">
        <v>800</v>
      </c>
      <c r="F112" s="6"/>
      <c r="G112" s="5">
        <v>4.3266630611141155</v>
      </c>
      <c r="H112" s="3">
        <v>29</v>
      </c>
      <c r="I112" s="16">
        <v>18.471337579617835</v>
      </c>
      <c r="J112" s="5"/>
      <c r="K112" s="3" t="s">
        <v>96</v>
      </c>
      <c r="L112" s="16" t="s">
        <v>96</v>
      </c>
      <c r="M112" s="5"/>
    </row>
    <row r="113" spans="1:13" ht="14.1" customHeight="1" x14ac:dyDescent="0.25">
      <c r="A113" s="61" t="s">
        <v>44</v>
      </c>
      <c r="B113" s="6">
        <v>1661</v>
      </c>
      <c r="C113" s="5">
        <v>8.905211237400815</v>
      </c>
      <c r="D113" s="5"/>
      <c r="E113" s="6">
        <v>1613</v>
      </c>
      <c r="F113" s="6"/>
      <c r="G113" s="5">
        <v>8.7236343969713364</v>
      </c>
      <c r="H113" s="3">
        <v>48</v>
      </c>
      <c r="I113" s="16">
        <v>30.573248407643312</v>
      </c>
      <c r="J113" s="5"/>
      <c r="K113" s="3" t="s">
        <v>96</v>
      </c>
      <c r="L113" s="16" t="s">
        <v>96</v>
      </c>
      <c r="M113" s="5"/>
    </row>
    <row r="114" spans="1:13" ht="14.1" customHeight="1" x14ac:dyDescent="0.25">
      <c r="A114" s="61" t="s">
        <v>45</v>
      </c>
      <c r="B114" s="6">
        <v>596</v>
      </c>
      <c r="C114" s="5">
        <v>3.1953677889770535</v>
      </c>
      <c r="D114" s="5"/>
      <c r="E114" s="6">
        <v>592</v>
      </c>
      <c r="F114" s="6"/>
      <c r="G114" s="5">
        <v>3.2017306652244457</v>
      </c>
      <c r="H114" s="3">
        <v>4</v>
      </c>
      <c r="I114" s="16">
        <v>2.547770700636943</v>
      </c>
      <c r="J114" s="5"/>
      <c r="K114" s="3" t="s">
        <v>96</v>
      </c>
      <c r="L114" s="16" t="s">
        <v>96</v>
      </c>
      <c r="M114" s="5"/>
    </row>
    <row r="115" spans="1:13" ht="12.75" hidden="1" customHeight="1" x14ac:dyDescent="0.25">
      <c r="A115" s="61" t="s">
        <v>46</v>
      </c>
      <c r="B115" s="6">
        <v>13</v>
      </c>
      <c r="C115" s="5">
        <v>6.9697619558224316E-2</v>
      </c>
      <c r="D115" s="5"/>
      <c r="E115" s="6">
        <v>12</v>
      </c>
      <c r="F115" s="6"/>
      <c r="G115" s="5">
        <v>6.4899945916711735E-2</v>
      </c>
      <c r="H115" s="3" t="s">
        <v>96</v>
      </c>
      <c r="I115" s="16" t="s">
        <v>96</v>
      </c>
      <c r="J115" s="5"/>
      <c r="K115" s="6">
        <v>1</v>
      </c>
      <c r="L115" s="5">
        <v>20</v>
      </c>
      <c r="M115" s="5"/>
    </row>
    <row r="116" spans="1:13" ht="14.1" customHeight="1" x14ac:dyDescent="0.25">
      <c r="A116" s="61" t="s">
        <v>47</v>
      </c>
      <c r="B116" s="6">
        <v>780</v>
      </c>
      <c r="C116" s="5">
        <v>4.1818571734934595</v>
      </c>
      <c r="D116" s="5"/>
      <c r="E116" s="6">
        <v>767</v>
      </c>
      <c r="F116" s="6"/>
      <c r="G116" s="5">
        <v>4.1481882098431582</v>
      </c>
      <c r="H116" s="6">
        <v>10</v>
      </c>
      <c r="I116" s="6">
        <v>6.369426751592357</v>
      </c>
      <c r="J116" s="5"/>
      <c r="K116" s="6">
        <v>3</v>
      </c>
      <c r="L116" s="5">
        <v>60</v>
      </c>
      <c r="M116" s="5"/>
    </row>
    <row r="117" spans="1:13" ht="14.1" customHeight="1" x14ac:dyDescent="0.25">
      <c r="A117" s="68"/>
      <c r="B117" s="6"/>
      <c r="C117" s="15"/>
      <c r="D117" s="15"/>
      <c r="E117" s="9"/>
      <c r="F117" s="9"/>
      <c r="G117" s="15"/>
      <c r="H117" s="9"/>
      <c r="I117" s="15"/>
      <c r="J117" s="15"/>
      <c r="K117" s="9"/>
      <c r="L117" s="15"/>
      <c r="M117" s="15"/>
    </row>
    <row r="118" spans="1:13" ht="14.1" customHeight="1" x14ac:dyDescent="0.25">
      <c r="A118" s="63" t="s">
        <v>14</v>
      </c>
      <c r="B118" s="9">
        <v>28068</v>
      </c>
      <c r="C118" s="15">
        <v>100</v>
      </c>
      <c r="D118" s="15"/>
      <c r="E118" s="9">
        <v>27620</v>
      </c>
      <c r="F118" s="9"/>
      <c r="G118" s="15">
        <v>100</v>
      </c>
      <c r="H118" s="9">
        <v>419</v>
      </c>
      <c r="I118" s="15">
        <v>100</v>
      </c>
      <c r="J118" s="15"/>
      <c r="K118" s="9">
        <v>29</v>
      </c>
      <c r="L118" s="15">
        <v>100</v>
      </c>
      <c r="M118" s="15"/>
    </row>
    <row r="119" spans="1:13" ht="14.1" customHeight="1" x14ac:dyDescent="0.25">
      <c r="A119" s="61" t="s">
        <v>40</v>
      </c>
      <c r="B119" s="6">
        <v>20757</v>
      </c>
      <c r="C119" s="5">
        <v>73.952543822146225</v>
      </c>
      <c r="D119" s="5"/>
      <c r="E119" s="6">
        <v>20689</v>
      </c>
      <c r="F119" s="6"/>
      <c r="G119" s="5">
        <v>74.905865314989143</v>
      </c>
      <c r="H119" s="6">
        <v>67</v>
      </c>
      <c r="I119" s="5">
        <v>15.990453460620524</v>
      </c>
      <c r="J119" s="5"/>
      <c r="K119" s="6">
        <v>1</v>
      </c>
      <c r="L119" s="5">
        <v>3.4482758620689653</v>
      </c>
      <c r="M119" s="5"/>
    </row>
    <row r="120" spans="1:13" ht="14.1" customHeight="1" x14ac:dyDescent="0.25">
      <c r="A120" s="61" t="s">
        <v>41</v>
      </c>
      <c r="B120" s="6">
        <v>2652</v>
      </c>
      <c r="C120" s="5">
        <v>9.4484822573749465</v>
      </c>
      <c r="D120" s="5"/>
      <c r="E120" s="6">
        <v>2473</v>
      </c>
      <c r="F120" s="6"/>
      <c r="G120" s="5">
        <v>8.95365677045619</v>
      </c>
      <c r="H120" s="6">
        <v>164</v>
      </c>
      <c r="I120" s="5">
        <v>39.240811455847258</v>
      </c>
      <c r="J120" s="5"/>
      <c r="K120" s="6">
        <v>15</v>
      </c>
      <c r="L120" s="5">
        <v>51.824137931034485</v>
      </c>
      <c r="M120" s="5"/>
    </row>
    <row r="121" spans="1:13" ht="14.1" customHeight="1" x14ac:dyDescent="0.25">
      <c r="A121" s="61" t="s">
        <v>42</v>
      </c>
      <c r="B121" s="6">
        <v>90</v>
      </c>
      <c r="C121" s="5">
        <v>0.32064985036340315</v>
      </c>
      <c r="D121" s="5"/>
      <c r="E121" s="6">
        <v>87</v>
      </c>
      <c r="F121" s="6"/>
      <c r="G121" s="5">
        <v>0.31498913830557568</v>
      </c>
      <c r="H121" s="6">
        <v>3</v>
      </c>
      <c r="I121" s="5">
        <v>0.71599045346062051</v>
      </c>
      <c r="J121" s="5"/>
      <c r="K121" s="3" t="s">
        <v>96</v>
      </c>
      <c r="L121" s="3" t="s">
        <v>96</v>
      </c>
      <c r="M121" s="5"/>
    </row>
    <row r="122" spans="1:13" ht="14.1" customHeight="1" x14ac:dyDescent="0.25">
      <c r="A122" s="61" t="s">
        <v>43</v>
      </c>
      <c r="B122" s="6">
        <v>676</v>
      </c>
      <c r="C122" s="5">
        <v>2.4084366538406723</v>
      </c>
      <c r="D122" s="5"/>
      <c r="E122" s="6">
        <v>631</v>
      </c>
      <c r="F122" s="6"/>
      <c r="G122" s="5">
        <v>2.284576393917451</v>
      </c>
      <c r="H122" s="6">
        <v>40</v>
      </c>
      <c r="I122" s="5">
        <v>9.5465393794749396</v>
      </c>
      <c r="J122" s="5"/>
      <c r="K122" s="3">
        <v>5</v>
      </c>
      <c r="L122" s="16">
        <v>17.241379310344829</v>
      </c>
      <c r="M122" s="5"/>
    </row>
    <row r="123" spans="1:13" ht="14.1" customHeight="1" x14ac:dyDescent="0.25">
      <c r="A123" s="61" t="s">
        <v>44</v>
      </c>
      <c r="B123" s="6">
        <v>2852</v>
      </c>
      <c r="C123" s="5">
        <v>10.161037480404731</v>
      </c>
      <c r="D123" s="5"/>
      <c r="E123" s="6">
        <v>2717</v>
      </c>
      <c r="F123" s="6"/>
      <c r="G123" s="5">
        <v>9.8370745836350473</v>
      </c>
      <c r="H123" s="6">
        <v>129</v>
      </c>
      <c r="I123" s="5">
        <v>30.787589498806682</v>
      </c>
      <c r="J123" s="5"/>
      <c r="K123" s="3">
        <v>6</v>
      </c>
      <c r="L123" s="16">
        <v>20.689655172413794</v>
      </c>
      <c r="M123" s="5"/>
    </row>
    <row r="124" spans="1:13" ht="14.1" customHeight="1" x14ac:dyDescent="0.25">
      <c r="A124" s="61" t="s">
        <v>45</v>
      </c>
      <c r="B124" s="6">
        <v>728</v>
      </c>
      <c r="C124" s="5">
        <v>2.5937010118284167</v>
      </c>
      <c r="D124" s="5"/>
      <c r="E124" s="6">
        <v>713</v>
      </c>
      <c r="F124" s="6"/>
      <c r="G124" s="5">
        <v>2.5814627081824764</v>
      </c>
      <c r="H124" s="6">
        <v>15</v>
      </c>
      <c r="I124" s="5">
        <v>3.5799522673031028</v>
      </c>
      <c r="J124" s="5"/>
      <c r="K124" s="3" t="s">
        <v>96</v>
      </c>
      <c r="L124" s="3" t="s">
        <v>96</v>
      </c>
      <c r="M124" s="5"/>
    </row>
    <row r="125" spans="1:13" ht="12" hidden="1" customHeight="1" x14ac:dyDescent="0.25">
      <c r="A125" s="61" t="s">
        <v>46</v>
      </c>
      <c r="B125" s="6">
        <v>29</v>
      </c>
      <c r="C125" s="5">
        <v>0.1033205073393188</v>
      </c>
      <c r="D125" s="5"/>
      <c r="E125" s="6">
        <v>27</v>
      </c>
      <c r="F125" s="6"/>
      <c r="G125" s="5">
        <v>9.7755249818971754E-2</v>
      </c>
      <c r="H125" s="6">
        <v>1</v>
      </c>
      <c r="I125" s="5">
        <v>0.23866348448687352</v>
      </c>
      <c r="J125" s="5"/>
      <c r="K125" s="6">
        <v>1</v>
      </c>
      <c r="L125" s="5">
        <v>3.4482758620689653</v>
      </c>
      <c r="M125" s="5"/>
    </row>
    <row r="126" spans="1:13" ht="14.1" customHeight="1" x14ac:dyDescent="0.25">
      <c r="A126" s="61" t="s">
        <v>47</v>
      </c>
      <c r="B126" s="6">
        <v>313</v>
      </c>
      <c r="C126" s="5">
        <v>1.1151489240416133</v>
      </c>
      <c r="D126" s="5"/>
      <c r="E126" s="6">
        <v>310</v>
      </c>
      <c r="F126" s="6"/>
      <c r="G126" s="5">
        <v>1.1223750905141203</v>
      </c>
      <c r="H126" s="6">
        <v>1</v>
      </c>
      <c r="I126" s="5">
        <v>0.23866348448687352</v>
      </c>
      <c r="J126" s="5"/>
      <c r="K126" s="6">
        <v>2</v>
      </c>
      <c r="L126" s="5">
        <v>6.8965517241379306</v>
      </c>
      <c r="M126" s="5"/>
    </row>
    <row r="127" spans="1:13" ht="14.1" customHeight="1" x14ac:dyDescent="0.25">
      <c r="A127" s="68"/>
      <c r="B127" s="6"/>
      <c r="C127" s="15"/>
      <c r="D127" s="15"/>
      <c r="E127" s="9"/>
      <c r="F127" s="9"/>
      <c r="G127" s="15"/>
      <c r="H127" s="9"/>
      <c r="I127" s="15"/>
      <c r="J127" s="15"/>
      <c r="K127" s="9"/>
      <c r="L127" s="15"/>
      <c r="M127" s="15"/>
    </row>
    <row r="128" spans="1:13" ht="14.1" customHeight="1" x14ac:dyDescent="0.25">
      <c r="A128" s="63" t="s">
        <v>13</v>
      </c>
      <c r="B128" s="9">
        <v>41333</v>
      </c>
      <c r="C128" s="15">
        <v>100</v>
      </c>
      <c r="D128" s="15"/>
      <c r="E128" s="9">
        <v>40965</v>
      </c>
      <c r="F128" s="9"/>
      <c r="G128" s="15">
        <v>100</v>
      </c>
      <c r="H128" s="9">
        <v>324</v>
      </c>
      <c r="I128" s="15">
        <v>100</v>
      </c>
      <c r="J128" s="15"/>
      <c r="K128" s="9">
        <v>44</v>
      </c>
      <c r="L128" s="15">
        <v>100</v>
      </c>
      <c r="M128" s="15"/>
    </row>
    <row r="129" spans="1:13" ht="14.1" customHeight="1" x14ac:dyDescent="0.25">
      <c r="A129" s="61" t="s">
        <v>40</v>
      </c>
      <c r="B129" s="6">
        <v>30946</v>
      </c>
      <c r="C129" s="5">
        <v>74.769958628698618</v>
      </c>
      <c r="D129" s="5"/>
      <c r="E129" s="6">
        <v>30898</v>
      </c>
      <c r="F129" s="6"/>
      <c r="G129" s="5">
        <v>75.525363114854144</v>
      </c>
      <c r="H129" s="6">
        <v>46</v>
      </c>
      <c r="I129" s="5">
        <v>14.19753086419753</v>
      </c>
      <c r="J129" s="5"/>
      <c r="K129" s="6">
        <v>2</v>
      </c>
      <c r="L129" s="5">
        <v>4.5454545454545459</v>
      </c>
      <c r="M129" s="5"/>
    </row>
    <row r="130" spans="1:13" ht="14.1" customHeight="1" x14ac:dyDescent="0.25">
      <c r="A130" s="61" t="s">
        <v>41</v>
      </c>
      <c r="B130" s="6">
        <v>4117</v>
      </c>
      <c r="C130" s="5">
        <v>9.9605641980983712</v>
      </c>
      <c r="D130" s="5"/>
      <c r="E130" s="6">
        <v>3973</v>
      </c>
      <c r="F130" s="6"/>
      <c r="G130" s="5">
        <v>9.6985231295007939</v>
      </c>
      <c r="H130" s="6">
        <v>121</v>
      </c>
      <c r="I130" s="5">
        <v>37.445679012345678</v>
      </c>
      <c r="J130" s="5"/>
      <c r="K130" s="6">
        <v>23</v>
      </c>
      <c r="L130" s="5">
        <v>52.272727272727273</v>
      </c>
      <c r="M130" s="5"/>
    </row>
    <row r="131" spans="1:13" ht="14.1" customHeight="1" x14ac:dyDescent="0.25">
      <c r="A131" s="61" t="s">
        <v>42</v>
      </c>
      <c r="B131" s="6">
        <v>116</v>
      </c>
      <c r="C131" s="5">
        <v>0.28064742457600467</v>
      </c>
      <c r="D131" s="5"/>
      <c r="E131" s="6">
        <v>115</v>
      </c>
      <c r="F131" s="6"/>
      <c r="G131" s="5">
        <v>0.28072745026241913</v>
      </c>
      <c r="H131" s="6">
        <v>1</v>
      </c>
      <c r="I131" s="5">
        <v>0.30864197530864196</v>
      </c>
      <c r="J131" s="5"/>
      <c r="K131" s="3" t="s">
        <v>96</v>
      </c>
      <c r="L131" s="16" t="s">
        <v>96</v>
      </c>
      <c r="M131" s="5"/>
    </row>
    <row r="132" spans="1:13" ht="14.1" customHeight="1" x14ac:dyDescent="0.25">
      <c r="A132" s="61" t="s">
        <v>43</v>
      </c>
      <c r="B132" s="6">
        <v>1323</v>
      </c>
      <c r="C132" s="5">
        <v>3.2008322647763285</v>
      </c>
      <c r="D132" s="5"/>
      <c r="E132" s="6">
        <v>1264</v>
      </c>
      <c r="F132" s="6"/>
      <c r="G132" s="5">
        <v>3.0855608446234593</v>
      </c>
      <c r="H132" s="6">
        <v>55</v>
      </c>
      <c r="I132" s="5">
        <v>16.97530864197531</v>
      </c>
      <c r="J132" s="5"/>
      <c r="K132" s="3">
        <v>4</v>
      </c>
      <c r="L132" s="16">
        <v>9.0909090909090917</v>
      </c>
      <c r="M132" s="5"/>
    </row>
    <row r="133" spans="1:13" ht="14.1" customHeight="1" x14ac:dyDescent="0.25">
      <c r="A133" s="61" t="s">
        <v>44</v>
      </c>
      <c r="B133" s="6">
        <v>2993</v>
      </c>
      <c r="C133" s="5">
        <v>7.2411874289308784</v>
      </c>
      <c r="D133" s="5"/>
      <c r="E133" s="6">
        <v>2924</v>
      </c>
      <c r="F133" s="6"/>
      <c r="G133" s="5">
        <v>7.1378005614549007</v>
      </c>
      <c r="H133" s="6">
        <v>61</v>
      </c>
      <c r="I133" s="5">
        <v>18.827160493827162</v>
      </c>
      <c r="J133" s="5"/>
      <c r="K133" s="3">
        <v>8</v>
      </c>
      <c r="L133" s="16">
        <v>18.181818181818183</v>
      </c>
      <c r="M133" s="5"/>
    </row>
    <row r="134" spans="1:13" ht="14.1" customHeight="1" x14ac:dyDescent="0.25">
      <c r="A134" s="61" t="s">
        <v>45</v>
      </c>
      <c r="B134" s="6">
        <v>1100</v>
      </c>
      <c r="C134" s="5">
        <v>2.6613117847724581</v>
      </c>
      <c r="D134" s="5"/>
      <c r="E134" s="6">
        <v>1083</v>
      </c>
      <c r="F134" s="6"/>
      <c r="G134" s="5">
        <v>2.6437202489930431</v>
      </c>
      <c r="H134" s="6">
        <v>15</v>
      </c>
      <c r="I134" s="5">
        <v>4.6296296296296298</v>
      </c>
      <c r="J134" s="5"/>
      <c r="K134" s="3">
        <v>2</v>
      </c>
      <c r="L134" s="16">
        <v>4.5454545454545459</v>
      </c>
      <c r="M134" s="5"/>
    </row>
    <row r="135" spans="1:13" ht="12" hidden="1" customHeight="1" x14ac:dyDescent="0.25">
      <c r="A135" s="61" t="s">
        <v>46</v>
      </c>
      <c r="B135" s="6">
        <v>85</v>
      </c>
      <c r="C135" s="5">
        <v>0.20564681973241719</v>
      </c>
      <c r="D135" s="5"/>
      <c r="E135" s="6">
        <v>78</v>
      </c>
      <c r="F135" s="6"/>
      <c r="G135" s="5">
        <v>0.19040644452581473</v>
      </c>
      <c r="H135" s="6">
        <v>7</v>
      </c>
      <c r="I135" s="5">
        <v>2.1604938271604937</v>
      </c>
      <c r="J135" s="5"/>
      <c r="K135" s="3" t="s">
        <v>96</v>
      </c>
      <c r="L135" s="16" t="s">
        <v>96</v>
      </c>
      <c r="M135" s="5"/>
    </row>
    <row r="136" spans="1:13" ht="14.1" customHeight="1" x14ac:dyDescent="0.25">
      <c r="A136" s="61" t="s">
        <v>47</v>
      </c>
      <c r="B136" s="6">
        <v>738</v>
      </c>
      <c r="C136" s="5">
        <v>1.7854982701473399</v>
      </c>
      <c r="D136" s="5"/>
      <c r="E136" s="6">
        <v>708</v>
      </c>
      <c r="F136" s="6"/>
      <c r="G136" s="5">
        <v>1.7283046503112414</v>
      </c>
      <c r="H136" s="6">
        <v>25</v>
      </c>
      <c r="I136" s="5">
        <v>7.716049382716049</v>
      </c>
      <c r="J136" s="5"/>
      <c r="K136" s="6">
        <v>5</v>
      </c>
      <c r="L136" s="6">
        <v>11.363636363636363</v>
      </c>
      <c r="M136" s="5"/>
    </row>
    <row r="137" spans="1:13" ht="14.1" customHeight="1" x14ac:dyDescent="0.25">
      <c r="A137" s="68"/>
      <c r="B137" s="6"/>
      <c r="C137" s="15"/>
      <c r="D137" s="15"/>
      <c r="E137" s="9"/>
      <c r="F137" s="9"/>
      <c r="G137" s="15"/>
      <c r="H137" s="9"/>
      <c r="I137" s="15"/>
      <c r="J137" s="15"/>
      <c r="K137" s="9"/>
      <c r="L137" s="15"/>
      <c r="M137" s="15"/>
    </row>
    <row r="138" spans="1:13" ht="14.1" customHeight="1" x14ac:dyDescent="0.25">
      <c r="A138" s="63" t="s">
        <v>12</v>
      </c>
      <c r="B138" s="9">
        <v>61011</v>
      </c>
      <c r="C138" s="15">
        <v>100</v>
      </c>
      <c r="D138" s="15"/>
      <c r="E138" s="9">
        <v>59848</v>
      </c>
      <c r="F138" s="9"/>
      <c r="G138" s="15">
        <v>100</v>
      </c>
      <c r="H138" s="9">
        <v>1052</v>
      </c>
      <c r="I138" s="15">
        <v>100</v>
      </c>
      <c r="J138" s="15"/>
      <c r="K138" s="9">
        <v>111</v>
      </c>
      <c r="L138" s="15">
        <v>100</v>
      </c>
      <c r="M138" s="15"/>
    </row>
    <row r="139" spans="1:13" ht="14.1" customHeight="1" x14ac:dyDescent="0.25">
      <c r="A139" s="61" t="s">
        <v>40</v>
      </c>
      <c r="B139" s="6">
        <v>44233</v>
      </c>
      <c r="C139" s="5">
        <v>72.300040976217403</v>
      </c>
      <c r="D139" s="5"/>
      <c r="E139" s="6">
        <v>44093</v>
      </c>
      <c r="F139" s="6"/>
      <c r="G139" s="5">
        <v>73.574976607405432</v>
      </c>
      <c r="H139" s="6">
        <v>135</v>
      </c>
      <c r="I139" s="5">
        <v>12.832699619771862</v>
      </c>
      <c r="J139" s="5"/>
      <c r="K139" s="6">
        <v>5</v>
      </c>
      <c r="L139" s="5">
        <v>4.5045045045045047</v>
      </c>
      <c r="M139" s="5"/>
    </row>
    <row r="140" spans="1:13" ht="14.1" customHeight="1" x14ac:dyDescent="0.25">
      <c r="A140" s="61" t="s">
        <v>41</v>
      </c>
      <c r="B140" s="6">
        <v>8092</v>
      </c>
      <c r="C140" s="5">
        <v>13.263182049138681</v>
      </c>
      <c r="D140" s="5"/>
      <c r="E140" s="6">
        <v>7428</v>
      </c>
      <c r="F140" s="6"/>
      <c r="G140" s="5">
        <v>12.411442320545381</v>
      </c>
      <c r="H140" s="6">
        <v>587</v>
      </c>
      <c r="I140" s="5">
        <v>55.798479087452471</v>
      </c>
      <c r="J140" s="5"/>
      <c r="K140" s="6">
        <v>77</v>
      </c>
      <c r="L140" s="5">
        <v>69.369369369369366</v>
      </c>
      <c r="M140" s="5"/>
    </row>
    <row r="141" spans="1:13" ht="14.1" customHeight="1" x14ac:dyDescent="0.25">
      <c r="A141" s="61" t="s">
        <v>42</v>
      </c>
      <c r="B141" s="6">
        <v>219</v>
      </c>
      <c r="C141" s="5">
        <v>0.35895166445395088</v>
      </c>
      <c r="D141" s="5"/>
      <c r="E141" s="6">
        <v>212</v>
      </c>
      <c r="F141" s="6"/>
      <c r="G141" s="5">
        <v>0.35423071781847343</v>
      </c>
      <c r="H141" s="6">
        <v>7</v>
      </c>
      <c r="I141" s="5">
        <v>0.66539923954372615</v>
      </c>
      <c r="J141" s="5"/>
      <c r="K141" s="3" t="s">
        <v>96</v>
      </c>
      <c r="L141" s="3" t="s">
        <v>96</v>
      </c>
      <c r="M141" s="5"/>
    </row>
    <row r="142" spans="1:13" ht="14.1" customHeight="1" x14ac:dyDescent="0.25">
      <c r="A142" s="61" t="s">
        <v>43</v>
      </c>
      <c r="B142" s="6">
        <v>1129</v>
      </c>
      <c r="C142" s="5">
        <v>1.8504859779384046</v>
      </c>
      <c r="D142" s="5"/>
      <c r="E142" s="6">
        <v>1017</v>
      </c>
      <c r="F142" s="6"/>
      <c r="G142" s="5">
        <v>1.6993049057612619</v>
      </c>
      <c r="H142" s="6">
        <v>103</v>
      </c>
      <c r="I142" s="5">
        <v>9.7908745247148286</v>
      </c>
      <c r="J142" s="5"/>
      <c r="K142" s="6">
        <v>9</v>
      </c>
      <c r="L142" s="5">
        <v>8.1081081081081088</v>
      </c>
      <c r="M142" s="5"/>
    </row>
    <row r="143" spans="1:13" ht="14.1" customHeight="1" x14ac:dyDescent="0.25">
      <c r="A143" s="61" t="s">
        <v>44</v>
      </c>
      <c r="B143" s="6">
        <v>4816</v>
      </c>
      <c r="C143" s="5">
        <v>7.8936585205946468</v>
      </c>
      <c r="D143" s="5"/>
      <c r="E143" s="6">
        <v>4626</v>
      </c>
      <c r="F143" s="6"/>
      <c r="G143" s="5">
        <v>7.7295816067370664</v>
      </c>
      <c r="H143" s="6">
        <v>181</v>
      </c>
      <c r="I143" s="5">
        <v>17.20532319391635</v>
      </c>
      <c r="J143" s="5"/>
      <c r="K143" s="6">
        <v>9</v>
      </c>
      <c r="L143" s="5">
        <v>8.1081081081081088</v>
      </c>
      <c r="M143" s="5"/>
    </row>
    <row r="144" spans="1:13" ht="14.1" customHeight="1" x14ac:dyDescent="0.25">
      <c r="A144" s="61" t="s">
        <v>45</v>
      </c>
      <c r="B144" s="6">
        <v>1620</v>
      </c>
      <c r="C144" s="5">
        <v>2.6552588877415548</v>
      </c>
      <c r="D144" s="5"/>
      <c r="E144" s="6">
        <v>1592</v>
      </c>
      <c r="F144" s="6"/>
      <c r="G144" s="5">
        <v>2.6600721828632534</v>
      </c>
      <c r="H144" s="6">
        <v>23</v>
      </c>
      <c r="I144" s="5">
        <v>2.1863117870722433</v>
      </c>
      <c r="J144" s="5"/>
      <c r="K144" s="6">
        <v>5</v>
      </c>
      <c r="L144" s="5">
        <v>4.5045045045045047</v>
      </c>
      <c r="M144" s="5"/>
    </row>
    <row r="145" spans="1:13" ht="18.75" hidden="1" customHeight="1" x14ac:dyDescent="0.25">
      <c r="A145" s="61" t="s">
        <v>46</v>
      </c>
      <c r="B145" s="6">
        <v>72</v>
      </c>
      <c r="C145" s="5">
        <v>0.1180115061218469</v>
      </c>
      <c r="D145" s="5"/>
      <c r="E145" s="6">
        <v>66</v>
      </c>
      <c r="F145" s="6"/>
      <c r="G145" s="5">
        <v>0.11027937441518514</v>
      </c>
      <c r="H145" s="6">
        <v>3</v>
      </c>
      <c r="I145" s="5">
        <v>0.28517110266159695</v>
      </c>
      <c r="J145" s="5"/>
      <c r="K145" s="6">
        <v>3</v>
      </c>
      <c r="L145" s="5">
        <v>2.7027027027027026</v>
      </c>
      <c r="M145" s="5"/>
    </row>
    <row r="146" spans="1:13" ht="14.1" customHeight="1" x14ac:dyDescent="0.25">
      <c r="A146" s="61" t="s">
        <v>47</v>
      </c>
      <c r="B146" s="6">
        <v>902</v>
      </c>
      <c r="C146" s="5">
        <v>1.4784219239153598</v>
      </c>
      <c r="D146" s="5"/>
      <c r="E146" s="6">
        <v>880</v>
      </c>
      <c r="F146" s="6"/>
      <c r="G146" s="5">
        <v>1.470391658869135</v>
      </c>
      <c r="H146" s="6">
        <v>16</v>
      </c>
      <c r="I146" s="5">
        <v>1.5209125475285172</v>
      </c>
      <c r="J146" s="5"/>
      <c r="K146" s="6">
        <v>6</v>
      </c>
      <c r="L146" s="5">
        <v>5.4054054054054053</v>
      </c>
      <c r="M146" s="5"/>
    </row>
    <row r="147" spans="1:13" ht="14.1" customHeight="1" x14ac:dyDescent="0.25">
      <c r="A147" s="68"/>
      <c r="B147" s="9"/>
      <c r="C147" s="15"/>
      <c r="D147" s="15"/>
      <c r="E147" s="9"/>
      <c r="F147" s="9"/>
      <c r="G147" s="15"/>
      <c r="H147" s="9"/>
      <c r="I147" s="15"/>
      <c r="J147" s="15"/>
      <c r="K147" s="9"/>
      <c r="L147" s="15"/>
      <c r="M147" s="15"/>
    </row>
    <row r="148" spans="1:13" ht="14.1" customHeight="1" x14ac:dyDescent="0.25">
      <c r="A148" s="63" t="s">
        <v>11</v>
      </c>
      <c r="B148" s="9">
        <v>50018</v>
      </c>
      <c r="C148" s="15">
        <v>100</v>
      </c>
      <c r="D148" s="15"/>
      <c r="E148" s="9">
        <v>49504</v>
      </c>
      <c r="F148" s="9"/>
      <c r="G148" s="15">
        <v>100</v>
      </c>
      <c r="H148" s="9">
        <v>471</v>
      </c>
      <c r="I148" s="15">
        <v>100</v>
      </c>
      <c r="J148" s="15"/>
      <c r="K148" s="9">
        <v>43</v>
      </c>
      <c r="L148" s="15">
        <v>100</v>
      </c>
      <c r="M148" s="15"/>
    </row>
    <row r="149" spans="1:13" ht="14.1" customHeight="1" x14ac:dyDescent="0.25">
      <c r="A149" s="61" t="s">
        <v>40</v>
      </c>
      <c r="B149" s="6">
        <v>38729</v>
      </c>
      <c r="C149" s="5">
        <v>77.530125154944216</v>
      </c>
      <c r="D149" s="5"/>
      <c r="E149" s="6">
        <v>38670</v>
      </c>
      <c r="F149" s="6"/>
      <c r="G149" s="5">
        <v>78.314899806076284</v>
      </c>
      <c r="H149" s="6">
        <v>57</v>
      </c>
      <c r="I149" s="5">
        <v>12.101910828025478</v>
      </c>
      <c r="J149" s="5"/>
      <c r="K149" s="6">
        <v>2</v>
      </c>
      <c r="L149" s="5">
        <v>4.6511627906976747</v>
      </c>
      <c r="M149" s="5"/>
    </row>
    <row r="150" spans="1:13" ht="14.1" customHeight="1" x14ac:dyDescent="0.25">
      <c r="A150" s="61" t="s">
        <v>41</v>
      </c>
      <c r="B150" s="6">
        <v>4207</v>
      </c>
      <c r="C150" s="5">
        <v>8.4109720500619787</v>
      </c>
      <c r="D150" s="5"/>
      <c r="E150" s="6">
        <v>3984</v>
      </c>
      <c r="F150" s="6"/>
      <c r="G150" s="5">
        <v>8.0478345184227535</v>
      </c>
      <c r="H150" s="6">
        <v>197</v>
      </c>
      <c r="I150" s="5">
        <v>41.925902335456477</v>
      </c>
      <c r="J150" s="5"/>
      <c r="K150" s="6">
        <v>26</v>
      </c>
      <c r="L150" s="5">
        <v>60.36511627906976</v>
      </c>
      <c r="M150" s="5"/>
    </row>
    <row r="151" spans="1:13" ht="14.1" customHeight="1" x14ac:dyDescent="0.25">
      <c r="A151" s="61" t="s">
        <v>42</v>
      </c>
      <c r="B151" s="6">
        <v>120</v>
      </c>
      <c r="C151" s="5">
        <v>0.23991363109280658</v>
      </c>
      <c r="D151" s="5"/>
      <c r="E151" s="6">
        <v>119</v>
      </c>
      <c r="F151" s="6"/>
      <c r="G151" s="5">
        <v>0.24038461538461539</v>
      </c>
      <c r="H151" s="6">
        <v>1</v>
      </c>
      <c r="I151" s="5">
        <v>0.21231422505307856</v>
      </c>
      <c r="J151" s="5"/>
      <c r="K151" s="3" t="s">
        <v>96</v>
      </c>
      <c r="L151" s="16" t="s">
        <v>96</v>
      </c>
      <c r="M151" s="5"/>
    </row>
    <row r="152" spans="1:13" ht="14.1" customHeight="1" x14ac:dyDescent="0.25">
      <c r="A152" s="61" t="s">
        <v>43</v>
      </c>
      <c r="B152" s="6">
        <v>1123</v>
      </c>
      <c r="C152" s="5">
        <v>2.2451917309768485</v>
      </c>
      <c r="D152" s="5"/>
      <c r="E152" s="6">
        <v>1049</v>
      </c>
      <c r="F152" s="6"/>
      <c r="G152" s="5">
        <v>2.1190206851971558</v>
      </c>
      <c r="H152" s="6">
        <v>69</v>
      </c>
      <c r="I152" s="5">
        <v>14.64968152866242</v>
      </c>
      <c r="J152" s="5"/>
      <c r="K152" s="3">
        <v>5</v>
      </c>
      <c r="L152" s="16">
        <v>11.627906976744185</v>
      </c>
      <c r="M152" s="5"/>
    </row>
    <row r="153" spans="1:13" ht="14.1" customHeight="1" x14ac:dyDescent="0.25">
      <c r="A153" s="61" t="s">
        <v>44</v>
      </c>
      <c r="B153" s="6">
        <v>3582</v>
      </c>
      <c r="C153" s="5">
        <v>7.1614218881202767</v>
      </c>
      <c r="D153" s="5"/>
      <c r="E153" s="6">
        <v>3470</v>
      </c>
      <c r="F153" s="6"/>
      <c r="G153" s="5">
        <v>7.0095345830639948</v>
      </c>
      <c r="H153" s="6">
        <v>107</v>
      </c>
      <c r="I153" s="5">
        <v>22.717622080679405</v>
      </c>
      <c r="J153" s="5"/>
      <c r="K153" s="3">
        <v>5</v>
      </c>
      <c r="L153" s="16">
        <v>11.627906976744185</v>
      </c>
      <c r="M153" s="5"/>
    </row>
    <row r="154" spans="1:13" ht="14.1" customHeight="1" x14ac:dyDescent="0.25">
      <c r="A154" s="61" t="s">
        <v>45</v>
      </c>
      <c r="B154" s="6">
        <v>1164</v>
      </c>
      <c r="C154" s="5">
        <v>2.3271622216002239</v>
      </c>
      <c r="D154" s="5"/>
      <c r="E154" s="6">
        <v>1153</v>
      </c>
      <c r="F154" s="6"/>
      <c r="G154" s="5">
        <v>2.3291047188106013</v>
      </c>
      <c r="H154" s="6">
        <v>8</v>
      </c>
      <c r="I154" s="5">
        <v>1.6985138004246285</v>
      </c>
      <c r="J154" s="5"/>
      <c r="K154" s="3">
        <v>3</v>
      </c>
      <c r="L154" s="16">
        <v>6.9767441860465116</v>
      </c>
      <c r="M154" s="5"/>
    </row>
    <row r="155" spans="1:13" ht="16.5" hidden="1" customHeight="1" x14ac:dyDescent="0.25">
      <c r="A155" s="61" t="s">
        <v>46</v>
      </c>
      <c r="B155" s="6">
        <v>60</v>
      </c>
      <c r="C155" s="5">
        <v>0.11995681554640329</v>
      </c>
      <c r="D155" s="5"/>
      <c r="E155" s="6">
        <v>59</v>
      </c>
      <c r="F155" s="6"/>
      <c r="G155" s="5">
        <v>0.11918228829993537</v>
      </c>
      <c r="H155" s="6">
        <v>1</v>
      </c>
      <c r="I155" s="5">
        <v>0.21231422505307856</v>
      </c>
      <c r="J155" s="5"/>
      <c r="K155" s="3" t="s">
        <v>96</v>
      </c>
      <c r="L155" s="16" t="s">
        <v>96</v>
      </c>
      <c r="M155" s="5"/>
    </row>
    <row r="156" spans="1:13" ht="14.1" customHeight="1" x14ac:dyDescent="0.25">
      <c r="A156" s="61" t="s">
        <v>47</v>
      </c>
      <c r="B156" s="6">
        <v>1093</v>
      </c>
      <c r="C156" s="5">
        <v>2.185213323203647</v>
      </c>
      <c r="D156" s="5"/>
      <c r="E156" s="6">
        <v>1059</v>
      </c>
      <c r="F156" s="6"/>
      <c r="G156" s="5">
        <v>2.1392210730446024</v>
      </c>
      <c r="H156" s="6">
        <v>32</v>
      </c>
      <c r="I156" s="5">
        <v>6.7940552016985141</v>
      </c>
      <c r="J156" s="5"/>
      <c r="K156" s="3">
        <v>2</v>
      </c>
      <c r="L156" s="16">
        <v>4.6511627906976747</v>
      </c>
      <c r="M156" s="5"/>
    </row>
    <row r="157" spans="1:13" ht="14.1" customHeight="1" x14ac:dyDescent="0.25">
      <c r="A157" s="61"/>
      <c r="B157" s="9"/>
      <c r="C157" s="15"/>
      <c r="D157" s="15"/>
      <c r="E157" s="9"/>
      <c r="F157" s="9"/>
      <c r="G157" s="15"/>
      <c r="H157" s="9"/>
      <c r="I157" s="15"/>
      <c r="J157" s="15"/>
      <c r="K157" s="9"/>
      <c r="L157" s="15"/>
      <c r="M157" s="15"/>
    </row>
    <row r="158" spans="1:13" ht="14.1" customHeight="1" x14ac:dyDescent="0.25">
      <c r="A158" s="63" t="s">
        <v>71</v>
      </c>
      <c r="B158" s="9">
        <v>575774</v>
      </c>
      <c r="C158" s="15">
        <v>100</v>
      </c>
      <c r="D158" s="15"/>
      <c r="E158" s="9">
        <v>557599</v>
      </c>
      <c r="F158" s="9"/>
      <c r="G158" s="15">
        <v>100</v>
      </c>
      <c r="H158" s="9">
        <v>15077</v>
      </c>
      <c r="I158" s="15">
        <v>100</v>
      </c>
      <c r="J158" s="15"/>
      <c r="K158" s="9">
        <v>3098</v>
      </c>
      <c r="L158" s="15">
        <v>100</v>
      </c>
      <c r="M158" s="15"/>
    </row>
    <row r="159" spans="1:13" ht="14.1" customHeight="1" x14ac:dyDescent="0.25">
      <c r="A159" s="61" t="s">
        <v>40</v>
      </c>
      <c r="B159" s="6">
        <v>367552</v>
      </c>
      <c r="C159" s="5">
        <v>63.836157936968327</v>
      </c>
      <c r="D159" s="5"/>
      <c r="E159" s="6">
        <v>366832</v>
      </c>
      <c r="F159" s="6"/>
      <c r="G159" s="5">
        <v>65.587779389848251</v>
      </c>
      <c r="H159" s="6">
        <v>699</v>
      </c>
      <c r="I159" s="5">
        <v>4.6362008357100217</v>
      </c>
      <c r="J159" s="5"/>
      <c r="K159" s="6">
        <v>21</v>
      </c>
      <c r="L159" s="5">
        <v>0.67785668173014846</v>
      </c>
      <c r="M159" s="5"/>
    </row>
    <row r="160" spans="1:13" ht="14.1" customHeight="1" x14ac:dyDescent="0.25">
      <c r="A160" s="61" t="s">
        <v>41</v>
      </c>
      <c r="B160" s="6">
        <v>119489</v>
      </c>
      <c r="C160" s="5">
        <v>20.752760631775661</v>
      </c>
      <c r="D160" s="5"/>
      <c r="E160" s="6">
        <v>106262</v>
      </c>
      <c r="F160" s="6"/>
      <c r="G160" s="5">
        <v>19.057064306069414</v>
      </c>
      <c r="H160" s="6">
        <v>10785</v>
      </c>
      <c r="I160" s="5">
        <v>71.532798302049486</v>
      </c>
      <c r="J160" s="5"/>
      <c r="K160" s="6">
        <v>2442</v>
      </c>
      <c r="L160" s="5">
        <v>78.825048418334404</v>
      </c>
      <c r="M160" s="5"/>
    </row>
    <row r="161" spans="1:13" ht="14.1" customHeight="1" x14ac:dyDescent="0.25">
      <c r="A161" s="61" t="s">
        <v>42</v>
      </c>
      <c r="B161" s="6">
        <v>4660</v>
      </c>
      <c r="C161" s="5">
        <v>0.80934533341206794</v>
      </c>
      <c r="D161" s="5"/>
      <c r="E161" s="6">
        <v>4324</v>
      </c>
      <c r="F161" s="6"/>
      <c r="G161" s="5">
        <v>0.77546767479855594</v>
      </c>
      <c r="H161" s="6">
        <v>259</v>
      </c>
      <c r="I161" s="5">
        <v>1.7178483783246004</v>
      </c>
      <c r="J161" s="5"/>
      <c r="K161" s="6">
        <v>77</v>
      </c>
      <c r="L161" s="5">
        <v>2.4854744996772111</v>
      </c>
      <c r="M161" s="5"/>
    </row>
    <row r="162" spans="1:13" ht="14.1" customHeight="1" x14ac:dyDescent="0.25">
      <c r="A162" s="61" t="s">
        <v>43</v>
      </c>
      <c r="B162" s="6">
        <v>8519</v>
      </c>
      <c r="C162" s="5">
        <v>1.4795735826904306</v>
      </c>
      <c r="D162" s="5"/>
      <c r="E162" s="6">
        <v>7535</v>
      </c>
      <c r="F162" s="6"/>
      <c r="G162" s="5">
        <v>1.3513295396871228</v>
      </c>
      <c r="H162" s="6">
        <v>836</v>
      </c>
      <c r="I162" s="5">
        <v>5.5448696690323009</v>
      </c>
      <c r="J162" s="5"/>
      <c r="K162" s="6">
        <v>148</v>
      </c>
      <c r="L162" s="5">
        <v>4.7772756617172369</v>
      </c>
      <c r="M162" s="5"/>
    </row>
    <row r="163" spans="1:13" ht="14.1" customHeight="1" x14ac:dyDescent="0.25">
      <c r="A163" s="61" t="s">
        <v>44</v>
      </c>
      <c r="B163" s="6">
        <v>45616</v>
      </c>
      <c r="C163" s="5">
        <v>7.922552946121221</v>
      </c>
      <c r="D163" s="5"/>
      <c r="E163" s="6">
        <v>43964</v>
      </c>
      <c r="F163" s="6"/>
      <c r="G163" s="5">
        <v>7.8845191616197301</v>
      </c>
      <c r="H163" s="6">
        <v>1562</v>
      </c>
      <c r="I163" s="5">
        <v>10.360151223718246</v>
      </c>
      <c r="J163" s="5"/>
      <c r="K163" s="6">
        <v>90</v>
      </c>
      <c r="L163" s="5">
        <v>2.9051000645577791</v>
      </c>
      <c r="M163" s="5"/>
    </row>
    <row r="164" spans="1:13" ht="14.1" customHeight="1" x14ac:dyDescent="0.25">
      <c r="A164" s="61" t="s">
        <v>45</v>
      </c>
      <c r="B164" s="6">
        <v>17669</v>
      </c>
      <c r="C164" s="5">
        <v>3.0687387759780749</v>
      </c>
      <c r="D164" s="5"/>
      <c r="E164" s="6">
        <v>17201</v>
      </c>
      <c r="F164" s="6"/>
      <c r="G164" s="5">
        <v>3.084833365913497</v>
      </c>
      <c r="H164" s="6">
        <v>355</v>
      </c>
      <c r="I164" s="5">
        <v>2.3545798235723288</v>
      </c>
      <c r="J164" s="5"/>
      <c r="K164" s="6">
        <v>113</v>
      </c>
      <c r="L164" s="5">
        <v>3.6475145255003225</v>
      </c>
      <c r="M164" s="5"/>
    </row>
    <row r="165" spans="1:13" ht="20.25" hidden="1" customHeight="1" x14ac:dyDescent="0.25">
      <c r="A165" s="61" t="s">
        <v>46</v>
      </c>
      <c r="B165" s="6">
        <v>773</v>
      </c>
      <c r="C165" s="5">
        <v>0.13425406496298894</v>
      </c>
      <c r="D165" s="5"/>
      <c r="E165" s="6">
        <v>707</v>
      </c>
      <c r="F165" s="6"/>
      <c r="G165" s="5">
        <v>0.1267936276786723</v>
      </c>
      <c r="H165" s="6">
        <v>47</v>
      </c>
      <c r="I165" s="5">
        <v>0.31173310340253363</v>
      </c>
      <c r="J165" s="5"/>
      <c r="K165" s="6">
        <v>19</v>
      </c>
      <c r="L165" s="5">
        <v>0.61329890251775343</v>
      </c>
      <c r="M165" s="5"/>
    </row>
    <row r="166" spans="1:13" ht="14.1" customHeight="1" x14ac:dyDescent="0.25">
      <c r="A166" s="61" t="s">
        <v>47</v>
      </c>
      <c r="B166" s="6">
        <v>12269</v>
      </c>
      <c r="C166" s="5">
        <v>2.130870793054219</v>
      </c>
      <c r="D166" s="5"/>
      <c r="E166" s="6">
        <v>11481</v>
      </c>
      <c r="F166" s="6"/>
      <c r="G166" s="5">
        <v>2.0590065620634186</v>
      </c>
      <c r="H166" s="6">
        <v>581</v>
      </c>
      <c r="I166" s="5">
        <v>3.8535517675930229</v>
      </c>
      <c r="J166" s="5"/>
      <c r="K166" s="6">
        <v>207</v>
      </c>
      <c r="L166" s="5">
        <v>6.6817301484828926</v>
      </c>
      <c r="M166" s="5"/>
    </row>
    <row r="167" spans="1:13" ht="14.1" customHeight="1" x14ac:dyDescent="0.25">
      <c r="A167" s="61"/>
      <c r="B167" s="9"/>
      <c r="C167" s="15"/>
      <c r="D167" s="15"/>
      <c r="E167" s="9"/>
      <c r="F167" s="9"/>
      <c r="G167" s="15"/>
      <c r="H167" s="9"/>
      <c r="I167" s="15"/>
      <c r="J167" s="15"/>
      <c r="K167" s="9"/>
      <c r="L167" s="15"/>
      <c r="M167" s="15"/>
    </row>
    <row r="168" spans="1:13" ht="14.1" customHeight="1" x14ac:dyDescent="0.25">
      <c r="A168" s="94" t="s">
        <v>10</v>
      </c>
      <c r="B168" s="95">
        <v>21896</v>
      </c>
      <c r="C168" s="96">
        <v>100</v>
      </c>
      <c r="D168" s="96"/>
      <c r="E168" s="95">
        <v>21586</v>
      </c>
      <c r="F168" s="95"/>
      <c r="G168" s="96">
        <v>100</v>
      </c>
      <c r="H168" s="95">
        <v>285</v>
      </c>
      <c r="I168" s="96">
        <v>100</v>
      </c>
      <c r="J168" s="96"/>
      <c r="K168" s="95">
        <v>25</v>
      </c>
      <c r="L168" s="96">
        <v>100</v>
      </c>
      <c r="M168" s="96"/>
    </row>
    <row r="169" spans="1:13" ht="14.1" customHeight="1" x14ac:dyDescent="0.25">
      <c r="A169" s="92" t="s">
        <v>40</v>
      </c>
      <c r="B169" s="97">
        <v>16213</v>
      </c>
      <c r="C169" s="98">
        <v>74.145487760321515</v>
      </c>
      <c r="D169" s="98"/>
      <c r="E169" s="97">
        <v>16174</v>
      </c>
      <c r="F169" s="97"/>
      <c r="G169" s="98">
        <v>74.82819419994442</v>
      </c>
      <c r="H169" s="97">
        <v>38</v>
      </c>
      <c r="I169" s="98">
        <v>13.333333333333334</v>
      </c>
      <c r="J169" s="98"/>
      <c r="K169" s="97">
        <v>1</v>
      </c>
      <c r="L169" s="98">
        <v>4</v>
      </c>
      <c r="M169" s="98"/>
    </row>
    <row r="170" spans="1:13" ht="14.1" customHeight="1" x14ac:dyDescent="0.25">
      <c r="A170" s="92" t="s">
        <v>41</v>
      </c>
      <c r="B170" s="97">
        <v>1093</v>
      </c>
      <c r="C170" s="98">
        <v>4.9917793204238219</v>
      </c>
      <c r="D170" s="98"/>
      <c r="E170" s="97">
        <v>972</v>
      </c>
      <c r="F170" s="97"/>
      <c r="G170" s="98">
        <v>4.5029185583248399</v>
      </c>
      <c r="H170" s="97">
        <v>105</v>
      </c>
      <c r="I170" s="98">
        <v>36.84210526315789</v>
      </c>
      <c r="J170" s="98"/>
      <c r="K170" s="97">
        <v>16</v>
      </c>
      <c r="L170" s="98">
        <v>64</v>
      </c>
      <c r="M170" s="98"/>
    </row>
    <row r="171" spans="1:13" ht="14.1" customHeight="1" x14ac:dyDescent="0.25">
      <c r="A171" s="92" t="s">
        <v>42</v>
      </c>
      <c r="B171" s="97">
        <v>66</v>
      </c>
      <c r="C171" s="98">
        <v>0.30142491779320424</v>
      </c>
      <c r="D171" s="98"/>
      <c r="E171" s="97">
        <v>63</v>
      </c>
      <c r="F171" s="97"/>
      <c r="G171" s="98">
        <v>0.29185583248401742</v>
      </c>
      <c r="H171" s="97">
        <v>3</v>
      </c>
      <c r="I171" s="98">
        <v>1.0526315789473684</v>
      </c>
      <c r="J171" s="98"/>
      <c r="K171" s="89" t="s">
        <v>96</v>
      </c>
      <c r="L171" s="89" t="s">
        <v>96</v>
      </c>
      <c r="M171" s="98"/>
    </row>
    <row r="172" spans="1:13" ht="14.1" customHeight="1" x14ac:dyDescent="0.25">
      <c r="A172" s="92" t="s">
        <v>43</v>
      </c>
      <c r="B172" s="97">
        <v>530</v>
      </c>
      <c r="C172" s="98">
        <v>2.4205334307636099</v>
      </c>
      <c r="D172" s="98"/>
      <c r="E172" s="97">
        <v>490</v>
      </c>
      <c r="F172" s="97"/>
      <c r="G172" s="98">
        <v>2.2699898082090244</v>
      </c>
      <c r="H172" s="97">
        <v>38</v>
      </c>
      <c r="I172" s="98">
        <v>13.333333333333334</v>
      </c>
      <c r="J172" s="98"/>
      <c r="K172" s="89">
        <v>2</v>
      </c>
      <c r="L172" s="90">
        <v>8</v>
      </c>
      <c r="M172" s="98"/>
    </row>
    <row r="173" spans="1:13" ht="14.1" customHeight="1" x14ac:dyDescent="0.25">
      <c r="A173" s="92" t="s">
        <v>44</v>
      </c>
      <c r="B173" s="97">
        <v>2239</v>
      </c>
      <c r="C173" s="98">
        <v>10.225611983924004</v>
      </c>
      <c r="D173" s="98"/>
      <c r="E173" s="97">
        <v>2152</v>
      </c>
      <c r="F173" s="97"/>
      <c r="G173" s="98">
        <v>9.9694246270731028</v>
      </c>
      <c r="H173" s="97">
        <v>84</v>
      </c>
      <c r="I173" s="98">
        <v>29.473684210526311</v>
      </c>
      <c r="J173" s="98"/>
      <c r="K173" s="89">
        <v>3</v>
      </c>
      <c r="L173" s="90">
        <v>12</v>
      </c>
      <c r="M173" s="98"/>
    </row>
    <row r="174" spans="1:13" ht="14.1" customHeight="1" x14ac:dyDescent="0.25">
      <c r="A174" s="92" t="s">
        <v>45</v>
      </c>
      <c r="B174" s="97">
        <v>819</v>
      </c>
      <c r="C174" s="98">
        <v>3.7404092071611252</v>
      </c>
      <c r="D174" s="98"/>
      <c r="E174" s="97">
        <v>814</v>
      </c>
      <c r="F174" s="97"/>
      <c r="G174" s="98">
        <v>3.770962660983971</v>
      </c>
      <c r="H174" s="97">
        <v>3</v>
      </c>
      <c r="I174" s="98">
        <v>1.0526315789473684</v>
      </c>
      <c r="J174" s="98"/>
      <c r="K174" s="89">
        <v>2</v>
      </c>
      <c r="L174" s="90">
        <v>8</v>
      </c>
      <c r="M174" s="98"/>
    </row>
    <row r="175" spans="1:13" ht="20.25" hidden="1" customHeight="1" x14ac:dyDescent="0.25">
      <c r="A175" s="92" t="s">
        <v>46</v>
      </c>
      <c r="B175" s="97">
        <v>25</v>
      </c>
      <c r="C175" s="98">
        <v>0.11417610522469858</v>
      </c>
      <c r="D175" s="98"/>
      <c r="E175" s="97">
        <v>23</v>
      </c>
      <c r="F175" s="97"/>
      <c r="G175" s="98">
        <v>0.10655054201797461</v>
      </c>
      <c r="H175" s="97">
        <v>2</v>
      </c>
      <c r="I175" s="98">
        <v>0.70175438596491224</v>
      </c>
      <c r="J175" s="98"/>
      <c r="K175" s="89" t="s">
        <v>96</v>
      </c>
      <c r="L175" s="90" t="s">
        <v>96</v>
      </c>
      <c r="M175" s="98"/>
    </row>
    <row r="176" spans="1:13" ht="14.1" customHeight="1" x14ac:dyDescent="0.25">
      <c r="A176" s="92" t="s">
        <v>47</v>
      </c>
      <c r="B176" s="97">
        <v>936</v>
      </c>
      <c r="C176" s="98">
        <v>4.2747533796127142</v>
      </c>
      <c r="D176" s="98"/>
      <c r="E176" s="97">
        <v>921</v>
      </c>
      <c r="F176" s="97"/>
      <c r="G176" s="98">
        <v>4.266654312980636</v>
      </c>
      <c r="H176" s="97">
        <v>14</v>
      </c>
      <c r="I176" s="98">
        <v>4.9122807017543852</v>
      </c>
      <c r="J176" s="98"/>
      <c r="K176" s="97">
        <v>1</v>
      </c>
      <c r="L176" s="98">
        <v>4</v>
      </c>
      <c r="M176" s="98"/>
    </row>
    <row r="177" spans="1:13" ht="14.1" customHeight="1" x14ac:dyDescent="0.25">
      <c r="A177" s="68"/>
      <c r="B177" s="9"/>
      <c r="C177" s="15"/>
      <c r="D177" s="15"/>
      <c r="E177" s="9"/>
      <c r="F177" s="9"/>
      <c r="G177" s="15"/>
      <c r="H177" s="9"/>
      <c r="I177" s="15"/>
      <c r="J177" s="15"/>
      <c r="K177" s="9"/>
      <c r="L177" s="15"/>
      <c r="M177" s="15"/>
    </row>
    <row r="178" spans="1:13" ht="14.1" customHeight="1" x14ac:dyDescent="0.25">
      <c r="A178" s="63" t="s">
        <v>9</v>
      </c>
      <c r="B178" s="9">
        <v>7477</v>
      </c>
      <c r="C178" s="15">
        <v>100</v>
      </c>
      <c r="D178" s="15"/>
      <c r="E178" s="9">
        <v>7381</v>
      </c>
      <c r="F178" s="9"/>
      <c r="G178" s="15">
        <v>100</v>
      </c>
      <c r="H178" s="9">
        <v>87</v>
      </c>
      <c r="I178" s="15">
        <v>100</v>
      </c>
      <c r="J178" s="15"/>
      <c r="K178" s="9">
        <v>9</v>
      </c>
      <c r="L178" s="15">
        <v>100</v>
      </c>
      <c r="M178" s="15"/>
    </row>
    <row r="179" spans="1:13" ht="14.1" customHeight="1" x14ac:dyDescent="0.25">
      <c r="A179" s="61" t="s">
        <v>40</v>
      </c>
      <c r="B179" s="6">
        <v>5916</v>
      </c>
      <c r="C179" s="5">
        <v>79.2226427711649</v>
      </c>
      <c r="D179" s="5"/>
      <c r="E179" s="6">
        <v>5892</v>
      </c>
      <c r="F179" s="6"/>
      <c r="G179" s="5">
        <v>79.926581763988622</v>
      </c>
      <c r="H179" s="6">
        <v>22</v>
      </c>
      <c r="I179" s="5">
        <v>25.287356321839084</v>
      </c>
      <c r="J179" s="5"/>
      <c r="K179" s="6">
        <v>2</v>
      </c>
      <c r="L179" s="5">
        <v>22.222222222222221</v>
      </c>
      <c r="M179" s="5"/>
    </row>
    <row r="180" spans="1:13" ht="14.1" customHeight="1" x14ac:dyDescent="0.25">
      <c r="A180" s="61" t="s">
        <v>41</v>
      </c>
      <c r="B180" s="6">
        <v>437</v>
      </c>
      <c r="C180" s="5">
        <v>5.844590076233783</v>
      </c>
      <c r="D180" s="5"/>
      <c r="E180" s="6">
        <v>407</v>
      </c>
      <c r="F180" s="6"/>
      <c r="G180" s="5">
        <v>5.5141579731743668</v>
      </c>
      <c r="H180" s="6">
        <v>29</v>
      </c>
      <c r="I180" s="5">
        <v>33.333333333333329</v>
      </c>
      <c r="J180" s="5"/>
      <c r="K180" s="6">
        <v>1</v>
      </c>
      <c r="L180" s="5">
        <v>11.111111111111111</v>
      </c>
      <c r="M180" s="5"/>
    </row>
    <row r="181" spans="1:13" ht="14.1" customHeight="1" x14ac:dyDescent="0.25">
      <c r="A181" s="61" t="s">
        <v>42</v>
      </c>
      <c r="B181" s="6">
        <v>12</v>
      </c>
      <c r="C181" s="5">
        <v>0.16049217600641968</v>
      </c>
      <c r="D181" s="5"/>
      <c r="E181" s="6">
        <v>12</v>
      </c>
      <c r="F181" s="6"/>
      <c r="G181" s="5">
        <v>0.16257959626066928</v>
      </c>
      <c r="H181" s="3" t="s">
        <v>96</v>
      </c>
      <c r="I181" s="3" t="s">
        <v>96</v>
      </c>
      <c r="J181" s="5"/>
      <c r="K181" s="3" t="s">
        <v>96</v>
      </c>
      <c r="L181" s="16" t="s">
        <v>96</v>
      </c>
      <c r="M181" s="5"/>
    </row>
    <row r="182" spans="1:13" ht="14.1" customHeight="1" x14ac:dyDescent="0.25">
      <c r="A182" s="61" t="s">
        <v>43</v>
      </c>
      <c r="B182" s="6">
        <v>180</v>
      </c>
      <c r="C182" s="5">
        <v>2.4073826400962952</v>
      </c>
      <c r="D182" s="5"/>
      <c r="E182" s="6">
        <v>166</v>
      </c>
      <c r="F182" s="6"/>
      <c r="G182" s="5">
        <v>2.2490177482725917</v>
      </c>
      <c r="H182" s="3">
        <v>12</v>
      </c>
      <c r="I182" s="16">
        <v>13.793103448275861</v>
      </c>
      <c r="J182" s="5"/>
      <c r="K182" s="3">
        <v>2</v>
      </c>
      <c r="L182" s="16">
        <v>22.222222222222221</v>
      </c>
      <c r="M182" s="5"/>
    </row>
    <row r="183" spans="1:13" ht="14.1" customHeight="1" x14ac:dyDescent="0.25">
      <c r="A183" s="61" t="s">
        <v>44</v>
      </c>
      <c r="B183" s="6">
        <v>594</v>
      </c>
      <c r="C183" s="5">
        <v>7.9443627123177745</v>
      </c>
      <c r="D183" s="5"/>
      <c r="E183" s="6">
        <v>570</v>
      </c>
      <c r="F183" s="6"/>
      <c r="G183" s="5">
        <v>7.7225308223817919</v>
      </c>
      <c r="H183" s="3">
        <v>20</v>
      </c>
      <c r="I183" s="16">
        <v>22.988505747126435</v>
      </c>
      <c r="J183" s="5"/>
      <c r="K183" s="3">
        <v>4</v>
      </c>
      <c r="L183" s="16">
        <v>44.444444444444443</v>
      </c>
      <c r="M183" s="5"/>
    </row>
    <row r="184" spans="1:13" ht="15.75" customHeight="1" x14ac:dyDescent="0.25">
      <c r="A184" s="61" t="s">
        <v>45</v>
      </c>
      <c r="B184" s="6">
        <v>276</v>
      </c>
      <c r="C184" s="5">
        <v>3.6913200481476527</v>
      </c>
      <c r="D184" s="5"/>
      <c r="E184" s="6">
        <v>274</v>
      </c>
      <c r="F184" s="6"/>
      <c r="G184" s="5">
        <v>3.7122341146186155</v>
      </c>
      <c r="H184" s="3">
        <v>2</v>
      </c>
      <c r="I184" s="16">
        <v>2.2988505747126435</v>
      </c>
      <c r="J184" s="5"/>
      <c r="K184" s="3" t="s">
        <v>96</v>
      </c>
      <c r="L184" s="16" t="s">
        <v>96</v>
      </c>
      <c r="M184" s="5"/>
    </row>
    <row r="185" spans="1:13" ht="17.25" hidden="1" customHeight="1" x14ac:dyDescent="0.25">
      <c r="A185" s="61" t="s">
        <v>46</v>
      </c>
      <c r="B185" s="6">
        <v>5</v>
      </c>
      <c r="C185" s="5">
        <v>6.6871740002674873E-2</v>
      </c>
      <c r="D185" s="5"/>
      <c r="E185" s="6">
        <v>5</v>
      </c>
      <c r="F185" s="6"/>
      <c r="G185" s="5">
        <v>6.7741498441945533E-2</v>
      </c>
      <c r="H185" s="3" t="s">
        <v>96</v>
      </c>
      <c r="I185" s="16" t="s">
        <v>96</v>
      </c>
      <c r="J185" s="5"/>
      <c r="K185" s="3" t="s">
        <v>96</v>
      </c>
      <c r="L185" s="3" t="s">
        <v>96</v>
      </c>
      <c r="M185" s="5"/>
    </row>
    <row r="186" spans="1:13" ht="14.1" customHeight="1" x14ac:dyDescent="0.25">
      <c r="A186" s="61" t="s">
        <v>47</v>
      </c>
      <c r="B186" s="6">
        <v>62</v>
      </c>
      <c r="C186" s="5">
        <v>0.82920957603316836</v>
      </c>
      <c r="D186" s="5"/>
      <c r="E186" s="6">
        <v>60</v>
      </c>
      <c r="F186" s="6"/>
      <c r="G186" s="5">
        <v>0.81289798130334645</v>
      </c>
      <c r="H186" s="6">
        <v>2</v>
      </c>
      <c r="I186" s="5">
        <v>2.2988505747126435</v>
      </c>
      <c r="J186" s="5"/>
      <c r="K186" s="3" t="s">
        <v>96</v>
      </c>
      <c r="L186" s="3" t="s">
        <v>96</v>
      </c>
      <c r="M186" s="5"/>
    </row>
    <row r="187" spans="1:13" ht="14.1" customHeight="1" x14ac:dyDescent="0.25">
      <c r="A187" s="68"/>
      <c r="B187" s="9"/>
      <c r="C187" s="15"/>
      <c r="D187" s="15"/>
      <c r="E187" s="9"/>
      <c r="F187" s="9"/>
      <c r="G187" s="15"/>
      <c r="H187" s="9"/>
      <c r="I187" s="15"/>
      <c r="J187" s="15"/>
      <c r="K187" s="9"/>
      <c r="L187" s="15"/>
      <c r="M187" s="15"/>
    </row>
    <row r="188" spans="1:13" ht="14.1" customHeight="1" x14ac:dyDescent="0.25">
      <c r="A188" s="63" t="s">
        <v>8</v>
      </c>
      <c r="B188" s="9">
        <v>9128</v>
      </c>
      <c r="C188" s="15">
        <v>100</v>
      </c>
      <c r="D188" s="15"/>
      <c r="E188" s="9">
        <v>8997</v>
      </c>
      <c r="F188" s="9"/>
      <c r="G188" s="15">
        <v>100</v>
      </c>
      <c r="H188" s="9">
        <v>118</v>
      </c>
      <c r="I188" s="15">
        <v>100</v>
      </c>
      <c r="J188" s="15"/>
      <c r="K188" s="9">
        <v>13</v>
      </c>
      <c r="L188" s="15">
        <v>100</v>
      </c>
      <c r="M188" s="15"/>
    </row>
    <row r="189" spans="1:13" ht="14.1" customHeight="1" x14ac:dyDescent="0.25">
      <c r="A189" s="61" t="s">
        <v>40</v>
      </c>
      <c r="B189" s="6">
        <v>6349</v>
      </c>
      <c r="C189" s="5">
        <v>69.555214723926383</v>
      </c>
      <c r="D189" s="5"/>
      <c r="E189" s="6">
        <v>6338</v>
      </c>
      <c r="F189" s="6"/>
      <c r="G189" s="5">
        <v>70.545704123596749</v>
      </c>
      <c r="H189" s="6">
        <v>11</v>
      </c>
      <c r="I189" s="5">
        <v>9.3220338983050848</v>
      </c>
      <c r="J189" s="5"/>
      <c r="K189" s="3" t="s">
        <v>96</v>
      </c>
      <c r="L189" s="16" t="s">
        <v>96</v>
      </c>
      <c r="M189" s="5"/>
    </row>
    <row r="190" spans="1:13" ht="14.1" customHeight="1" x14ac:dyDescent="0.25">
      <c r="A190" s="61" t="s">
        <v>41</v>
      </c>
      <c r="B190" s="6">
        <v>567</v>
      </c>
      <c r="C190" s="5">
        <v>6.2116564417177917</v>
      </c>
      <c r="D190" s="5"/>
      <c r="E190" s="6">
        <v>534</v>
      </c>
      <c r="F190" s="6"/>
      <c r="G190" s="5">
        <v>5.9353117705901965</v>
      </c>
      <c r="H190" s="6">
        <v>30</v>
      </c>
      <c r="I190" s="5">
        <v>25.423728813559322</v>
      </c>
      <c r="J190" s="5"/>
      <c r="K190" s="3">
        <v>3</v>
      </c>
      <c r="L190" s="16">
        <v>23.076923076923077</v>
      </c>
      <c r="M190" s="5"/>
    </row>
    <row r="191" spans="1:13" ht="14.1" customHeight="1" x14ac:dyDescent="0.25">
      <c r="A191" s="61" t="s">
        <v>42</v>
      </c>
      <c r="B191" s="6">
        <v>31</v>
      </c>
      <c r="C191" s="5">
        <v>0.33961437335670464</v>
      </c>
      <c r="D191" s="5"/>
      <c r="E191" s="6">
        <v>31</v>
      </c>
      <c r="F191" s="6"/>
      <c r="G191" s="5">
        <v>0.34455929754362563</v>
      </c>
      <c r="H191" s="3" t="s">
        <v>96</v>
      </c>
      <c r="I191" s="16" t="s">
        <v>96</v>
      </c>
      <c r="J191" s="5"/>
      <c r="K191" s="3" t="s">
        <v>96</v>
      </c>
      <c r="L191" s="16" t="s">
        <v>96</v>
      </c>
      <c r="M191" s="5"/>
    </row>
    <row r="192" spans="1:13" ht="14.1" customHeight="1" x14ac:dyDescent="0.25">
      <c r="A192" s="61" t="s">
        <v>43</v>
      </c>
      <c r="B192" s="6">
        <v>476</v>
      </c>
      <c r="C192" s="5">
        <v>5.2147239263803682</v>
      </c>
      <c r="D192" s="5"/>
      <c r="E192" s="6">
        <v>435</v>
      </c>
      <c r="F192" s="6"/>
      <c r="G192" s="5">
        <v>4.8349449816605539</v>
      </c>
      <c r="H192" s="3">
        <v>38.9</v>
      </c>
      <c r="I192" s="16">
        <v>32.303389830508472</v>
      </c>
      <c r="J192" s="5"/>
      <c r="K192" s="6">
        <v>3</v>
      </c>
      <c r="L192" s="5">
        <v>23.076923076923077</v>
      </c>
      <c r="M192" s="5"/>
    </row>
    <row r="193" spans="1:13" ht="14.1" customHeight="1" x14ac:dyDescent="0.25">
      <c r="A193" s="61" t="s">
        <v>44</v>
      </c>
      <c r="B193" s="6">
        <v>1228</v>
      </c>
      <c r="C193" s="5">
        <v>13.453111305872042</v>
      </c>
      <c r="D193" s="5"/>
      <c r="E193" s="6">
        <v>1198</v>
      </c>
      <c r="F193" s="6"/>
      <c r="G193" s="5">
        <v>13.315549627653661</v>
      </c>
      <c r="H193" s="3">
        <v>29</v>
      </c>
      <c r="I193" s="16">
        <v>24.576271186440678</v>
      </c>
      <c r="J193" s="5"/>
      <c r="K193" s="6">
        <v>1</v>
      </c>
      <c r="L193" s="5">
        <v>7.5923076923076929</v>
      </c>
      <c r="M193" s="5"/>
    </row>
    <row r="194" spans="1:13" ht="14.1" customHeight="1" x14ac:dyDescent="0.25">
      <c r="A194" s="61" t="s">
        <v>45</v>
      </c>
      <c r="B194" s="6">
        <v>369</v>
      </c>
      <c r="C194" s="5">
        <v>4.0425065731814191</v>
      </c>
      <c r="D194" s="5"/>
      <c r="E194" s="6">
        <v>361</v>
      </c>
      <c r="F194" s="6"/>
      <c r="G194" s="5">
        <v>4.0124485939757699</v>
      </c>
      <c r="H194" s="3">
        <v>5</v>
      </c>
      <c r="I194" s="16">
        <v>4.2372881355932197</v>
      </c>
      <c r="J194" s="5"/>
      <c r="K194" s="6">
        <v>3</v>
      </c>
      <c r="L194" s="5">
        <v>23.076923076923077</v>
      </c>
      <c r="M194" s="5"/>
    </row>
    <row r="195" spans="1:13" ht="14.25" hidden="1" customHeight="1" x14ac:dyDescent="0.25">
      <c r="A195" s="61" t="s">
        <v>46</v>
      </c>
      <c r="B195" s="6">
        <v>9</v>
      </c>
      <c r="C195" s="5">
        <v>9.8597721297107796E-2</v>
      </c>
      <c r="D195" s="5"/>
      <c r="E195" s="6">
        <v>6</v>
      </c>
      <c r="F195" s="6"/>
      <c r="G195" s="5">
        <v>6.6688896298766245E-2</v>
      </c>
      <c r="H195" s="3" t="s">
        <v>96</v>
      </c>
      <c r="I195" s="16" t="s">
        <v>96</v>
      </c>
      <c r="J195" s="5"/>
      <c r="K195" s="6">
        <v>3</v>
      </c>
      <c r="L195" s="5">
        <v>23.076923076923077</v>
      </c>
      <c r="M195" s="5"/>
    </row>
    <row r="196" spans="1:13" ht="14.1" customHeight="1" x14ac:dyDescent="0.25">
      <c r="A196" s="61" t="s">
        <v>47</v>
      </c>
      <c r="B196" s="6">
        <v>108</v>
      </c>
      <c r="C196" s="5">
        <v>1.1831726555652937</v>
      </c>
      <c r="D196" s="5"/>
      <c r="E196" s="6">
        <v>100</v>
      </c>
      <c r="F196" s="6"/>
      <c r="G196" s="5">
        <v>1.1114816049794376</v>
      </c>
      <c r="H196" s="6">
        <v>5</v>
      </c>
      <c r="I196" s="5">
        <v>4.2372881355932197</v>
      </c>
      <c r="J196" s="5"/>
      <c r="K196" s="6">
        <v>3</v>
      </c>
      <c r="L196" s="5">
        <v>23.076923076923077</v>
      </c>
      <c r="M196" s="5"/>
    </row>
    <row r="197" spans="1:13" ht="14.1" customHeight="1" x14ac:dyDescent="0.25">
      <c r="A197" s="68"/>
      <c r="B197" s="9"/>
      <c r="C197" s="15"/>
      <c r="D197" s="15"/>
      <c r="E197" s="9"/>
      <c r="F197" s="9"/>
      <c r="G197" s="15"/>
      <c r="H197" s="9"/>
      <c r="I197" s="15"/>
      <c r="J197" s="15"/>
      <c r="K197" s="9"/>
      <c r="L197" s="15"/>
      <c r="M197" s="15"/>
    </row>
    <row r="198" spans="1:13" ht="14.1" customHeight="1" x14ac:dyDescent="0.25">
      <c r="A198" s="63" t="s">
        <v>7</v>
      </c>
      <c r="B198" s="9">
        <v>7088</v>
      </c>
      <c r="C198" s="15">
        <v>100</v>
      </c>
      <c r="D198" s="15"/>
      <c r="E198" s="9">
        <v>7001</v>
      </c>
      <c r="F198" s="9"/>
      <c r="G198" s="15">
        <v>100</v>
      </c>
      <c r="H198" s="9">
        <v>75</v>
      </c>
      <c r="I198" s="15">
        <v>100</v>
      </c>
      <c r="J198" s="15"/>
      <c r="K198" s="9">
        <v>12</v>
      </c>
      <c r="L198" s="15">
        <v>100</v>
      </c>
      <c r="M198" s="15"/>
    </row>
    <row r="199" spans="1:13" ht="14.1" customHeight="1" x14ac:dyDescent="0.25">
      <c r="A199" s="61" t="s">
        <v>40</v>
      </c>
      <c r="B199" s="6">
        <v>5304</v>
      </c>
      <c r="C199" s="5">
        <v>74.930699774266358</v>
      </c>
      <c r="D199" s="5"/>
      <c r="E199" s="6">
        <v>5298</v>
      </c>
      <c r="F199" s="6"/>
      <c r="G199" s="5">
        <v>75.674903585202117</v>
      </c>
      <c r="H199" s="6">
        <v>6</v>
      </c>
      <c r="I199" s="5">
        <v>8</v>
      </c>
      <c r="J199" s="5"/>
      <c r="K199" s="3" t="s">
        <v>96</v>
      </c>
      <c r="L199" s="16" t="s">
        <v>96</v>
      </c>
      <c r="M199" s="5"/>
    </row>
    <row r="200" spans="1:13" ht="14.1" customHeight="1" x14ac:dyDescent="0.25">
      <c r="A200" s="61" t="s">
        <v>41</v>
      </c>
      <c r="B200" s="6">
        <v>746</v>
      </c>
      <c r="C200" s="5">
        <v>10.524830699774267</v>
      </c>
      <c r="D200" s="5"/>
      <c r="E200" s="6">
        <v>710</v>
      </c>
      <c r="F200" s="6"/>
      <c r="G200" s="5">
        <v>10.141408370232824</v>
      </c>
      <c r="H200" s="6">
        <v>33</v>
      </c>
      <c r="I200" s="5">
        <v>44</v>
      </c>
      <c r="J200" s="5"/>
      <c r="K200" s="3">
        <v>3</v>
      </c>
      <c r="L200" s="16">
        <v>25</v>
      </c>
      <c r="M200" s="5"/>
    </row>
    <row r="201" spans="1:13" ht="14.1" customHeight="1" x14ac:dyDescent="0.25">
      <c r="A201" s="61" t="s">
        <v>42</v>
      </c>
      <c r="B201" s="6">
        <v>17</v>
      </c>
      <c r="C201" s="5">
        <v>0.23984198645598193</v>
      </c>
      <c r="D201" s="5"/>
      <c r="E201" s="6">
        <v>17</v>
      </c>
      <c r="F201" s="6"/>
      <c r="G201" s="5">
        <v>0.24282245393515209</v>
      </c>
      <c r="H201" s="3" t="s">
        <v>96</v>
      </c>
      <c r="I201" s="3" t="s">
        <v>96</v>
      </c>
      <c r="J201" s="5"/>
      <c r="K201" s="3" t="s">
        <v>96</v>
      </c>
      <c r="L201" s="16" t="s">
        <v>96</v>
      </c>
      <c r="M201" s="5"/>
    </row>
    <row r="202" spans="1:13" ht="14.1" customHeight="1" x14ac:dyDescent="0.25">
      <c r="A202" s="61" t="s">
        <v>43</v>
      </c>
      <c r="B202" s="6">
        <v>228</v>
      </c>
      <c r="C202" s="5">
        <v>3.2167042889390518</v>
      </c>
      <c r="D202" s="5"/>
      <c r="E202" s="6">
        <v>208</v>
      </c>
      <c r="F202" s="6"/>
      <c r="G202" s="5">
        <v>2.9710041422653908</v>
      </c>
      <c r="H202" s="3">
        <v>18</v>
      </c>
      <c r="I202" s="16">
        <v>24</v>
      </c>
      <c r="J202" s="5"/>
      <c r="K202" s="3">
        <v>2</v>
      </c>
      <c r="L202" s="16">
        <v>16.666666666666664</v>
      </c>
      <c r="M202" s="5"/>
    </row>
    <row r="203" spans="1:13" ht="14.1" customHeight="1" x14ac:dyDescent="0.25">
      <c r="A203" s="61" t="s">
        <v>44</v>
      </c>
      <c r="B203" s="6">
        <v>466</v>
      </c>
      <c r="C203" s="5">
        <v>6.5744920993227982</v>
      </c>
      <c r="D203" s="5"/>
      <c r="E203" s="6">
        <v>454</v>
      </c>
      <c r="F203" s="6"/>
      <c r="G203" s="5">
        <v>6.484787887444651</v>
      </c>
      <c r="H203" s="3">
        <v>11</v>
      </c>
      <c r="I203" s="16">
        <v>14.666666666666666</v>
      </c>
      <c r="J203" s="5"/>
      <c r="K203" s="3">
        <v>1</v>
      </c>
      <c r="L203" s="16">
        <v>8.3333333333333321</v>
      </c>
      <c r="M203" s="5"/>
    </row>
    <row r="204" spans="1:13" ht="14.1" customHeight="1" x14ac:dyDescent="0.25">
      <c r="A204" s="61" t="s">
        <v>45</v>
      </c>
      <c r="B204" s="6">
        <v>169</v>
      </c>
      <c r="C204" s="5">
        <v>2.38431151241535</v>
      </c>
      <c r="D204" s="5"/>
      <c r="E204" s="6">
        <v>169</v>
      </c>
      <c r="F204" s="6"/>
      <c r="G204" s="5">
        <v>2.41394086559063</v>
      </c>
      <c r="H204" s="3" t="s">
        <v>96</v>
      </c>
      <c r="I204" s="3" t="s">
        <v>96</v>
      </c>
      <c r="J204" s="5"/>
      <c r="K204" s="3" t="s">
        <v>96</v>
      </c>
      <c r="L204" s="16" t="s">
        <v>96</v>
      </c>
      <c r="M204" s="5"/>
    </row>
    <row r="205" spans="1:13" ht="14.25" hidden="1" customHeight="1" x14ac:dyDescent="0.25">
      <c r="A205" s="61" t="s">
        <v>46</v>
      </c>
      <c r="B205" s="6">
        <v>10</v>
      </c>
      <c r="C205" s="5">
        <v>0.14108352144469527</v>
      </c>
      <c r="D205" s="5"/>
      <c r="E205" s="6">
        <v>7</v>
      </c>
      <c r="F205" s="6"/>
      <c r="G205" s="5">
        <v>9.9985716326239107E-2</v>
      </c>
      <c r="H205" s="6">
        <v>1</v>
      </c>
      <c r="I205" s="5">
        <v>1.3333333333333335</v>
      </c>
      <c r="J205" s="5"/>
      <c r="K205" s="3">
        <v>2</v>
      </c>
      <c r="L205" s="16">
        <v>16.666666666666664</v>
      </c>
      <c r="M205" s="5"/>
    </row>
    <row r="206" spans="1:13" ht="14.1" customHeight="1" x14ac:dyDescent="0.25">
      <c r="A206" s="61" t="s">
        <v>47</v>
      </c>
      <c r="B206" s="6">
        <v>158</v>
      </c>
      <c r="C206" s="5">
        <v>2.2291196388261856</v>
      </c>
      <c r="D206" s="5"/>
      <c r="E206" s="6">
        <v>145</v>
      </c>
      <c r="F206" s="6"/>
      <c r="G206" s="5">
        <v>2.0711326953292386</v>
      </c>
      <c r="H206" s="6">
        <v>7</v>
      </c>
      <c r="I206" s="5">
        <v>9.3333333333333339</v>
      </c>
      <c r="J206" s="5"/>
      <c r="K206" s="3">
        <v>6</v>
      </c>
      <c r="L206" s="16">
        <v>49.999999999999993</v>
      </c>
      <c r="M206" s="5"/>
    </row>
    <row r="207" spans="1:13" ht="14.1" customHeight="1" x14ac:dyDescent="0.25">
      <c r="A207" s="61"/>
      <c r="B207" s="9"/>
      <c r="C207" s="15"/>
      <c r="D207" s="15"/>
      <c r="E207" s="9"/>
      <c r="F207" s="9"/>
      <c r="G207" s="15"/>
      <c r="H207" s="6"/>
      <c r="I207" s="5"/>
      <c r="J207" s="5"/>
      <c r="K207" s="6"/>
      <c r="L207" s="5"/>
      <c r="M207" s="5"/>
    </row>
    <row r="208" spans="1:13" ht="14.1" customHeight="1" x14ac:dyDescent="0.25">
      <c r="A208" s="63" t="s">
        <v>6</v>
      </c>
      <c r="B208" s="9">
        <v>55458</v>
      </c>
      <c r="C208" s="15">
        <v>100</v>
      </c>
      <c r="D208" s="15"/>
      <c r="E208" s="9">
        <v>54695</v>
      </c>
      <c r="F208" s="9"/>
      <c r="G208" s="15">
        <v>100</v>
      </c>
      <c r="H208" s="9">
        <v>692</v>
      </c>
      <c r="I208" s="15">
        <v>100</v>
      </c>
      <c r="J208" s="15"/>
      <c r="K208" s="9">
        <v>71</v>
      </c>
      <c r="L208" s="15">
        <v>100</v>
      </c>
      <c r="M208" s="15"/>
    </row>
    <row r="209" spans="1:13" ht="14.1" customHeight="1" x14ac:dyDescent="0.25">
      <c r="A209" s="61" t="s">
        <v>40</v>
      </c>
      <c r="B209" s="6">
        <v>42776</v>
      </c>
      <c r="C209" s="5">
        <v>77.232244220851811</v>
      </c>
      <c r="D209" s="5"/>
      <c r="E209" s="6">
        <v>42641</v>
      </c>
      <c r="F209" s="6"/>
      <c r="G209" s="5">
        <v>77.961422433494832</v>
      </c>
      <c r="H209" s="6">
        <v>133</v>
      </c>
      <c r="I209" s="5">
        <v>19.21965317919075</v>
      </c>
      <c r="J209" s="5"/>
      <c r="K209" s="6">
        <v>2</v>
      </c>
      <c r="L209" s="5">
        <v>2.8169014084507045</v>
      </c>
      <c r="M209" s="5"/>
    </row>
    <row r="210" spans="1:13" ht="14.1" customHeight="1" x14ac:dyDescent="0.25">
      <c r="A210" s="61" t="s">
        <v>41</v>
      </c>
      <c r="B210" s="6">
        <v>3013</v>
      </c>
      <c r="C210" s="5">
        <v>5.4329402430668257</v>
      </c>
      <c r="D210" s="5"/>
      <c r="E210" s="6">
        <v>2752</v>
      </c>
      <c r="F210" s="6"/>
      <c r="G210" s="5">
        <v>5.0315385318584882</v>
      </c>
      <c r="H210" s="6">
        <v>230</v>
      </c>
      <c r="I210" s="5">
        <v>33.236994219653177</v>
      </c>
      <c r="J210" s="5"/>
      <c r="K210" s="6">
        <v>31</v>
      </c>
      <c r="L210" s="5">
        <v>43.761971830985914</v>
      </c>
      <c r="M210" s="5"/>
    </row>
    <row r="211" spans="1:13" ht="14.1" customHeight="1" x14ac:dyDescent="0.25">
      <c r="A211" s="61" t="s">
        <v>42</v>
      </c>
      <c r="B211" s="6">
        <v>157</v>
      </c>
      <c r="C211" s="5">
        <v>0.28309711854015651</v>
      </c>
      <c r="D211" s="5"/>
      <c r="E211" s="6">
        <v>149</v>
      </c>
      <c r="F211" s="6"/>
      <c r="G211" s="5">
        <v>0.27241978242983822</v>
      </c>
      <c r="H211" s="6">
        <v>6</v>
      </c>
      <c r="I211" s="5">
        <v>0.86705202312138718</v>
      </c>
      <c r="J211" s="5"/>
      <c r="K211" s="6">
        <v>2</v>
      </c>
      <c r="L211" s="5">
        <v>2.8169014084507045</v>
      </c>
      <c r="M211" s="5"/>
    </row>
    <row r="212" spans="1:13" ht="14.1" customHeight="1" x14ac:dyDescent="0.25">
      <c r="A212" s="61" t="s">
        <v>43</v>
      </c>
      <c r="B212" s="6">
        <v>1655</v>
      </c>
      <c r="C212" s="5">
        <v>2.9842403260124781</v>
      </c>
      <c r="D212" s="5"/>
      <c r="E212" s="6">
        <v>1557</v>
      </c>
      <c r="F212" s="6"/>
      <c r="G212" s="5">
        <v>2.8466953103574366</v>
      </c>
      <c r="H212" s="6">
        <v>83</v>
      </c>
      <c r="I212" s="5">
        <v>11.99421965317919</v>
      </c>
      <c r="J212" s="5"/>
      <c r="K212" s="6">
        <v>15</v>
      </c>
      <c r="L212" s="5">
        <v>21.12676056338028</v>
      </c>
      <c r="M212" s="5"/>
    </row>
    <row r="213" spans="1:13" ht="14.1" customHeight="1" x14ac:dyDescent="0.25">
      <c r="A213" s="61" t="s">
        <v>44</v>
      </c>
      <c r="B213" s="6">
        <v>4464</v>
      </c>
      <c r="C213" s="5">
        <v>8.049334631613112</v>
      </c>
      <c r="D213" s="5"/>
      <c r="E213" s="6">
        <v>4246</v>
      </c>
      <c r="F213" s="6"/>
      <c r="G213" s="5">
        <v>7.763049638906665</v>
      </c>
      <c r="H213" s="6">
        <v>202</v>
      </c>
      <c r="I213" s="5">
        <v>29.190751445086704</v>
      </c>
      <c r="J213" s="5"/>
      <c r="K213" s="6">
        <v>16</v>
      </c>
      <c r="L213" s="5">
        <v>22.535211267605636</v>
      </c>
      <c r="M213" s="5"/>
    </row>
    <row r="214" spans="1:13" ht="14.1" customHeight="1" x14ac:dyDescent="0.25">
      <c r="A214" s="61" t="s">
        <v>45</v>
      </c>
      <c r="B214" s="6">
        <v>2375</v>
      </c>
      <c r="C214" s="5">
        <v>4.2825201053049158</v>
      </c>
      <c r="D214" s="5"/>
      <c r="E214" s="6">
        <v>2344</v>
      </c>
      <c r="F214" s="6"/>
      <c r="G214" s="5">
        <v>4.2855836913794683</v>
      </c>
      <c r="H214" s="6">
        <v>30</v>
      </c>
      <c r="I214" s="5">
        <v>4.3352601156069364</v>
      </c>
      <c r="J214" s="5"/>
      <c r="K214" s="6">
        <v>1</v>
      </c>
      <c r="L214" s="5">
        <v>1.4084507042253522</v>
      </c>
      <c r="M214" s="5"/>
    </row>
    <row r="215" spans="1:13" ht="18.75" hidden="1" customHeight="1" x14ac:dyDescent="0.25">
      <c r="A215" s="61" t="s">
        <v>46</v>
      </c>
      <c r="B215" s="6">
        <v>40</v>
      </c>
      <c r="C215" s="5">
        <v>7.212665440513541E-2</v>
      </c>
      <c r="D215" s="5"/>
      <c r="E215" s="6">
        <v>39</v>
      </c>
      <c r="F215" s="6"/>
      <c r="G215" s="5">
        <v>7.1304506810494564E-2</v>
      </c>
      <c r="H215" s="3" t="s">
        <v>96</v>
      </c>
      <c r="I215" s="3" t="s">
        <v>96</v>
      </c>
      <c r="J215" s="3"/>
      <c r="K215" s="6">
        <v>1</v>
      </c>
      <c r="L215" s="5">
        <v>1.4084507042253522</v>
      </c>
      <c r="M215" s="5"/>
    </row>
    <row r="216" spans="1:13" ht="14.1" customHeight="1" x14ac:dyDescent="0.25">
      <c r="A216" s="61" t="s">
        <v>47</v>
      </c>
      <c r="B216" s="6">
        <v>1018</v>
      </c>
      <c r="C216" s="5">
        <v>1.8356233546106964</v>
      </c>
      <c r="D216" s="5"/>
      <c r="E216" s="6">
        <v>1006</v>
      </c>
      <c r="F216" s="6"/>
      <c r="G216" s="5">
        <v>1.8392906115732699</v>
      </c>
      <c r="H216" s="6">
        <v>8</v>
      </c>
      <c r="I216" s="5">
        <v>1.1560693641618496</v>
      </c>
      <c r="J216" s="5"/>
      <c r="K216" s="6">
        <v>4</v>
      </c>
      <c r="L216" s="5">
        <v>5.6338028169014081</v>
      </c>
      <c r="M216" s="5"/>
    </row>
    <row r="217" spans="1:13" ht="14.1" customHeight="1" x14ac:dyDescent="0.25">
      <c r="A217" s="68"/>
      <c r="B217" s="9"/>
      <c r="C217" s="15"/>
      <c r="D217" s="15"/>
      <c r="E217" s="9"/>
      <c r="F217" s="9"/>
      <c r="G217" s="15"/>
      <c r="H217" s="9"/>
      <c r="I217" s="15"/>
      <c r="J217" s="15"/>
      <c r="K217" s="9"/>
      <c r="L217" s="15"/>
      <c r="M217" s="15"/>
    </row>
    <row r="218" spans="1:13" ht="14.1" customHeight="1" x14ac:dyDescent="0.25">
      <c r="A218" s="63" t="s">
        <v>5</v>
      </c>
      <c r="B218" s="9">
        <v>27129</v>
      </c>
      <c r="C218" s="15">
        <v>100</v>
      </c>
      <c r="D218" s="15"/>
      <c r="E218" s="9">
        <v>26786</v>
      </c>
      <c r="F218" s="9"/>
      <c r="G218" s="15">
        <v>100</v>
      </c>
      <c r="H218" s="9">
        <v>308</v>
      </c>
      <c r="I218" s="15">
        <v>100</v>
      </c>
      <c r="J218" s="15"/>
      <c r="K218" s="9">
        <v>35</v>
      </c>
      <c r="L218" s="15">
        <v>100</v>
      </c>
      <c r="M218" s="15"/>
    </row>
    <row r="219" spans="1:13" ht="14.1" customHeight="1" x14ac:dyDescent="0.25">
      <c r="A219" s="61" t="s">
        <v>40</v>
      </c>
      <c r="B219" s="6">
        <v>19468</v>
      </c>
      <c r="C219" s="5">
        <v>71.660846326808951</v>
      </c>
      <c r="D219" s="5"/>
      <c r="E219" s="6">
        <v>19405</v>
      </c>
      <c r="F219" s="6"/>
      <c r="G219" s="5">
        <v>72.444560591353692</v>
      </c>
      <c r="H219" s="6">
        <v>60</v>
      </c>
      <c r="I219" s="5">
        <v>19.480519480519483</v>
      </c>
      <c r="J219" s="5"/>
      <c r="K219" s="6">
        <v>3</v>
      </c>
      <c r="L219" s="5">
        <v>8.5714285714285712</v>
      </c>
      <c r="M219" s="5"/>
    </row>
    <row r="220" spans="1:13" ht="14.1" customHeight="1" x14ac:dyDescent="0.25">
      <c r="A220" s="61" t="s">
        <v>41</v>
      </c>
      <c r="B220" s="6">
        <v>2215</v>
      </c>
      <c r="C220" s="5">
        <v>8.1646946072468563</v>
      </c>
      <c r="D220" s="5"/>
      <c r="E220" s="6">
        <v>2114</v>
      </c>
      <c r="F220" s="6"/>
      <c r="G220" s="5">
        <v>7.8921824833868435</v>
      </c>
      <c r="H220" s="6">
        <v>89</v>
      </c>
      <c r="I220" s="5">
        <v>28.896103896103899</v>
      </c>
      <c r="J220" s="5"/>
      <c r="K220" s="6">
        <v>12</v>
      </c>
      <c r="L220" s="5">
        <v>34.285714285714285</v>
      </c>
      <c r="M220" s="5"/>
    </row>
    <row r="221" spans="1:13" ht="14.1" customHeight="1" x14ac:dyDescent="0.25">
      <c r="A221" s="61" t="s">
        <v>42</v>
      </c>
      <c r="B221" s="6">
        <v>68</v>
      </c>
      <c r="C221" s="5">
        <v>0.25065428139629181</v>
      </c>
      <c r="D221" s="5"/>
      <c r="E221" s="6">
        <v>68</v>
      </c>
      <c r="F221" s="6"/>
      <c r="G221" s="5">
        <v>0.25386395878443963</v>
      </c>
      <c r="H221" s="3" t="s">
        <v>96</v>
      </c>
      <c r="I221" s="3" t="s">
        <v>96</v>
      </c>
      <c r="J221" s="5"/>
      <c r="K221" s="3" t="s">
        <v>96</v>
      </c>
      <c r="L221" s="3" t="s">
        <v>96</v>
      </c>
      <c r="M221" s="5"/>
    </row>
    <row r="222" spans="1:13" ht="14.1" customHeight="1" x14ac:dyDescent="0.25">
      <c r="A222" s="61" t="s">
        <v>43</v>
      </c>
      <c r="B222" s="6">
        <v>1764</v>
      </c>
      <c r="C222" s="5">
        <v>6.5022669468096872</v>
      </c>
      <c r="D222" s="5"/>
      <c r="E222" s="6">
        <v>1694</v>
      </c>
      <c r="F222" s="6"/>
      <c r="G222" s="5">
        <v>6.3241992085417751</v>
      </c>
      <c r="H222" s="6">
        <v>64</v>
      </c>
      <c r="I222" s="5">
        <v>20.779220779220779</v>
      </c>
      <c r="J222" s="5"/>
      <c r="K222" s="6">
        <v>6</v>
      </c>
      <c r="L222" s="5">
        <v>17.142857142857142</v>
      </c>
      <c r="M222" s="5"/>
    </row>
    <row r="223" spans="1:13" ht="14.1" customHeight="1" x14ac:dyDescent="0.25">
      <c r="A223" s="61" t="s">
        <v>44</v>
      </c>
      <c r="B223" s="6">
        <v>2146</v>
      </c>
      <c r="C223" s="5">
        <v>7.91035423347709</v>
      </c>
      <c r="D223" s="5"/>
      <c r="E223" s="6">
        <v>2063</v>
      </c>
      <c r="F223" s="6"/>
      <c r="G223" s="5">
        <v>7.701784514298514</v>
      </c>
      <c r="H223" s="6">
        <v>74</v>
      </c>
      <c r="I223" s="5">
        <v>24.025974025974026</v>
      </c>
      <c r="J223" s="5"/>
      <c r="K223" s="6">
        <v>9</v>
      </c>
      <c r="L223" s="5">
        <v>25.714285714285712</v>
      </c>
      <c r="M223" s="5"/>
    </row>
    <row r="224" spans="1:13" ht="14.1" customHeight="1" x14ac:dyDescent="0.25">
      <c r="A224" s="61" t="s">
        <v>45</v>
      </c>
      <c r="B224" s="6">
        <v>832</v>
      </c>
      <c r="C224" s="5">
        <v>3.0668288547310998</v>
      </c>
      <c r="D224" s="5"/>
      <c r="E224" s="6">
        <v>823</v>
      </c>
      <c r="F224" s="6"/>
      <c r="G224" s="5">
        <v>3.0725005599940269</v>
      </c>
      <c r="H224" s="6">
        <v>7</v>
      </c>
      <c r="I224" s="5">
        <v>2.2727272727272729</v>
      </c>
      <c r="J224" s="5"/>
      <c r="K224" s="6">
        <v>2</v>
      </c>
      <c r="L224" s="5">
        <v>5.7142857142857144</v>
      </c>
      <c r="M224" s="5"/>
    </row>
    <row r="225" spans="1:13" ht="9" hidden="1" customHeight="1" x14ac:dyDescent="0.25">
      <c r="A225" s="61" t="s">
        <v>46</v>
      </c>
      <c r="B225" s="6">
        <v>114</v>
      </c>
      <c r="C225" s="5">
        <v>0.42021453057613622</v>
      </c>
      <c r="D225" s="5"/>
      <c r="E225" s="6">
        <v>105</v>
      </c>
      <c r="F225" s="6"/>
      <c r="G225" s="5">
        <v>0.3919958187112671</v>
      </c>
      <c r="H225" s="6">
        <v>8</v>
      </c>
      <c r="I225" s="5">
        <v>2.5974025974025974</v>
      </c>
      <c r="J225" s="5"/>
      <c r="K225" s="6">
        <v>1</v>
      </c>
      <c r="L225" s="5">
        <v>2.8571428571428572</v>
      </c>
      <c r="M225" s="5"/>
    </row>
    <row r="226" spans="1:13" ht="14.1" customHeight="1" x14ac:dyDescent="0.25">
      <c r="A226" s="61" t="s">
        <v>47</v>
      </c>
      <c r="B226" s="6">
        <v>636</v>
      </c>
      <c r="C226" s="5">
        <v>2.344354749530023</v>
      </c>
      <c r="D226" s="5"/>
      <c r="E226" s="6">
        <v>619</v>
      </c>
      <c r="F226" s="6"/>
      <c r="G226" s="5">
        <v>2.310908683640708</v>
      </c>
      <c r="H226" s="6">
        <v>14</v>
      </c>
      <c r="I226" s="5">
        <v>4.545454545454545</v>
      </c>
      <c r="J226" s="5"/>
      <c r="K226" s="6">
        <v>3</v>
      </c>
      <c r="L226" s="5">
        <v>8.5714285714285712</v>
      </c>
      <c r="M226" s="5"/>
    </row>
    <row r="227" spans="1:13" ht="14.1" customHeight="1" x14ac:dyDescent="0.25">
      <c r="A227" s="68"/>
      <c r="B227" s="9"/>
      <c r="C227" s="15"/>
      <c r="D227" s="15"/>
      <c r="E227" s="9"/>
      <c r="F227" s="9"/>
      <c r="G227" s="15"/>
      <c r="H227" s="9"/>
      <c r="I227" s="15"/>
      <c r="J227" s="15"/>
      <c r="K227" s="9"/>
      <c r="L227" s="15"/>
      <c r="M227" s="15"/>
    </row>
    <row r="228" spans="1:13" ht="14.1" customHeight="1" x14ac:dyDescent="0.25">
      <c r="A228" s="63" t="s">
        <v>4</v>
      </c>
      <c r="B228" s="9">
        <v>25138</v>
      </c>
      <c r="C228" s="15">
        <v>100</v>
      </c>
      <c r="D228" s="15"/>
      <c r="E228" s="9">
        <v>24838</v>
      </c>
      <c r="F228" s="9"/>
      <c r="G228" s="15">
        <v>100</v>
      </c>
      <c r="H228" s="9">
        <v>288</v>
      </c>
      <c r="I228" s="15">
        <v>100</v>
      </c>
      <c r="J228" s="15"/>
      <c r="K228" s="9">
        <v>12</v>
      </c>
      <c r="L228" s="15">
        <v>100</v>
      </c>
      <c r="M228" s="15"/>
    </row>
    <row r="229" spans="1:13" ht="14.1" customHeight="1" x14ac:dyDescent="0.25">
      <c r="A229" s="61" t="s">
        <v>40</v>
      </c>
      <c r="B229" s="6">
        <v>19024</v>
      </c>
      <c r="C229" s="5">
        <v>75.678256026732441</v>
      </c>
      <c r="D229" s="5"/>
      <c r="E229" s="6">
        <v>18975</v>
      </c>
      <c r="F229" s="6"/>
      <c r="G229" s="5">
        <v>76.295039858281669</v>
      </c>
      <c r="H229" s="6">
        <v>47</v>
      </c>
      <c r="I229" s="5">
        <v>16.319444444444446</v>
      </c>
      <c r="J229" s="5"/>
      <c r="K229" s="6">
        <v>2</v>
      </c>
      <c r="L229" s="5">
        <v>16.666666666666664</v>
      </c>
      <c r="M229" s="5"/>
    </row>
    <row r="230" spans="1:13" ht="14.1" customHeight="1" x14ac:dyDescent="0.25">
      <c r="A230" s="61" t="s">
        <v>41</v>
      </c>
      <c r="B230" s="6">
        <v>2503</v>
      </c>
      <c r="C230" s="5">
        <v>9.9570371549049241</v>
      </c>
      <c r="D230" s="5"/>
      <c r="E230" s="6">
        <v>2355</v>
      </c>
      <c r="F230" s="6"/>
      <c r="G230" s="5">
        <v>9.4814397294468158</v>
      </c>
      <c r="H230" s="6">
        <v>144</v>
      </c>
      <c r="I230" s="5">
        <v>50.1</v>
      </c>
      <c r="J230" s="5"/>
      <c r="K230" s="6">
        <v>4</v>
      </c>
      <c r="L230" s="5">
        <v>33.333333333333329</v>
      </c>
      <c r="M230" s="5"/>
    </row>
    <row r="231" spans="1:13" ht="14.1" customHeight="1" x14ac:dyDescent="0.25">
      <c r="A231" s="61" t="s">
        <v>42</v>
      </c>
      <c r="B231" s="6">
        <v>66</v>
      </c>
      <c r="C231" s="5">
        <v>0.26255072002545948</v>
      </c>
      <c r="D231" s="5"/>
      <c r="E231" s="6">
        <v>66</v>
      </c>
      <c r="F231" s="6"/>
      <c r="G231" s="5">
        <v>0.26572187776793621</v>
      </c>
      <c r="H231" s="3" t="s">
        <v>96</v>
      </c>
      <c r="I231" s="3" t="s">
        <v>96</v>
      </c>
      <c r="J231" s="5"/>
      <c r="K231" s="3" t="s">
        <v>96</v>
      </c>
      <c r="L231" s="3" t="s">
        <v>96</v>
      </c>
      <c r="M231" s="5"/>
    </row>
    <row r="232" spans="1:13" ht="14.1" customHeight="1" x14ac:dyDescent="0.25">
      <c r="A232" s="61" t="s">
        <v>43</v>
      </c>
      <c r="B232" s="6">
        <v>209</v>
      </c>
      <c r="C232" s="5">
        <v>0.83141061341395506</v>
      </c>
      <c r="D232" s="5"/>
      <c r="E232" s="6">
        <v>193</v>
      </c>
      <c r="F232" s="6"/>
      <c r="G232" s="5">
        <v>0.77703518801835902</v>
      </c>
      <c r="H232" s="6">
        <v>15</v>
      </c>
      <c r="I232" s="5">
        <v>5.2083333333333339</v>
      </c>
      <c r="J232" s="5"/>
      <c r="K232" s="3">
        <v>1</v>
      </c>
      <c r="L232" s="16">
        <v>8.3333333333333321</v>
      </c>
      <c r="M232" s="5"/>
    </row>
    <row r="233" spans="1:13" ht="14.1" customHeight="1" x14ac:dyDescent="0.25">
      <c r="A233" s="61" t="s">
        <v>44</v>
      </c>
      <c r="B233" s="6">
        <v>1841</v>
      </c>
      <c r="C233" s="5">
        <v>7.3235738722253165</v>
      </c>
      <c r="D233" s="5"/>
      <c r="E233" s="6">
        <v>1781</v>
      </c>
      <c r="F233" s="6"/>
      <c r="G233" s="5">
        <v>7.1704646106771879</v>
      </c>
      <c r="H233" s="6">
        <v>58</v>
      </c>
      <c r="I233" s="5">
        <v>20.138888888888889</v>
      </c>
      <c r="J233" s="5"/>
      <c r="K233" s="3">
        <v>2</v>
      </c>
      <c r="L233" s="16">
        <v>16.666666666666664</v>
      </c>
      <c r="M233" s="5"/>
    </row>
    <row r="234" spans="1:13" ht="14.1" customHeight="1" x14ac:dyDescent="0.25">
      <c r="A234" s="61" t="s">
        <v>45</v>
      </c>
      <c r="B234" s="6">
        <v>860</v>
      </c>
      <c r="C234" s="5">
        <v>3.4211154427559869</v>
      </c>
      <c r="D234" s="5"/>
      <c r="E234" s="6">
        <v>851</v>
      </c>
      <c r="F234" s="6"/>
      <c r="G234" s="5">
        <v>3.4262017875835418</v>
      </c>
      <c r="H234" s="6">
        <v>9</v>
      </c>
      <c r="I234" s="5">
        <v>3.125</v>
      </c>
      <c r="J234" s="5"/>
      <c r="K234" s="3" t="s">
        <v>96</v>
      </c>
      <c r="L234" s="16" t="s">
        <v>96</v>
      </c>
      <c r="M234" s="5"/>
    </row>
    <row r="235" spans="1:13" ht="14.25" hidden="1" customHeight="1" x14ac:dyDescent="0.25">
      <c r="A235" s="61" t="s">
        <v>46</v>
      </c>
      <c r="B235" s="6">
        <v>38</v>
      </c>
      <c r="C235" s="5">
        <v>0.15116556607526452</v>
      </c>
      <c r="D235" s="5"/>
      <c r="E235" s="6">
        <v>29</v>
      </c>
      <c r="F235" s="6"/>
      <c r="G235" s="5">
        <v>0.11675658265560836</v>
      </c>
      <c r="H235" s="6">
        <v>6</v>
      </c>
      <c r="I235" s="5">
        <v>2.083333333333333</v>
      </c>
      <c r="J235" s="5"/>
      <c r="K235" s="6">
        <v>3</v>
      </c>
      <c r="L235" s="5">
        <v>25</v>
      </c>
      <c r="M235" s="5"/>
    </row>
    <row r="236" spans="1:13" ht="14.1" customHeight="1" x14ac:dyDescent="0.25">
      <c r="A236" s="61" t="s">
        <v>47</v>
      </c>
      <c r="B236" s="6">
        <v>635</v>
      </c>
      <c r="C236" s="5">
        <v>2.5260561699419206</v>
      </c>
      <c r="D236" s="5"/>
      <c r="E236" s="6">
        <v>617</v>
      </c>
      <c r="F236" s="6"/>
      <c r="G236" s="5">
        <v>2.4840969482244946</v>
      </c>
      <c r="H236" s="6">
        <v>15</v>
      </c>
      <c r="I236" s="5">
        <v>5.208333333333333</v>
      </c>
      <c r="J236" s="5"/>
      <c r="K236" s="6">
        <v>3</v>
      </c>
      <c r="L236" s="5">
        <v>25</v>
      </c>
      <c r="M236" s="5"/>
    </row>
    <row r="237" spans="1:13" ht="14.1" customHeight="1" x14ac:dyDescent="0.25">
      <c r="A237" s="68"/>
      <c r="B237" s="9"/>
      <c r="C237" s="15"/>
      <c r="D237" s="15"/>
      <c r="E237" s="9"/>
      <c r="F237" s="9"/>
      <c r="G237" s="15"/>
      <c r="H237" s="9"/>
      <c r="I237" s="15"/>
      <c r="J237" s="15"/>
      <c r="K237" s="9"/>
      <c r="L237" s="15"/>
      <c r="M237" s="15"/>
    </row>
    <row r="238" spans="1:13" ht="14.1" customHeight="1" x14ac:dyDescent="0.25">
      <c r="A238" s="63" t="s">
        <v>3</v>
      </c>
      <c r="B238" s="9">
        <v>17068</v>
      </c>
      <c r="C238" s="15">
        <v>100</v>
      </c>
      <c r="D238" s="15"/>
      <c r="E238" s="9">
        <v>16930</v>
      </c>
      <c r="F238" s="9"/>
      <c r="G238" s="15">
        <v>100</v>
      </c>
      <c r="H238" s="9">
        <v>128</v>
      </c>
      <c r="I238" s="15">
        <v>100</v>
      </c>
      <c r="J238" s="15"/>
      <c r="K238" s="9">
        <v>10</v>
      </c>
      <c r="L238" s="15">
        <v>100</v>
      </c>
      <c r="M238" s="15"/>
    </row>
    <row r="239" spans="1:13" ht="14.1" customHeight="1" x14ac:dyDescent="0.25">
      <c r="A239" s="61" t="s">
        <v>40</v>
      </c>
      <c r="B239" s="6">
        <v>12871</v>
      </c>
      <c r="C239" s="5">
        <v>75.410124209046174</v>
      </c>
      <c r="D239" s="5"/>
      <c r="E239" s="6">
        <v>12860</v>
      </c>
      <c r="F239" s="6"/>
      <c r="G239" s="5">
        <v>75.959834613112818</v>
      </c>
      <c r="H239" s="6">
        <v>11</v>
      </c>
      <c r="I239" s="5">
        <v>8.59375</v>
      </c>
      <c r="J239" s="5"/>
      <c r="K239" s="3" t="s">
        <v>96</v>
      </c>
      <c r="L239" s="16" t="s">
        <v>96</v>
      </c>
      <c r="M239" s="5"/>
    </row>
    <row r="240" spans="1:13" ht="14.1" customHeight="1" x14ac:dyDescent="0.25">
      <c r="A240" s="61" t="s">
        <v>41</v>
      </c>
      <c r="B240" s="6">
        <v>1205</v>
      </c>
      <c r="C240" s="5">
        <v>7.0599953128661825</v>
      </c>
      <c r="D240" s="5"/>
      <c r="E240" s="6">
        <v>1139</v>
      </c>
      <c r="F240" s="6"/>
      <c r="G240" s="5">
        <v>6.7277023036030714</v>
      </c>
      <c r="H240" s="6">
        <v>60</v>
      </c>
      <c r="I240" s="5">
        <v>46.774999999999999</v>
      </c>
      <c r="J240" s="5"/>
      <c r="K240" s="3">
        <v>6</v>
      </c>
      <c r="L240" s="16">
        <v>60</v>
      </c>
      <c r="M240" s="5"/>
    </row>
    <row r="241" spans="1:13" ht="14.1" customHeight="1" x14ac:dyDescent="0.25">
      <c r="A241" s="61" t="s">
        <v>42</v>
      </c>
      <c r="B241" s="6">
        <v>48</v>
      </c>
      <c r="C241" s="5">
        <v>0.2812280290602297</v>
      </c>
      <c r="D241" s="5"/>
      <c r="E241" s="6">
        <v>47</v>
      </c>
      <c r="F241" s="6"/>
      <c r="G241" s="5">
        <v>0.27761370348493797</v>
      </c>
      <c r="H241" s="3">
        <v>1</v>
      </c>
      <c r="I241" s="5">
        <v>0.78125</v>
      </c>
      <c r="J241" s="5"/>
      <c r="K241" s="3" t="s">
        <v>96</v>
      </c>
      <c r="L241" s="16" t="s">
        <v>96</v>
      </c>
      <c r="M241" s="5"/>
    </row>
    <row r="242" spans="1:13" ht="14.1" customHeight="1" x14ac:dyDescent="0.25">
      <c r="A242" s="61" t="s">
        <v>43</v>
      </c>
      <c r="B242" s="6">
        <v>554</v>
      </c>
      <c r="C242" s="5">
        <v>3.2458401687368172</v>
      </c>
      <c r="D242" s="5"/>
      <c r="E242" s="6">
        <v>539</v>
      </c>
      <c r="F242" s="6"/>
      <c r="G242" s="5">
        <v>3.1836975782634376</v>
      </c>
      <c r="H242" s="6">
        <v>13</v>
      </c>
      <c r="I242" s="5">
        <v>10.15625</v>
      </c>
      <c r="J242" s="5"/>
      <c r="K242" s="3">
        <v>2</v>
      </c>
      <c r="L242" s="16">
        <v>20</v>
      </c>
      <c r="M242" s="5"/>
    </row>
    <row r="243" spans="1:13" ht="14.1" customHeight="1" x14ac:dyDescent="0.25">
      <c r="A243" s="61" t="s">
        <v>44</v>
      </c>
      <c r="B243" s="6">
        <v>1604</v>
      </c>
      <c r="C243" s="5">
        <v>9.3977033044293421</v>
      </c>
      <c r="D243" s="5"/>
      <c r="E243" s="6">
        <v>1565</v>
      </c>
      <c r="F243" s="6"/>
      <c r="G243" s="5">
        <v>9.2439456585942121</v>
      </c>
      <c r="H243" s="6">
        <v>39</v>
      </c>
      <c r="I243" s="5">
        <v>30.46875</v>
      </c>
      <c r="J243" s="5"/>
      <c r="K243" s="3" t="s">
        <v>96</v>
      </c>
      <c r="L243" s="16" t="s">
        <v>96</v>
      </c>
      <c r="M243" s="5"/>
    </row>
    <row r="244" spans="1:13" ht="14.1" customHeight="1" x14ac:dyDescent="0.25">
      <c r="A244" s="61" t="s">
        <v>45</v>
      </c>
      <c r="B244" s="6">
        <v>652</v>
      </c>
      <c r="C244" s="5">
        <v>3.8200140614014528</v>
      </c>
      <c r="D244" s="5"/>
      <c r="E244" s="6">
        <v>649</v>
      </c>
      <c r="F244" s="6"/>
      <c r="G244" s="5">
        <v>3.8334317779090377</v>
      </c>
      <c r="H244" s="6">
        <v>3</v>
      </c>
      <c r="I244" s="5">
        <v>2.34375</v>
      </c>
      <c r="J244" s="5"/>
      <c r="K244" s="3" t="s">
        <v>96</v>
      </c>
      <c r="L244" s="16" t="s">
        <v>96</v>
      </c>
      <c r="M244" s="5"/>
    </row>
    <row r="245" spans="1:13" ht="8.25" hidden="1" customHeight="1" x14ac:dyDescent="0.25">
      <c r="A245" s="61" t="s">
        <v>46</v>
      </c>
      <c r="B245" s="6">
        <v>19</v>
      </c>
      <c r="C245" s="5">
        <v>0.11131942816967424</v>
      </c>
      <c r="D245" s="5"/>
      <c r="E245" s="6">
        <v>18</v>
      </c>
      <c r="F245" s="6"/>
      <c r="G245" s="5">
        <v>0.106320141760189</v>
      </c>
      <c r="H245" s="3" t="s">
        <v>96</v>
      </c>
      <c r="I245" s="16" t="s">
        <v>96</v>
      </c>
      <c r="J245" s="5"/>
      <c r="K245" s="6">
        <v>1</v>
      </c>
      <c r="L245" s="5">
        <v>10</v>
      </c>
      <c r="M245" s="5"/>
    </row>
    <row r="246" spans="1:13" ht="14.1" customHeight="1" x14ac:dyDescent="0.25">
      <c r="A246" s="61" t="s">
        <v>47</v>
      </c>
      <c r="B246" s="6">
        <v>134</v>
      </c>
      <c r="C246" s="5">
        <v>0.78509491445980784</v>
      </c>
      <c r="D246" s="5"/>
      <c r="E246" s="6">
        <v>131</v>
      </c>
      <c r="F246" s="6"/>
      <c r="G246" s="5">
        <v>0.77377436503248664</v>
      </c>
      <c r="H246" s="6">
        <v>1</v>
      </c>
      <c r="I246" s="5">
        <v>0.78125</v>
      </c>
      <c r="J246" s="5"/>
      <c r="K246" s="6">
        <v>2</v>
      </c>
      <c r="L246" s="5">
        <v>20</v>
      </c>
      <c r="M246" s="5"/>
    </row>
    <row r="247" spans="1:13" ht="14.1" customHeight="1" x14ac:dyDescent="0.25">
      <c r="A247" s="61"/>
      <c r="B247" s="6"/>
      <c r="C247" s="5"/>
      <c r="D247" s="5"/>
      <c r="E247" s="6"/>
      <c r="F247" s="6"/>
      <c r="G247" s="5"/>
      <c r="H247" s="6"/>
      <c r="I247" s="5"/>
      <c r="J247" s="5"/>
      <c r="K247" s="6"/>
      <c r="L247" s="5"/>
      <c r="M247" s="5"/>
    </row>
    <row r="248" spans="1:13" ht="14.1" customHeight="1" x14ac:dyDescent="0.25">
      <c r="A248" s="63" t="s">
        <v>2</v>
      </c>
      <c r="B248" s="9">
        <v>9582</v>
      </c>
      <c r="C248" s="15">
        <v>100</v>
      </c>
      <c r="D248" s="15"/>
      <c r="E248" s="9">
        <v>9521</v>
      </c>
      <c r="F248" s="9"/>
      <c r="G248" s="15">
        <v>100</v>
      </c>
      <c r="H248" s="9">
        <v>57</v>
      </c>
      <c r="I248" s="15">
        <v>100</v>
      </c>
      <c r="J248" s="15"/>
      <c r="K248" s="9">
        <v>4</v>
      </c>
      <c r="L248" s="15">
        <v>100</v>
      </c>
      <c r="M248" s="15"/>
    </row>
    <row r="249" spans="1:13" ht="14.1" customHeight="1" x14ac:dyDescent="0.25">
      <c r="A249" s="61" t="s">
        <v>40</v>
      </c>
      <c r="B249" s="6">
        <v>8049</v>
      </c>
      <c r="C249" s="5">
        <v>83.901252348152795</v>
      </c>
      <c r="D249" s="5"/>
      <c r="E249" s="6">
        <v>8038</v>
      </c>
      <c r="F249" s="6"/>
      <c r="G249" s="5">
        <v>84.423905051990332</v>
      </c>
      <c r="H249" s="6">
        <v>10</v>
      </c>
      <c r="I249" s="5">
        <v>17.543859649122805</v>
      </c>
      <c r="J249" s="5"/>
      <c r="K249" s="6">
        <v>1</v>
      </c>
      <c r="L249" s="5">
        <v>25</v>
      </c>
      <c r="M249" s="5"/>
    </row>
    <row r="250" spans="1:13" ht="14.1" customHeight="1" x14ac:dyDescent="0.25">
      <c r="A250" s="61" t="s">
        <v>41</v>
      </c>
      <c r="B250" s="6">
        <v>276</v>
      </c>
      <c r="C250" s="5">
        <v>2.8804007514088918</v>
      </c>
      <c r="D250" s="5"/>
      <c r="E250" s="6">
        <v>258</v>
      </c>
      <c r="F250" s="6"/>
      <c r="G250" s="5">
        <v>2.709799390820292</v>
      </c>
      <c r="H250" s="6">
        <v>17</v>
      </c>
      <c r="I250" s="5">
        <v>29.82456140350877</v>
      </c>
      <c r="J250" s="5"/>
      <c r="K250" s="6">
        <v>1</v>
      </c>
      <c r="L250" s="5">
        <v>25</v>
      </c>
      <c r="M250" s="5"/>
    </row>
    <row r="251" spans="1:13" ht="14.1" customHeight="1" x14ac:dyDescent="0.25">
      <c r="A251" s="61" t="s">
        <v>42</v>
      </c>
      <c r="B251" s="6">
        <v>24</v>
      </c>
      <c r="C251" s="5">
        <v>0.25046963055729493</v>
      </c>
      <c r="D251" s="5"/>
      <c r="E251" s="6">
        <v>22</v>
      </c>
      <c r="F251" s="6"/>
      <c r="G251" s="5">
        <v>0.23106816510870706</v>
      </c>
      <c r="H251" s="6">
        <v>1</v>
      </c>
      <c r="I251" s="5">
        <v>1.7543859649122806</v>
      </c>
      <c r="J251" s="5"/>
      <c r="K251" s="6">
        <v>1</v>
      </c>
      <c r="L251" s="5">
        <v>25</v>
      </c>
      <c r="M251" s="5"/>
    </row>
    <row r="252" spans="1:13" ht="14.1" customHeight="1" x14ac:dyDescent="0.25">
      <c r="A252" s="61" t="s">
        <v>43</v>
      </c>
      <c r="B252" s="6">
        <v>213</v>
      </c>
      <c r="C252" s="5">
        <v>2.2229179711959923</v>
      </c>
      <c r="D252" s="5"/>
      <c r="E252" s="6">
        <v>198</v>
      </c>
      <c r="F252" s="6"/>
      <c r="G252" s="5">
        <v>2.0796134859783639</v>
      </c>
      <c r="H252" s="6">
        <v>15</v>
      </c>
      <c r="I252" s="5">
        <v>26.315789473684209</v>
      </c>
      <c r="J252" s="5"/>
      <c r="K252" s="3" t="s">
        <v>96</v>
      </c>
      <c r="L252" s="16" t="s">
        <v>96</v>
      </c>
      <c r="M252" s="5"/>
    </row>
    <row r="253" spans="1:13" ht="14.1" customHeight="1" x14ac:dyDescent="0.25">
      <c r="A253" s="61" t="s">
        <v>44</v>
      </c>
      <c r="B253" s="6">
        <v>513</v>
      </c>
      <c r="C253" s="5">
        <v>5.3537883531621793</v>
      </c>
      <c r="D253" s="5"/>
      <c r="E253" s="6">
        <v>502</v>
      </c>
      <c r="F253" s="6"/>
      <c r="G253" s="5">
        <v>5.2725554038441338</v>
      </c>
      <c r="H253" s="6">
        <v>10</v>
      </c>
      <c r="I253" s="5">
        <v>17.543859649122805</v>
      </c>
      <c r="J253" s="5"/>
      <c r="K253" s="3">
        <v>1</v>
      </c>
      <c r="L253" s="16">
        <v>25</v>
      </c>
      <c r="M253" s="5"/>
    </row>
    <row r="254" spans="1:13" ht="14.1" customHeight="1" x14ac:dyDescent="0.25">
      <c r="A254" s="61" t="s">
        <v>45</v>
      </c>
      <c r="B254" s="6">
        <v>299</v>
      </c>
      <c r="C254" s="5">
        <v>3.1204341473596324</v>
      </c>
      <c r="D254" s="5"/>
      <c r="E254" s="6">
        <v>298</v>
      </c>
      <c r="F254" s="6"/>
      <c r="G254" s="5">
        <v>3.1299233273815776</v>
      </c>
      <c r="H254" s="6">
        <v>1</v>
      </c>
      <c r="I254" s="5">
        <v>1.7543859649122806</v>
      </c>
      <c r="J254" s="5"/>
      <c r="K254" s="3" t="s">
        <v>96</v>
      </c>
      <c r="L254" s="16" t="s">
        <v>96</v>
      </c>
      <c r="M254" s="5"/>
    </row>
    <row r="255" spans="1:13" ht="17.25" hidden="1" customHeight="1" x14ac:dyDescent="0.25">
      <c r="A255" s="61" t="s">
        <v>46</v>
      </c>
      <c r="B255" s="6">
        <v>8</v>
      </c>
      <c r="C255" s="5">
        <v>8.3489876852431644E-2</v>
      </c>
      <c r="D255" s="5"/>
      <c r="E255" s="6">
        <v>8</v>
      </c>
      <c r="F255" s="6"/>
      <c r="G255" s="5">
        <v>8.4024787312257113E-2</v>
      </c>
      <c r="H255" s="3" t="s">
        <v>96</v>
      </c>
      <c r="I255" s="16" t="s">
        <v>96</v>
      </c>
      <c r="J255" s="5"/>
      <c r="K255" s="3" t="s">
        <v>96</v>
      </c>
      <c r="L255" s="16" t="s">
        <v>96</v>
      </c>
      <c r="M255" s="5"/>
    </row>
    <row r="256" spans="1:13" ht="14.1" customHeight="1" x14ac:dyDescent="0.25">
      <c r="A256" s="61" t="s">
        <v>47</v>
      </c>
      <c r="B256" s="6">
        <v>208</v>
      </c>
      <c r="C256" s="5">
        <v>2.1707367981632228</v>
      </c>
      <c r="D256" s="5"/>
      <c r="E256" s="6">
        <v>205</v>
      </c>
      <c r="F256" s="6"/>
      <c r="G256" s="5">
        <v>2.1531351748765886</v>
      </c>
      <c r="H256" s="6">
        <v>3</v>
      </c>
      <c r="I256" s="5">
        <v>5.2631578947368416</v>
      </c>
      <c r="J256" s="6"/>
      <c r="K256" s="3" t="s">
        <v>96</v>
      </c>
      <c r="L256" s="16" t="s">
        <v>96</v>
      </c>
      <c r="M256" s="5"/>
    </row>
    <row r="257" spans="1:13" ht="14.1" customHeight="1" x14ac:dyDescent="0.25">
      <c r="A257" s="68"/>
      <c r="B257" s="9"/>
      <c r="C257" s="15"/>
      <c r="D257" s="15"/>
      <c r="E257" s="9"/>
      <c r="F257" s="9"/>
      <c r="G257" s="15"/>
      <c r="H257" s="9"/>
      <c r="I257" s="15"/>
      <c r="J257" s="15"/>
      <c r="K257" s="9"/>
      <c r="L257" s="15"/>
      <c r="M257" s="15"/>
    </row>
    <row r="258" spans="1:13" ht="14.1" customHeight="1" x14ac:dyDescent="0.25">
      <c r="A258" s="63" t="s">
        <v>1</v>
      </c>
      <c r="B258" s="9">
        <v>17413</v>
      </c>
      <c r="C258" s="15">
        <v>100</v>
      </c>
      <c r="D258" s="15"/>
      <c r="E258" s="9">
        <v>17180</v>
      </c>
      <c r="F258" s="9"/>
      <c r="G258" s="15">
        <v>100</v>
      </c>
      <c r="H258" s="9">
        <v>214</v>
      </c>
      <c r="I258" s="15">
        <v>100</v>
      </c>
      <c r="J258" s="15"/>
      <c r="K258" s="9">
        <v>19</v>
      </c>
      <c r="L258" s="15">
        <v>100</v>
      </c>
      <c r="M258" s="15"/>
    </row>
    <row r="259" spans="1:13" ht="14.1" customHeight="1" x14ac:dyDescent="0.25">
      <c r="A259" s="61" t="s">
        <v>40</v>
      </c>
      <c r="B259" s="6">
        <v>13140</v>
      </c>
      <c r="C259" s="5">
        <v>75.360862573939016</v>
      </c>
      <c r="D259" s="5"/>
      <c r="E259" s="6">
        <v>13091</v>
      </c>
      <c r="F259" s="6"/>
      <c r="G259" s="5">
        <v>76.199068684516874</v>
      </c>
      <c r="H259" s="6">
        <v>49</v>
      </c>
      <c r="I259" s="5">
        <v>22.897196261682243</v>
      </c>
      <c r="J259" s="5"/>
      <c r="K259" s="3" t="s">
        <v>96</v>
      </c>
      <c r="L259" s="16" t="s">
        <v>96</v>
      </c>
      <c r="M259" s="5"/>
    </row>
    <row r="260" spans="1:13" ht="14.1" customHeight="1" x14ac:dyDescent="0.25">
      <c r="A260" s="61" t="s">
        <v>41</v>
      </c>
      <c r="B260" s="6">
        <v>986</v>
      </c>
      <c r="C260" s="5">
        <v>5.6624361109515879</v>
      </c>
      <c r="D260" s="5"/>
      <c r="E260" s="6">
        <v>898</v>
      </c>
      <c r="F260" s="6"/>
      <c r="G260" s="5">
        <v>5.2270081490104774</v>
      </c>
      <c r="H260" s="6">
        <v>73</v>
      </c>
      <c r="I260" s="5">
        <v>34.112149532710276</v>
      </c>
      <c r="J260" s="5"/>
      <c r="K260" s="3">
        <v>15</v>
      </c>
      <c r="L260" s="16">
        <v>78.94736842105263</v>
      </c>
      <c r="M260" s="5"/>
    </row>
    <row r="261" spans="1:13" ht="14.1" customHeight="1" x14ac:dyDescent="0.25">
      <c r="A261" s="61" t="s">
        <v>42</v>
      </c>
      <c r="B261" s="6">
        <v>44</v>
      </c>
      <c r="C261" s="5">
        <v>0.2526847757422615</v>
      </c>
      <c r="D261" s="5"/>
      <c r="E261" s="6">
        <v>44</v>
      </c>
      <c r="F261" s="6"/>
      <c r="G261" s="5">
        <v>0.25611175785797441</v>
      </c>
      <c r="H261" s="3" t="s">
        <v>96</v>
      </c>
      <c r="I261" s="16" t="s">
        <v>96</v>
      </c>
      <c r="J261" s="5"/>
      <c r="K261" s="3" t="s">
        <v>96</v>
      </c>
      <c r="L261" s="16" t="s">
        <v>96</v>
      </c>
      <c r="M261" s="5"/>
    </row>
    <row r="262" spans="1:13" ht="14.1" customHeight="1" x14ac:dyDescent="0.25">
      <c r="A262" s="61" t="s">
        <v>43</v>
      </c>
      <c r="B262" s="6">
        <v>417</v>
      </c>
      <c r="C262" s="5">
        <v>2.3947625337391605</v>
      </c>
      <c r="D262" s="5"/>
      <c r="E262" s="6">
        <v>394</v>
      </c>
      <c r="F262" s="6"/>
      <c r="G262" s="5">
        <v>2.2933643771827708</v>
      </c>
      <c r="H262" s="3">
        <v>22</v>
      </c>
      <c r="I262" s="16">
        <v>10.2803738317757</v>
      </c>
      <c r="J262" s="5"/>
      <c r="K262" s="3">
        <v>1</v>
      </c>
      <c r="L262" s="16">
        <v>5.2631578947368416</v>
      </c>
      <c r="M262" s="5"/>
    </row>
    <row r="263" spans="1:13" ht="14.1" customHeight="1" x14ac:dyDescent="0.25">
      <c r="A263" s="61" t="s">
        <v>44</v>
      </c>
      <c r="B263" s="6">
        <v>1778</v>
      </c>
      <c r="C263" s="5">
        <v>10.210762074312294</v>
      </c>
      <c r="D263" s="5"/>
      <c r="E263" s="6">
        <v>1717</v>
      </c>
      <c r="F263" s="6"/>
      <c r="G263" s="5">
        <v>9.9941792782305008</v>
      </c>
      <c r="H263" s="3">
        <v>58</v>
      </c>
      <c r="I263" s="16">
        <v>27.102803738317753</v>
      </c>
      <c r="J263" s="5"/>
      <c r="K263" s="3">
        <v>3</v>
      </c>
      <c r="L263" s="16">
        <v>15.789473684210526</v>
      </c>
      <c r="M263" s="5"/>
    </row>
    <row r="264" spans="1:13" ht="14.1" customHeight="1" x14ac:dyDescent="0.25">
      <c r="A264" s="61" t="s">
        <v>45</v>
      </c>
      <c r="B264" s="6">
        <v>677</v>
      </c>
      <c r="C264" s="5">
        <v>3.887899844943433</v>
      </c>
      <c r="D264" s="5"/>
      <c r="E264" s="6">
        <v>671</v>
      </c>
      <c r="F264" s="6"/>
      <c r="G264" s="5">
        <v>3.9057043073341098</v>
      </c>
      <c r="H264" s="3">
        <v>6</v>
      </c>
      <c r="I264" s="16">
        <v>2.8037383177570092</v>
      </c>
      <c r="J264" s="5"/>
      <c r="K264" s="3" t="s">
        <v>96</v>
      </c>
      <c r="L264" s="16" t="s">
        <v>96</v>
      </c>
      <c r="M264" s="5"/>
    </row>
    <row r="265" spans="1:13" ht="16.5" hidden="1" customHeight="1" x14ac:dyDescent="0.25">
      <c r="A265" s="61" t="s">
        <v>46</v>
      </c>
      <c r="B265" s="6">
        <v>16</v>
      </c>
      <c r="C265" s="5">
        <v>9.1885372997186007E-2</v>
      </c>
      <c r="D265" s="5"/>
      <c r="E265" s="6">
        <v>16</v>
      </c>
      <c r="F265" s="6"/>
      <c r="G265" s="5">
        <v>9.3131548311990692E-2</v>
      </c>
      <c r="H265" s="3" t="s">
        <v>96</v>
      </c>
      <c r="I265" s="16" t="s">
        <v>96</v>
      </c>
      <c r="J265" s="5"/>
      <c r="K265" s="3" t="s">
        <v>96</v>
      </c>
      <c r="L265" s="16" t="s">
        <v>96</v>
      </c>
      <c r="M265" s="5"/>
    </row>
    <row r="266" spans="1:13" ht="14.1" customHeight="1" x14ac:dyDescent="0.25">
      <c r="A266" s="61" t="s">
        <v>47</v>
      </c>
      <c r="B266" s="6">
        <v>371</v>
      </c>
      <c r="C266" s="5">
        <v>2.1305920863722507</v>
      </c>
      <c r="D266" s="5"/>
      <c r="E266" s="6">
        <v>365</v>
      </c>
      <c r="F266" s="6"/>
      <c r="G266" s="5">
        <v>2.1245634458672877</v>
      </c>
      <c r="H266" s="6">
        <v>6</v>
      </c>
      <c r="I266" s="5">
        <v>2.8037383177570092</v>
      </c>
      <c r="J266" s="5"/>
      <c r="K266" s="3" t="s">
        <v>96</v>
      </c>
      <c r="L266" s="16" t="s">
        <v>96</v>
      </c>
      <c r="M266" s="5"/>
    </row>
    <row r="267" spans="1:13" ht="12.75" customHeight="1" x14ac:dyDescent="0.25">
      <c r="A267" s="61"/>
      <c r="B267" s="9"/>
      <c r="C267" s="15"/>
      <c r="D267" s="15"/>
      <c r="E267" s="9"/>
      <c r="F267" s="9"/>
      <c r="G267" s="15"/>
      <c r="H267" s="9"/>
      <c r="I267" s="15"/>
      <c r="J267" s="15"/>
      <c r="K267" s="9"/>
      <c r="L267" s="15"/>
      <c r="M267" s="15"/>
    </row>
    <row r="268" spans="1:13" ht="16.5" customHeight="1" x14ac:dyDescent="0.25">
      <c r="A268" s="63" t="s">
        <v>76</v>
      </c>
      <c r="B268" s="9">
        <v>543976</v>
      </c>
      <c r="C268" s="15">
        <v>100</v>
      </c>
      <c r="D268" s="15"/>
      <c r="E268" s="9">
        <v>526076</v>
      </c>
      <c r="F268" s="9"/>
      <c r="G268" s="15">
        <v>100</v>
      </c>
      <c r="H268" s="9">
        <v>14822</v>
      </c>
      <c r="I268" s="15">
        <v>100</v>
      </c>
      <c r="J268" s="15"/>
      <c r="K268" s="9">
        <v>3078</v>
      </c>
      <c r="L268" s="15">
        <v>100</v>
      </c>
      <c r="M268" s="15"/>
    </row>
    <row r="269" spans="1:13" ht="16.5" customHeight="1" x14ac:dyDescent="0.25">
      <c r="A269" s="61" t="s">
        <v>40</v>
      </c>
      <c r="B269" s="6">
        <v>342113</v>
      </c>
      <c r="C269" s="5">
        <v>62.891193729135111</v>
      </c>
      <c r="D269" s="5"/>
      <c r="E269" s="6">
        <v>341426</v>
      </c>
      <c r="F269" s="6"/>
      <c r="G269" s="5">
        <v>64.800508671750848</v>
      </c>
      <c r="H269" s="6">
        <v>666</v>
      </c>
      <c r="I269" s="5">
        <v>4.493320739441371</v>
      </c>
      <c r="J269" s="5"/>
      <c r="K269" s="6">
        <v>21</v>
      </c>
      <c r="L269" s="5">
        <v>0.68226120857699801</v>
      </c>
      <c r="M269" s="5"/>
    </row>
    <row r="270" spans="1:13" ht="16.5" customHeight="1" x14ac:dyDescent="0.25">
      <c r="A270" s="61" t="s">
        <v>41</v>
      </c>
      <c r="B270" s="6">
        <v>116651</v>
      </c>
      <c r="C270" s="5">
        <v>21.444144594614468</v>
      </c>
      <c r="D270" s="5"/>
      <c r="E270" s="6">
        <v>103565</v>
      </c>
      <c r="F270" s="6"/>
      <c r="G270" s="5">
        <v>19.686319086976027</v>
      </c>
      <c r="H270" s="6">
        <v>10658</v>
      </c>
      <c r="I270" s="5">
        <v>71.906625286735931</v>
      </c>
      <c r="J270" s="5"/>
      <c r="K270" s="6">
        <v>2428</v>
      </c>
      <c r="L270" s="5">
        <v>78.782391163092925</v>
      </c>
      <c r="M270" s="5"/>
    </row>
    <row r="271" spans="1:13" ht="16.5" customHeight="1" x14ac:dyDescent="0.25">
      <c r="A271" s="61" t="s">
        <v>42</v>
      </c>
      <c r="B271" s="6">
        <v>4543</v>
      </c>
      <c r="C271" s="5">
        <v>0.83514713884436076</v>
      </c>
      <c r="D271" s="5"/>
      <c r="E271" s="6">
        <v>4207</v>
      </c>
      <c r="F271" s="6"/>
      <c r="G271" s="5">
        <v>0.79969434074164192</v>
      </c>
      <c r="H271" s="6">
        <v>259</v>
      </c>
      <c r="I271" s="5">
        <v>1.7474025097827552</v>
      </c>
      <c r="J271" s="5"/>
      <c r="K271" s="6">
        <v>77</v>
      </c>
      <c r="L271" s="5">
        <v>2.5016244314489926</v>
      </c>
      <c r="M271" s="5"/>
    </row>
    <row r="272" spans="1:13" ht="16.5" customHeight="1" x14ac:dyDescent="0.25">
      <c r="A272" s="61" t="s">
        <v>43</v>
      </c>
      <c r="B272" s="6">
        <v>8227</v>
      </c>
      <c r="C272" s="5">
        <v>1.5123828992455548</v>
      </c>
      <c r="D272" s="5"/>
      <c r="E272" s="6">
        <v>7258</v>
      </c>
      <c r="F272" s="6"/>
      <c r="G272" s="5">
        <v>1.3796485678875294</v>
      </c>
      <c r="H272" s="6">
        <v>824</v>
      </c>
      <c r="I272" s="5">
        <v>5.5593037376872223</v>
      </c>
      <c r="J272" s="5"/>
      <c r="K272" s="6">
        <v>145</v>
      </c>
      <c r="L272" s="5">
        <v>4.7108512020792723</v>
      </c>
      <c r="M272" s="5"/>
    </row>
    <row r="273" spans="1:13" ht="16.5" customHeight="1" x14ac:dyDescent="0.25">
      <c r="A273" s="61" t="s">
        <v>44</v>
      </c>
      <c r="B273" s="6">
        <v>44012</v>
      </c>
      <c r="C273" s="5">
        <v>8.0907981234466231</v>
      </c>
      <c r="D273" s="5"/>
      <c r="E273" s="6">
        <v>42411</v>
      </c>
      <c r="F273" s="6"/>
      <c r="G273" s="5">
        <v>8.0617629391950967</v>
      </c>
      <c r="H273" s="6">
        <v>1512</v>
      </c>
      <c r="I273" s="5">
        <v>10.201052489542572</v>
      </c>
      <c r="J273" s="5"/>
      <c r="K273" s="6">
        <v>89</v>
      </c>
      <c r="L273" s="5">
        <v>2.8914879792072772</v>
      </c>
      <c r="M273" s="5"/>
    </row>
    <row r="274" spans="1:13" ht="16.5" customHeight="1" x14ac:dyDescent="0.25">
      <c r="A274" s="61" t="s">
        <v>45</v>
      </c>
      <c r="B274" s="6">
        <v>16670</v>
      </c>
      <c r="C274" s="5">
        <v>3.0644734326514405</v>
      </c>
      <c r="D274" s="5"/>
      <c r="E274" s="6">
        <v>16222</v>
      </c>
      <c r="F274" s="6"/>
      <c r="G274" s="5">
        <v>3.0835848812719076</v>
      </c>
      <c r="H274" s="6">
        <v>335</v>
      </c>
      <c r="I274" s="5">
        <v>2.2601538253946836</v>
      </c>
      <c r="J274" s="5"/>
      <c r="K274" s="6">
        <v>113</v>
      </c>
      <c r="L274" s="5">
        <v>3.6712150747238463</v>
      </c>
      <c r="M274" s="5"/>
    </row>
    <row r="275" spans="1:13" ht="14.25" hidden="1" customHeight="1" x14ac:dyDescent="0.25">
      <c r="A275" s="61" t="s">
        <v>46</v>
      </c>
      <c r="B275" s="6">
        <v>733</v>
      </c>
      <c r="C275" s="5">
        <v>0.13474859184964041</v>
      </c>
      <c r="D275" s="5"/>
      <c r="E275" s="6">
        <v>669</v>
      </c>
      <c r="F275" s="6"/>
      <c r="G275" s="5">
        <v>0.1271679377124218</v>
      </c>
      <c r="H275" s="6">
        <v>46</v>
      </c>
      <c r="I275" s="5">
        <v>0.31034948050195654</v>
      </c>
      <c r="J275" s="5"/>
      <c r="K275" s="6">
        <v>18</v>
      </c>
      <c r="L275" s="5">
        <v>0.58479532163742687</v>
      </c>
      <c r="M275" s="5"/>
    </row>
    <row r="276" spans="1:13" ht="17.25" customHeight="1" x14ac:dyDescent="0.25">
      <c r="A276" s="61" t="s">
        <v>47</v>
      </c>
      <c r="B276" s="6">
        <v>11760</v>
      </c>
      <c r="C276" s="5">
        <v>2.1618600820624438</v>
      </c>
      <c r="D276" s="5"/>
      <c r="E276" s="6">
        <v>10987</v>
      </c>
      <c r="F276" s="6"/>
      <c r="G276" s="5">
        <v>2.0884815121769478</v>
      </c>
      <c r="H276" s="6">
        <v>568</v>
      </c>
      <c r="I276" s="5">
        <v>3.8321414114154635</v>
      </c>
      <c r="J276" s="5"/>
      <c r="K276" s="6">
        <v>205</v>
      </c>
      <c r="L276" s="5">
        <v>6.6601689408706948</v>
      </c>
      <c r="M276" s="5"/>
    </row>
    <row r="277" spans="1:13" ht="14.1" customHeight="1" x14ac:dyDescent="0.25">
      <c r="A277" s="63" t="s">
        <v>77</v>
      </c>
      <c r="B277" s="9">
        <v>31798</v>
      </c>
      <c r="C277" s="15">
        <v>100</v>
      </c>
      <c r="D277" s="15"/>
      <c r="E277" s="9">
        <v>31523</v>
      </c>
      <c r="F277" s="9"/>
      <c r="G277" s="15">
        <v>100</v>
      </c>
      <c r="H277" s="9">
        <v>255</v>
      </c>
      <c r="I277" s="15">
        <v>100</v>
      </c>
      <c r="J277" s="15"/>
      <c r="K277" s="9">
        <v>20</v>
      </c>
      <c r="L277" s="15">
        <v>100</v>
      </c>
      <c r="M277" s="15"/>
    </row>
    <row r="278" spans="1:13" ht="14.1" customHeight="1" x14ac:dyDescent="0.25">
      <c r="A278" s="61" t="s">
        <v>40</v>
      </c>
      <c r="B278" s="6">
        <v>25439</v>
      </c>
      <c r="C278" s="5">
        <v>80.101886911126485</v>
      </c>
      <c r="D278" s="5"/>
      <c r="E278" s="6">
        <v>25406</v>
      </c>
      <c r="F278" s="6"/>
      <c r="G278" s="5">
        <v>80.495121022745309</v>
      </c>
      <c r="H278" s="6">
        <v>33</v>
      </c>
      <c r="I278" s="5">
        <v>12.941176470588237</v>
      </c>
      <c r="J278" s="5"/>
      <c r="K278" s="3" t="s">
        <v>96</v>
      </c>
      <c r="L278" s="16" t="s">
        <v>96</v>
      </c>
      <c r="M278" s="5"/>
    </row>
    <row r="279" spans="1:13" ht="14.1" customHeight="1" x14ac:dyDescent="0.25">
      <c r="A279" s="61" t="s">
        <v>41</v>
      </c>
      <c r="B279" s="6">
        <v>2838</v>
      </c>
      <c r="C279" s="5">
        <v>8.9250896282785082</v>
      </c>
      <c r="D279" s="5"/>
      <c r="E279" s="6">
        <v>2697</v>
      </c>
      <c r="F279" s="6"/>
      <c r="G279" s="5">
        <v>8.5556577736890524</v>
      </c>
      <c r="H279" s="6">
        <v>127</v>
      </c>
      <c r="I279" s="5">
        <v>49.903921568627453</v>
      </c>
      <c r="J279" s="5"/>
      <c r="K279" s="3">
        <v>14</v>
      </c>
      <c r="L279" s="16">
        <v>70</v>
      </c>
      <c r="M279" s="5"/>
    </row>
    <row r="280" spans="1:13" ht="14.1" customHeight="1" x14ac:dyDescent="0.25">
      <c r="A280" s="61" t="s">
        <v>42</v>
      </c>
      <c r="B280" s="6">
        <v>117</v>
      </c>
      <c r="C280" s="5">
        <v>0.36794766966475878</v>
      </c>
      <c r="D280" s="5"/>
      <c r="E280" s="6">
        <v>117</v>
      </c>
      <c r="F280" s="6"/>
      <c r="G280" s="5">
        <v>0.37115756749040385</v>
      </c>
      <c r="H280" s="3" t="s">
        <v>96</v>
      </c>
      <c r="I280" s="3" t="s">
        <v>96</v>
      </c>
      <c r="J280" s="5"/>
      <c r="K280" s="3" t="s">
        <v>96</v>
      </c>
      <c r="L280" s="16" t="s">
        <v>96</v>
      </c>
      <c r="M280" s="5"/>
    </row>
    <row r="281" spans="1:13" ht="14.1" customHeight="1" x14ac:dyDescent="0.25">
      <c r="A281" s="61" t="s">
        <v>43</v>
      </c>
      <c r="B281" s="6">
        <v>292</v>
      </c>
      <c r="C281" s="5">
        <v>0.91829674822315865</v>
      </c>
      <c r="D281" s="5"/>
      <c r="E281" s="6">
        <v>277</v>
      </c>
      <c r="F281" s="6"/>
      <c r="G281" s="5">
        <v>0.87872347175078513</v>
      </c>
      <c r="H281" s="6">
        <v>12</v>
      </c>
      <c r="I281" s="5">
        <v>4.7058823529411766</v>
      </c>
      <c r="J281" s="5"/>
      <c r="K281" s="3">
        <v>3</v>
      </c>
      <c r="L281" s="16">
        <v>15</v>
      </c>
      <c r="M281" s="5"/>
    </row>
    <row r="282" spans="1:13" ht="14.1" customHeight="1" x14ac:dyDescent="0.25">
      <c r="A282" s="61" t="s">
        <v>44</v>
      </c>
      <c r="B282" s="6">
        <v>1604</v>
      </c>
      <c r="C282" s="5">
        <v>5.04434241147242</v>
      </c>
      <c r="D282" s="5"/>
      <c r="E282" s="6">
        <v>1553</v>
      </c>
      <c r="F282" s="6"/>
      <c r="G282" s="5">
        <v>4.9265615582273261</v>
      </c>
      <c r="H282" s="6">
        <v>50</v>
      </c>
      <c r="I282" s="5">
        <v>19.607843137254903</v>
      </c>
      <c r="J282" s="5"/>
      <c r="K282" s="3">
        <v>1</v>
      </c>
      <c r="L282" s="16">
        <v>5</v>
      </c>
      <c r="M282" s="5"/>
    </row>
    <row r="283" spans="1:13" ht="14.1" customHeight="1" x14ac:dyDescent="0.25">
      <c r="A283" s="61" t="s">
        <v>45</v>
      </c>
      <c r="B283" s="6">
        <v>999</v>
      </c>
      <c r="C283" s="5">
        <v>3.1417070255990942</v>
      </c>
      <c r="D283" s="5"/>
      <c r="E283" s="6">
        <v>979</v>
      </c>
      <c r="F283" s="6"/>
      <c r="G283" s="5">
        <v>3.1056688766932083</v>
      </c>
      <c r="H283" s="6">
        <v>20</v>
      </c>
      <c r="I283" s="5">
        <v>7.8431372549019605</v>
      </c>
      <c r="J283" s="5"/>
      <c r="K283" s="3" t="s">
        <v>96</v>
      </c>
      <c r="L283" s="16" t="s">
        <v>96</v>
      </c>
      <c r="M283" s="5"/>
    </row>
    <row r="284" spans="1:13" ht="18.75" hidden="1" customHeight="1" x14ac:dyDescent="0.25">
      <c r="A284" s="61" t="s">
        <v>46</v>
      </c>
      <c r="B284" s="6">
        <v>40</v>
      </c>
      <c r="C284" s="5">
        <v>0.12579407509906285</v>
      </c>
      <c r="D284" s="5"/>
      <c r="E284" s="6">
        <v>38</v>
      </c>
      <c r="F284" s="6"/>
      <c r="G284" s="5">
        <v>0.12054690226184056</v>
      </c>
      <c r="H284" s="6">
        <v>1</v>
      </c>
      <c r="I284" s="5">
        <v>0.39215686274509803</v>
      </c>
      <c r="J284" s="5"/>
      <c r="K284" s="6">
        <v>1</v>
      </c>
      <c r="L284" s="5">
        <v>5</v>
      </c>
      <c r="M284" s="5"/>
    </row>
    <row r="285" spans="1:13" ht="14.1" customHeight="1" x14ac:dyDescent="0.25">
      <c r="A285" s="61" t="s">
        <v>47</v>
      </c>
      <c r="B285" s="6">
        <v>509</v>
      </c>
      <c r="C285" s="5">
        <v>1.6007296056355746</v>
      </c>
      <c r="D285" s="5"/>
      <c r="E285" s="6">
        <v>494</v>
      </c>
      <c r="F285" s="6"/>
      <c r="G285" s="5">
        <v>1.5671097294039273</v>
      </c>
      <c r="H285" s="6">
        <v>13</v>
      </c>
      <c r="I285" s="5">
        <v>5.098039215686275</v>
      </c>
      <c r="J285" s="5"/>
      <c r="K285" s="6">
        <v>2</v>
      </c>
      <c r="L285" s="5">
        <v>10</v>
      </c>
      <c r="M285" s="5"/>
    </row>
    <row r="286" spans="1:13" ht="14.1" customHeight="1" thickBot="1" x14ac:dyDescent="0.3">
      <c r="A286" s="70"/>
      <c r="B286" s="71"/>
      <c r="C286" s="71"/>
      <c r="D286" s="71"/>
      <c r="E286" s="71"/>
      <c r="F286" s="71"/>
      <c r="G286" s="88"/>
      <c r="H286" s="71"/>
      <c r="I286" s="71"/>
      <c r="J286" s="71"/>
      <c r="K286" s="71"/>
      <c r="L286" s="71"/>
      <c r="M286" s="71"/>
    </row>
    <row r="287" spans="1:13" ht="50.25" customHeight="1" x14ac:dyDescent="0.25">
      <c r="A287" s="191" t="s">
        <v>81</v>
      </c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</row>
  </sheetData>
  <mergeCells count="9">
    <mergeCell ref="A287:M287"/>
    <mergeCell ref="A1:M1"/>
    <mergeCell ref="A2:M2"/>
    <mergeCell ref="A4:A6"/>
    <mergeCell ref="B4:C5"/>
    <mergeCell ref="E4:M4"/>
    <mergeCell ref="H5:I5"/>
    <mergeCell ref="K5:L5"/>
    <mergeCell ref="E5:F5"/>
  </mergeCells>
  <printOptions horizontalCentered="1" verticalCentered="1"/>
  <pageMargins left="0.98425196850393704" right="0.98425196850393704" top="0.98425196850393704" bottom="0.98425196850393704" header="0.31496062992125984" footer="0.31496062992125984"/>
  <pageSetup paperSize="9" scale="86" orientation="portrait" r:id="rId1"/>
  <rowBreaks count="5" manualBreakCount="5">
    <brk id="56" max="16383" man="1"/>
    <brk id="107" max="16383" man="1"/>
    <brk id="157" max="16383" man="1"/>
    <brk id="207" max="16383" man="1"/>
    <brk id="2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20</vt:i4>
      </vt:variant>
    </vt:vector>
  </HeadingPairs>
  <TitlesOfParts>
    <vt:vector size="33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'C1'!Área_de_impresión</vt:lpstr>
      <vt:lpstr>'C10'!Área_de_impresión</vt:lpstr>
      <vt:lpstr>'C11'!Área_de_impresión</vt:lpstr>
      <vt:lpstr>'C12'!Área_de_impresión</vt:lpstr>
      <vt:lpstr>'C13'!Área_de_impresión</vt:lpstr>
      <vt:lpstr>'C2'!Área_de_impresión</vt:lpstr>
      <vt:lpstr>'C3'!Área_de_impresión</vt:lpstr>
      <vt:lpstr>'C4'!Área_de_impresión</vt:lpstr>
      <vt:lpstr>'C6'!Área_de_impresión</vt:lpstr>
      <vt:lpstr>'C7'!Área_de_impresión</vt:lpstr>
      <vt:lpstr>'C8'!Área_de_impresión</vt:lpstr>
      <vt:lpstr>'C9'!Área_de_impresión</vt:lpstr>
      <vt:lpstr>'C1'!Títulos_a_imprimir</vt:lpstr>
      <vt:lpstr>'C11'!Títulos_a_imprimir</vt:lpstr>
      <vt:lpstr>'C13'!Títulos_a_imprimir</vt:lpstr>
      <vt:lpstr>'C2'!Títulos_a_imprimir</vt:lpstr>
      <vt:lpstr>'C3'!Títulos_a_imprimir</vt:lpstr>
      <vt:lpstr>'C5'!Títulos_a_imprimir</vt:lpstr>
      <vt:lpstr>'C7'!Títulos_a_imprimir</vt:lpstr>
      <vt:lpstr>'C9'!Títulos_a_imprimir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Panuera Moreno</dc:creator>
  <cp:lastModifiedBy>Guido Trujillo Valdiviezo</cp:lastModifiedBy>
  <cp:lastPrinted>2014-08-25T15:25:58Z</cp:lastPrinted>
  <dcterms:created xsi:type="dcterms:W3CDTF">2013-04-09T21:02:56Z</dcterms:created>
  <dcterms:modified xsi:type="dcterms:W3CDTF">2024-05-20T15:00:04Z</dcterms:modified>
</cp:coreProperties>
</file>